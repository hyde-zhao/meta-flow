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sdx" ContentType="application/vnd.ms-visio.drawing"/>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01_svn\test-public\02.测试项目\01.在研项目\01.TGFW_V60R1C00\04.测试用例\NGFW V60R1C00用例基线_V1.0\2.特性测试用例\"/>
    </mc:Choice>
  </mc:AlternateContent>
  <bookViews>
    <workbookView xWindow="-110" yWindow="-110" windowWidth="17390" windowHeight="13100" tabRatio="864" firstSheet="2" activeTab="16"/>
  </bookViews>
  <sheets>
    <sheet name="首页" sheetId="1" r:id="rId1"/>
    <sheet name="测试点分析" sheetId="2" r:id="rId2"/>
    <sheet name="测试组网设计" sheetId="3" r:id="rId3"/>
    <sheet name="接口配置" sheetId="4" r:id="rId4"/>
    <sheet name="通道配置" sheetId="14" r:id="rId5"/>
    <sheet name="策略配置" sheetId="5" r:id="rId6"/>
    <sheet name="策略匹配" sheetId="6" r:id="rId7"/>
    <sheet name="匹配优先级" sheetId="7" r:id="rId8"/>
    <sheet name="策略分析" sheetId="8" r:id="rId9"/>
    <sheet name="带宽保障" sheetId="9" r:id="rId10"/>
    <sheet name="带宽限制" sheetId="17" r:id="rId11"/>
    <sheet name="总额限制" sheetId="16" r:id="rId12"/>
    <sheet name="连接数量" sheetId="18" r:id="rId13"/>
    <sheet name="新建速率" sheetId="15" r:id="rId14"/>
    <sheet name="DFS" sheetId="10" r:id="rId15"/>
    <sheet name="DFR" sheetId="11" r:id="rId16"/>
    <sheet name="用例全集" sheetId="12" r:id="rId17"/>
    <sheet name="附录1" sheetId="13" r:id="rId18"/>
  </sheets>
  <definedNames>
    <definedName name="_xlnm._FilterDatabase" localSheetId="16" hidden="1">用例全集!$A$1:$AW$420</definedName>
  </definedNames>
  <calcPr calcId="162913"/>
</workbook>
</file>

<file path=xl/calcChain.xml><?xml version="1.0" encoding="utf-8"?>
<calcChain xmlns="http://schemas.openxmlformats.org/spreadsheetml/2006/main">
  <c r="B15" i="13" l="1"/>
  <c r="B14" i="13"/>
  <c r="B13" i="13"/>
  <c r="B12" i="13"/>
  <c r="B11" i="13"/>
  <c r="E10" i="13"/>
  <c r="B10" i="13"/>
  <c r="E9" i="13"/>
  <c r="B9" i="13"/>
  <c r="B6" i="13" l="1"/>
  <c r="C15" i="13"/>
  <c r="C10" i="13"/>
  <c r="B16" i="13"/>
  <c r="C12" i="13"/>
  <c r="C11" i="13"/>
  <c r="C13" i="13"/>
  <c r="C14" i="13"/>
  <c r="C9" i="13"/>
  <c r="C4" i="13" l="1"/>
  <c r="C5" i="13"/>
  <c r="C3" i="13"/>
</calcChain>
</file>

<file path=xl/comments1.xml><?xml version="1.0" encoding="utf-8"?>
<comments xmlns="http://schemas.openxmlformats.org/spreadsheetml/2006/main">
  <authors>
    <author>赵海波</author>
    <author>hyde</author>
  </authors>
  <commentList>
    <comment ref="M10" authorId="0" shapeId="0">
      <text>
        <r>
          <rPr>
            <b/>
            <sz val="14"/>
            <color indexed="81"/>
            <rFont val="宋体"/>
            <family val="3"/>
            <charset val="134"/>
          </rPr>
          <t>赵海波:</t>
        </r>
        <r>
          <rPr>
            <sz val="14"/>
            <color indexed="81"/>
            <rFont val="宋体"/>
            <family val="3"/>
            <charset val="134"/>
          </rPr>
          <t xml:space="preserve">
接口ID不能配置。修改为已存在ID步骤删除</t>
        </r>
      </text>
    </comment>
    <comment ref="M62" authorId="1" shapeId="0">
      <text>
        <r>
          <rPr>
            <b/>
            <sz val="14"/>
            <color indexed="81"/>
            <rFont val="宋体"/>
            <family val="3"/>
            <charset val="134"/>
          </rPr>
          <t>hyde:</t>
        </r>
        <r>
          <rPr>
            <sz val="14"/>
            <color indexed="81"/>
            <rFont val="宋体"/>
            <family val="3"/>
            <charset val="134"/>
          </rPr>
          <t xml:space="preserve">
查询参数有的size为必选，有的为可选
page和size有的做了最大值校验，有的没有做</t>
        </r>
      </text>
    </comment>
    <comment ref="M342" authorId="0" shapeId="0">
      <text>
        <r>
          <rPr>
            <b/>
            <sz val="14"/>
            <color indexed="81"/>
            <rFont val="宋体"/>
            <family val="3"/>
            <charset val="134"/>
          </rPr>
          <t>赵海波:</t>
        </r>
        <r>
          <rPr>
            <sz val="14"/>
            <color indexed="81"/>
            <rFont val="宋体"/>
            <family val="3"/>
            <charset val="134"/>
          </rPr>
          <t xml:space="preserve">
修改步骤，发起超过最大连接数量的连接。</t>
        </r>
      </text>
    </comment>
  </commentList>
</comments>
</file>

<file path=xl/sharedStrings.xml><?xml version="1.0" encoding="utf-8"?>
<sst xmlns="http://schemas.openxmlformats.org/spreadsheetml/2006/main" count="9734" uniqueCount="2801">
  <si>
    <t>NGFW V60R001C00 
HA特性测试用例</t>
  </si>
  <si>
    <t>拟定</t>
  </si>
  <si>
    <t>赵海波</t>
  </si>
  <si>
    <t>日期</t>
  </si>
  <si>
    <t>审核</t>
  </si>
  <si>
    <t>XXXX/XX/XX</t>
  </si>
  <si>
    <t>批准</t>
  </si>
  <si>
    <t>修订记录</t>
  </si>
  <si>
    <t>修订版本</t>
  </si>
  <si>
    <t>修改记录</t>
  </si>
  <si>
    <t>修改人</t>
  </si>
  <si>
    <t>V1.0</t>
  </si>
  <si>
    <t>初稿输出</t>
  </si>
  <si>
    <t>四级目录</t>
  </si>
  <si>
    <t>五级目录</t>
  </si>
  <si>
    <t>测试点</t>
  </si>
  <si>
    <t>测试设计方法</t>
  </si>
  <si>
    <t>适用场景</t>
  </si>
  <si>
    <t>用例规模（个）</t>
  </si>
  <si>
    <t>测试数据</t>
  </si>
  <si>
    <t>配置管理</t>
  </si>
  <si>
    <t>等价类划分&amp;数据组合</t>
  </si>
  <si>
    <t>直接分析</t>
  </si>
  <si>
    <t>DFX</t>
  </si>
  <si>
    <t>DFS</t>
  </si>
  <si>
    <t>DFR</t>
  </si>
  <si>
    <t>测试点汇总</t>
  </si>
  <si>
    <t>【设计方法】等价类划分&amp;数据组合</t>
  </si>
  <si>
    <t>步骤1:等价类划分</t>
  </si>
  <si>
    <t>等价类划分</t>
  </si>
  <si>
    <t>有效类</t>
  </si>
  <si>
    <t>无效类</t>
  </si>
  <si>
    <t>选取策略</t>
  </si>
  <si>
    <t>选取结果</t>
  </si>
  <si>
    <t>空</t>
  </si>
  <si>
    <t>数据名称和分类独立</t>
  </si>
  <si>
    <t>超长字符串</t>
  </si>
  <si>
    <t>其他任意非法字符串</t>
  </si>
  <si>
    <t>步骤2:数据组合</t>
  </si>
  <si>
    <t>数据组合</t>
  </si>
  <si>
    <t>数据取值</t>
  </si>
  <si>
    <t>组合数据分析</t>
  </si>
  <si>
    <t>约束条件和组合策略</t>
  </si>
  <si>
    <t>组合结果</t>
  </si>
  <si>
    <t>所有数据不组合</t>
  </si>
  <si>
    <t>步骤3:逻辑用例设计</t>
  </si>
  <si>
    <t>逻辑用例编号</t>
  </si>
  <si>
    <t>测试用例描述</t>
  </si>
  <si>
    <t>覆盖的测试数据</t>
  </si>
  <si>
    <t>测试数据选取结果</t>
  </si>
  <si>
    <t>步骤4:物理用例设计</t>
  </si>
  <si>
    <t>用例标题</t>
  </si>
  <si>
    <t>预置条件</t>
  </si>
  <si>
    <t>测试步骤</t>
  </si>
  <si>
    <t>预期结果</t>
  </si>
  <si>
    <t>网元正常启动</t>
  </si>
  <si>
    <t>接口配置校验</t>
  </si>
  <si>
    <t>【设计方法】直接设计法</t>
  </si>
  <si>
    <t>步骤1:逻辑用例设计</t>
  </si>
  <si>
    <t>删除</t>
  </si>
  <si>
    <t>步骤2:物理用例设计</t>
  </si>
  <si>
    <t>数据名称=Id;有效值=1,存在的任意值;无效值=0,不存在的Id,空,超长字符串</t>
  </si>
  <si>
    <t>page,size</t>
  </si>
  <si>
    <t>测试数据=无</t>
  </si>
  <si>
    <t>【check1】查询成功</t>
  </si>
  <si>
    <t>数据名称和分类合并</t>
  </si>
  <si>
    <t>接口操作</t>
  </si>
  <si>
    <t>创建</t>
  </si>
  <si>
    <t>有效接口操作=创建,删除,修改</t>
  </si>
  <si>
    <t>修改</t>
  </si>
  <si>
    <t>配置结果</t>
  </si>
  <si>
    <t>成功</t>
  </si>
  <si>
    <t>有效配置结果=成功,失败</t>
  </si>
  <si>
    <t>失败</t>
  </si>
  <si>
    <t>发生组合的数据</t>
  </si>
  <si>
    <t>约束条件&amp;选取策略</t>
  </si>
  <si>
    <t>约束条件：无
选取策略：全匹配</t>
  </si>
  <si>
    <t>配置结果=成功,失败</t>
  </si>
  <si>
    <t>已组合</t>
  </si>
  <si>
    <t>步骤2:逻辑用例设计</t>
  </si>
  <si>
    <t>配置${有效rest接口}oplog测试</t>
  </si>
  <si>
    <t>业务操作、配置结果</t>
  </si>
  <si>
    <t>步骤3:物理用例设计</t>
  </si>
  <si>
    <t>【check1】Oplog记录操作结果为成功,操作对象和参数正确
【check2】Oplog记录操作结果为失败,操作对象和参数正确</t>
  </si>
  <si>
    <t>业务操作=创建,删除,修改</t>
  </si>
  <si>
    <t>有效接口操作=创建,删除,修改;有效配置结果=成功,失败</t>
  </si>
  <si>
    <t>无</t>
  </si>
  <si>
    <t>一级目录</t>
  </si>
  <si>
    <t>二级目录</t>
  </si>
  <si>
    <t>三级目录</t>
  </si>
  <si>
    <t>用例名称*</t>
  </si>
  <si>
    <t>用例编号</t>
  </si>
  <si>
    <t>用例ID*</t>
  </si>
  <si>
    <t>用例级别*</t>
  </si>
  <si>
    <t>组网描述*</t>
  </si>
  <si>
    <t>组网约束</t>
  </si>
  <si>
    <t>测试步骤*</t>
  </si>
  <si>
    <t>预期结果*</t>
  </si>
  <si>
    <t>适用版本*</t>
  </si>
  <si>
    <t>设备类型*</t>
  </si>
  <si>
    <t>单板类型</t>
  </si>
  <si>
    <t>关键词</t>
  </si>
  <si>
    <t>测试类型*</t>
  </si>
  <si>
    <t>是否自动化*</t>
  </si>
  <si>
    <t>需求编号</t>
  </si>
  <si>
    <t>备注</t>
  </si>
  <si>
    <t>LEVEL0</t>
  </si>
  <si>
    <t>LEVEL1</t>
  </si>
  <si>
    <t>LEVEL2</t>
  </si>
  <si>
    <t>LEVEL3</t>
  </si>
  <si>
    <t>LEVEL4</t>
  </si>
  <si>
    <t>LEVEL5</t>
  </si>
  <si>
    <t>LEVEL6</t>
  </si>
  <si>
    <t>功能测试</t>
  </si>
  <si>
    <t>耦合测试</t>
  </si>
  <si>
    <t>可靠性测试</t>
  </si>
  <si>
    <t>升级测试</t>
  </si>
  <si>
    <t>高可靠性</t>
  </si>
  <si>
    <t>统计信息</t>
  </si>
  <si>
    <t>用例级别</t>
  </si>
  <si>
    <t>目标占比</t>
  </si>
  <si>
    <t>实际占比</t>
  </si>
  <si>
    <t>LEVEL0~1</t>
  </si>
  <si>
    <t>&lt;15%</t>
  </si>
  <si>
    <t>LEVEL2~3</t>
  </si>
  <si>
    <t>&gt;40%</t>
  </si>
  <si>
    <t>LEVEL0~3</t>
  </si>
  <si>
    <t>&gt;60%</t>
  </si>
  <si>
    <t>可自动化率</t>
  </si>
  <si>
    <t>详细数据</t>
  </si>
  <si>
    <t>数量</t>
  </si>
  <si>
    <t>占比</t>
  </si>
  <si>
    <t>是否自动化</t>
  </si>
  <si>
    <t>是</t>
  </si>
  <si>
    <t>否</t>
  </si>
  <si>
    <t>总数</t>
  </si>
  <si>
    <t>用例基线时间点</t>
  </si>
  <si>
    <t>TR5基线一次</t>
  </si>
  <si>
    <t>TR6基线一次</t>
  </si>
  <si>
    <t>字段填写说明</t>
  </si>
  <si>
    <t>使用1到4级目录加三位数字，例如SrvQuality.Qos.Classfy.DiffServ001</t>
  </si>
  <si>
    <t>使用LEVEL0~LEVEL6级，定义说明见下表</t>
  </si>
  <si>
    <t>特性可靠性</t>
  </si>
  <si>
    <t>包含单特性的可靠性测试用例。包括反复增删单特性配置、复位重启、拔插单板、网线、主备切换等</t>
  </si>
  <si>
    <t>特性耦合测试</t>
  </si>
  <si>
    <t>包含两特性耦合和多特性耦合测试用例</t>
  </si>
  <si>
    <t>特性升级</t>
  </si>
  <si>
    <t>单特性的升级测试用例，包括升级前后配置检查、升级后观察业务、增删配置等</t>
  </si>
  <si>
    <t>组网描述</t>
  </si>
  <si>
    <t>必须是用英文的逗号分隔。例如Update01,Update02</t>
  </si>
  <si>
    <t>按实际情况填写</t>
  </si>
  <si>
    <t>通常一个用例不超过7步</t>
  </si>
  <si>
    <t>使用check点的方式填写</t>
  </si>
  <si>
    <t>适用版本</t>
  </si>
  <si>
    <t>必须以英文逗号分隔,必须使用统一的名称:V1R1C00,V1R1C01</t>
  </si>
  <si>
    <t>必须以英文逗号分隔,J1900,C236,EP</t>
  </si>
  <si>
    <t>必须以英文逗号分隔,</t>
  </si>
  <si>
    <t>必须以逗号分隔，公共的关键字必须一致，新增关键字找用例管理员申请</t>
  </si>
  <si>
    <t>"是"或者"否"</t>
  </si>
  <si>
    <t>暂时不填</t>
  </si>
  <si>
    <t>按实际情况填写
用例生成工具说明:
1、${}形式的测试数据直接替换
2、$[]形式的测试数据会在同一个用例中重复测试步骤</t>
  </si>
  <si>
    <t>名称</t>
    <phoneticPr fontId="1" type="noConversion"/>
  </si>
  <si>
    <t>名称</t>
    <phoneticPr fontId="1" type="noConversion"/>
  </si>
  <si>
    <t>NE1_link0</t>
    <phoneticPr fontId="1" type="noConversion"/>
  </si>
  <si>
    <t>组网图</t>
    <phoneticPr fontId="1" type="noConversion"/>
  </si>
  <si>
    <t>NE1_ins</t>
    <phoneticPr fontId="1" type="noConversion"/>
  </si>
  <si>
    <t>组网图</t>
    <phoneticPr fontId="1" type="noConversion"/>
  </si>
  <si>
    <t>NE1_link4_ins</t>
    <phoneticPr fontId="1" type="noConversion"/>
  </si>
  <si>
    <t>NE4_link5_ins</t>
    <phoneticPr fontId="1" type="noConversion"/>
  </si>
  <si>
    <t>组网图</t>
    <phoneticPr fontId="1" type="noConversion"/>
  </si>
  <si>
    <t>服务质量</t>
    <phoneticPr fontId="1" type="noConversion"/>
  </si>
  <si>
    <t>接口配置</t>
  </si>
  <si>
    <t>接口带宽增加测试</t>
  </si>
  <si>
    <t>接口、带宽、繁忙阈值、空闲阈值</t>
  </si>
  <si>
    <t>接口带宽修改测试</t>
  </si>
  <si>
    <t>接口带宽删除和批量删除测试</t>
  </si>
  <si>
    <t>删除、批量删除</t>
  </si>
  <si>
    <t>接口带宽的查询和分页查询测试</t>
  </si>
  <si>
    <t>查询、分页查询</t>
  </si>
  <si>
    <t>接口带宽容量测试</t>
  </si>
  <si>
    <t>接口带宽的Oplog测试</t>
  </si>
  <si>
    <t>接口带宽配置限制测试</t>
  </si>
  <si>
    <t>物理接口,子接口、聚合口、bvi接口、隧道口</t>
    <phoneticPr fontId="1" type="noConversion"/>
  </si>
  <si>
    <t>物理接口,子接口、聚合口、bvi接口、隧道口</t>
    <phoneticPr fontId="1" type="noConversion"/>
  </si>
  <si>
    <t>接口带宽配置响应时间测试</t>
  </si>
  <si>
    <t>接口带宽校验测试</t>
    <phoneticPr fontId="1" type="noConversion"/>
  </si>
  <si>
    <t>物理口、子接口、bvi、聚合口、隧道口</t>
    <phoneticPr fontId="1" type="noConversion"/>
  </si>
  <si>
    <t>通道配置</t>
  </si>
  <si>
    <t>通道增加测试</t>
  </si>
  <si>
    <t>名称、模式、上行最大带宽、上行保障带宽、下行最大带宽、下行保障带宽、上行总额、下行总额、最大连接数、新建连接速率）、限流对象、单用户配置（上行最大带宽、上行保障带宽、下行最大带宽、下行保障带宽、上行总额、下行总额、最大连接数、新建连接速率）</t>
  </si>
  <si>
    <t>通道修改测试</t>
    <phoneticPr fontId="1" type="noConversion"/>
  </si>
  <si>
    <t>通道删除和批量删除测试</t>
  </si>
  <si>
    <t>通道查询和分页查询测试</t>
  </si>
  <si>
    <t>通道容量测试</t>
  </si>
  <si>
    <t>通道Oplog测试</t>
  </si>
  <si>
    <t>通道配置限制测试</t>
  </si>
  <si>
    <t>被应用和取消引用</t>
  </si>
  <si>
    <t>通道配置响应时间测试</t>
  </si>
  <si>
    <t>策略配置</t>
  </si>
  <si>
    <t>带宽策略增加测试</t>
  </si>
  <si>
    <t>状态、名称、上行接口、下行接口、原地址、源地址组、目的地址、目的地址组、服务、服务组、时间对象、通道</t>
  </si>
  <si>
    <t>带宽策略修改测试</t>
    <phoneticPr fontId="1" type="noConversion"/>
  </si>
  <si>
    <t>带宽策略删除和批量删除测试</t>
  </si>
  <si>
    <t>带宽策略查询和分页查询测试</t>
  </si>
  <si>
    <t>带宽策略容量测试</t>
  </si>
  <si>
    <t>带宽策略Oplog测试</t>
  </si>
  <si>
    <t>带宽策略优先级调整测试</t>
  </si>
  <si>
    <t>被调整ID、方式、目标ID</t>
  </si>
  <si>
    <t>带宽策略优先级调整Oplog</t>
  </si>
  <si>
    <t>带宽策略配置限制测试</t>
  </si>
  <si>
    <t>带宽限制（带宽和），接口限制（物理接口,子接口、聚合口、bvi接口、隧道口）</t>
    <phoneticPr fontId="1" type="noConversion"/>
  </si>
  <si>
    <t>策略与对象耦合测试</t>
  </si>
  <si>
    <t>地址、地址组、服务、服务组、时间对象、安全域</t>
  </si>
  <si>
    <t>策略优先级调整限制测试</t>
    <phoneticPr fontId="1" type="noConversion"/>
  </si>
  <si>
    <t>put</t>
    <phoneticPr fontId="1" type="noConversion"/>
  </si>
  <si>
    <t>策略配置响应时间测试</t>
  </si>
  <si>
    <t>接口引用测试</t>
    <phoneticPr fontId="1" type="noConversion"/>
  </si>
  <si>
    <t>策略匹配</t>
  </si>
  <si>
    <t>单策略单条件匹配测试</t>
  </si>
  <si>
    <t>源接口、源安全域、源地址、目的接口、目的安全与、目的地址、服务、时间、应用、用户</t>
  </si>
  <si>
    <t>单策略多条件匹配测试</t>
  </si>
  <si>
    <t>多策略单条件匹配测试</t>
  </si>
  <si>
    <t>包含关系、交叉关系、冲突、半闭区间（上点匹配）、完全无包含关系</t>
  </si>
  <si>
    <t>多策略多条件匹配测试</t>
  </si>
  <si>
    <t>对象修改策略匹配生效测试</t>
  </si>
  <si>
    <t>安全域、地址、地址组、服务、服务组、时间对象</t>
  </si>
  <si>
    <t>策略匹配容量测试</t>
  </si>
  <si>
    <t>匹配优先级</t>
  </si>
  <si>
    <t>Qos策略匹配优先级测试</t>
  </si>
  <si>
    <t>默认不匹配、按照顺序匹配</t>
  </si>
  <si>
    <t>Qos策略优先级调整测试</t>
  </si>
  <si>
    <t>策略最前、指定ID之前、指定ID之后、默认策略之前</t>
  </si>
  <si>
    <t>策略分析</t>
  </si>
  <si>
    <t>带宽策略分析测试</t>
    <phoneticPr fontId="1" type="noConversion"/>
  </si>
  <si>
    <t>冲突策略、冗余策略、隐藏策略、可合并策略、空策略、过期策略、忽略策略</t>
    <phoneticPr fontId="1" type="noConversion"/>
  </si>
  <si>
    <t>带宽保障</t>
  </si>
  <si>
    <t>独占通道保障带宽测试</t>
  </si>
  <si>
    <t>上行、下行</t>
  </si>
  <si>
    <t>共享通道保障带宽测试</t>
  </si>
  <si>
    <t>独占和共享带宽共存时保障带宽测试</t>
  </si>
  <si>
    <t>保障带宽定时启停功能测试</t>
  </si>
  <si>
    <t>保障带宽阈值启停功能测试</t>
  </si>
  <si>
    <t>保障带宽和最大带宽混合使用</t>
  </si>
  <si>
    <t>不同模式下下接口的匹配和限速</t>
  </si>
  <si>
    <t>交换、路由、接口对、二层（带IP和不带IP）、接口对、IPv4</t>
    <phoneticPr fontId="1" type="noConversion"/>
  </si>
  <si>
    <t>不同接口类型的带宽限制功能</t>
  </si>
  <si>
    <t>物理接口、子接口、bvi接口、聚合口、隧道接口（封装和净荷报文计算）</t>
    <phoneticPr fontId="1" type="noConversion"/>
  </si>
  <si>
    <t>拥塞时的协议报文转发</t>
  </si>
  <si>
    <t>ARP、ND、PPPoE、DHCP、DNS、管理报文</t>
  </si>
  <si>
    <t>丢弃报文不占用带宽</t>
  </si>
  <si>
    <t>黑白名单、安全策略</t>
  </si>
  <si>
    <t>出口拥塞测试</t>
  </si>
  <si>
    <t>上行拥塞测试、下行拥塞测试</t>
  </si>
  <si>
    <t>带宽保障配置顺序测试</t>
  </si>
  <si>
    <t>先配接口带宽、先配策略和通道</t>
  </si>
  <si>
    <t>带宽限制</t>
  </si>
  <si>
    <t>独占通道最大带宽限制测试</t>
  </si>
  <si>
    <t>共享通道最大带宽限制测试</t>
  </si>
  <si>
    <t>独占和共享通道共存最大带宽限制测试</t>
  </si>
  <si>
    <t>最大带宽限制启停测试</t>
  </si>
  <si>
    <t>最大带宽限制阈值启停测试</t>
  </si>
  <si>
    <t>总额限制</t>
  </si>
  <si>
    <t>独占通道总额限制测试</t>
  </si>
  <si>
    <t>共享通道总额限制测试</t>
  </si>
  <si>
    <t>独占和共享通道共存总额制测试</t>
  </si>
  <si>
    <t>总额限制限制阈值启停测试</t>
  </si>
  <si>
    <t>总额限制启停测试</t>
  </si>
  <si>
    <t>总额限制限制数据清除条件测试</t>
  </si>
  <si>
    <t>手动启停、定时启停、阈值启停、会话老化和会话清除不清除</t>
  </si>
  <si>
    <t>逻辑口与物理口嵌套匹配后的带宽限制和总额限制测试</t>
  </si>
  <si>
    <t>bvi口与bvi的成员口、隧道口与物理口</t>
  </si>
  <si>
    <t>连接数量</t>
  </si>
  <si>
    <t>独占通道连接数量限制测试</t>
  </si>
  <si>
    <t>共享通道连接数量限制测试</t>
  </si>
  <si>
    <t>独占和共享通道共存连接数量限制测试</t>
  </si>
  <si>
    <t>连接数量限制阈值启停测试</t>
  </si>
  <si>
    <t>带宽管理混合使用</t>
  </si>
  <si>
    <t>连接限制、带宽限制、总额限制</t>
  </si>
  <si>
    <t>不同接口模式的连接限制</t>
  </si>
  <si>
    <t>交换、路由、接口对、连接数量、新建连接速度</t>
  </si>
  <si>
    <t>不同接口类型的连接限制</t>
  </si>
  <si>
    <t>物理接口、子接口、bvi接口、聚合口、隧道接口、连接数量、新建连接速度</t>
  </si>
  <si>
    <t>连接限制配置顺序测试</t>
  </si>
  <si>
    <t>先配qos策略再配接口阈值启停、现配接口阈值启停再配Qos策略</t>
  </si>
  <si>
    <t>新建速率</t>
  </si>
  <si>
    <t>独占通道新建连接速度限制测试</t>
  </si>
  <si>
    <t>共享通道新建连接速度限制测试</t>
  </si>
  <si>
    <t>独占和共享通道共存新建连接速度限制测试</t>
  </si>
  <si>
    <t>建连接速度限制阈值启停测试</t>
  </si>
  <si>
    <t>Qos升级测试</t>
  </si>
  <si>
    <t>Qos匹配、带宽和总额限制、连接限制</t>
  </si>
  <si>
    <t>Qos可靠性测试</t>
  </si>
  <si>
    <t>策略启停、接口带宽、带宽策略、通道配置增删修改、接口Updown、反复修改阈值、反复调整优先级</t>
  </si>
  <si>
    <t>Qos配置恢复测试</t>
  </si>
  <si>
    <t>配置导入导出、重启复位</t>
  </si>
  <si>
    <t>Qos主备切换测试</t>
  </si>
  <si>
    <t>配置同步、带宽限制主备切换、连接限制主备切换</t>
  </si>
  <si>
    <t>Qos控制会话测试</t>
  </si>
  <si>
    <t>qos放行、Qos丢弃、策略启停、自动启停</t>
    <phoneticPr fontId="1" type="noConversion"/>
  </si>
  <si>
    <t>Qos性能测试</t>
  </si>
  <si>
    <t>大流量时的吞吐量、大会话量时的吞吐量</t>
  </si>
  <si>
    <t>带宽和连接限制接口操作可靠性</t>
    <phoneticPr fontId="1" type="noConversion"/>
  </si>
  <si>
    <t>子接口、bvi口、聚合口、隧道口</t>
  </si>
  <si>
    <t>接口带宽增加测试</t>
    <phoneticPr fontId="1" type="noConversion"/>
  </si>
  <si>
    <t>接口</t>
    <phoneticPr fontId="1" type="noConversion"/>
  </si>
  <si>
    <t>总带宽</t>
    <phoneticPr fontId="1" type="noConversion"/>
  </si>
  <si>
    <t>繁忙阈值</t>
    <phoneticPr fontId="1" type="noConversion"/>
  </si>
  <si>
    <t>空闲阈值</t>
    <phoneticPr fontId="1" type="noConversion"/>
  </si>
  <si>
    <t>20</t>
    <phoneticPr fontId="1" type="noConversion"/>
  </si>
  <si>
    <t>90</t>
    <phoneticPr fontId="1" type="noConversion"/>
  </si>
  <si>
    <t>非数字</t>
    <phoneticPr fontId="1" type="noConversion"/>
  </si>
  <si>
    <t>任意物理接口</t>
    <phoneticPr fontId="1" type="noConversion"/>
  </si>
  <si>
    <t>管理口</t>
    <phoneticPr fontId="1" type="noConversion"/>
  </si>
  <si>
    <t>子接口</t>
    <phoneticPr fontId="1" type="noConversion"/>
  </si>
  <si>
    <t>bvi口</t>
    <phoneticPr fontId="1" type="noConversion"/>
  </si>
  <si>
    <t>隧道口</t>
    <phoneticPr fontId="1" type="noConversion"/>
  </si>
  <si>
    <t>10</t>
    <phoneticPr fontId="1" type="noConversion"/>
  </si>
  <si>
    <t>20000</t>
    <phoneticPr fontId="1" type="noConversion"/>
  </si>
  <si>
    <t>接口、总贷款、繁忙阈值、空闲阈值</t>
    <phoneticPr fontId="1" type="noConversion"/>
  </si>
  <si>
    <t>【check1】配置成功，使用restful查询接口带宽配置与下发的配置相同。使用etcd查询接口带宽配置，查询的值与配置的值相同
【check2】配置失败，网元无异常。使用etcd查询接口带宽配置与配置前相同</t>
    <phoneticPr fontId="1" type="noConversion"/>
  </si>
  <si>
    <t>任意聚合口</t>
    <phoneticPr fontId="1" type="noConversion"/>
  </si>
  <si>
    <t>聚合口的成员口</t>
    <phoneticPr fontId="1" type="noConversion"/>
  </si>
  <si>
    <t>任意不存在的接口名称</t>
    <phoneticPr fontId="1" type="noConversion"/>
  </si>
  <si>
    <t>接口带宽修改测试</t>
    <phoneticPr fontId="1" type="noConversion"/>
  </si>
  <si>
    <t>1、使用/api/v1/qosintf接口添加接口带宽时，配置${数据名称}为$[有效值]，其他参数为任意有效值,查询接口带宽配置【check1】
2、添加接口带宽时，配置${数据名称}为$[无效值]，其他参数为任意有效值,查询接口带宽配置【check2】</t>
    <phoneticPr fontId="1" type="noConversion"/>
  </si>
  <si>
    <t>Qos.cfg.intf.post</t>
    <phoneticPr fontId="1" type="noConversion"/>
  </si>
  <si>
    <t>Qos.cfg.intf.post</t>
    <phoneticPr fontId="1" type="noConversion"/>
  </si>
  <si>
    <t>Qos.cfg.intf.put</t>
    <phoneticPr fontId="1" type="noConversion"/>
  </si>
  <si>
    <t>接口带宽删除和批量删除测试</t>
    <phoneticPr fontId="1" type="noConversion"/>
  </si>
  <si>
    <t>接口带宽删除和批量删除测试</t>
    <phoneticPr fontId="1" type="noConversion"/>
  </si>
  <si>
    <t>ID</t>
    <phoneticPr fontId="1" type="noConversion"/>
  </si>
  <si>
    <t>空</t>
    <phoneticPr fontId="1" type="noConversion"/>
  </si>
  <si>
    <t>不存在的ID</t>
    <phoneticPr fontId="1" type="noConversion"/>
  </si>
  <si>
    <t>存在的任意ID</t>
    <phoneticPr fontId="1" type="noConversion"/>
  </si>
  <si>
    <t>1</t>
    <phoneticPr fontId="1" type="noConversion"/>
  </si>
  <si>
    <t>0</t>
    <phoneticPr fontId="1" type="noConversion"/>
  </si>
  <si>
    <t>10-20000间任意10的整数倍</t>
    <phoneticPr fontId="1" type="noConversion"/>
  </si>
  <si>
    <t>20-90间任意10的整数倍</t>
    <phoneticPr fontId="1" type="noConversion"/>
  </si>
  <si>
    <t>10</t>
    <phoneticPr fontId="1" type="noConversion"/>
  </si>
  <si>
    <t>100</t>
    <phoneticPr fontId="1" type="noConversion"/>
  </si>
  <si>
    <t>80</t>
    <phoneticPr fontId="1" type="noConversion"/>
  </si>
  <si>
    <t>10-80间任意10的整数倍</t>
    <phoneticPr fontId="1" type="noConversion"/>
  </si>
  <si>
    <t>0</t>
    <phoneticPr fontId="1" type="noConversion"/>
  </si>
  <si>
    <t>90</t>
    <phoneticPr fontId="1" type="noConversion"/>
  </si>
  <si>
    <t>10</t>
    <phoneticPr fontId="1" type="noConversion"/>
  </si>
  <si>
    <t>繁忙阈值小于空闲阈值</t>
    <phoneticPr fontId="1" type="noConversion"/>
  </si>
  <si>
    <t>繁忙阈值等于空闲阈值</t>
    <phoneticPr fontId="1" type="noConversion"/>
  </si>
  <si>
    <t>空闲阈值大于繁忙阈值</t>
    <phoneticPr fontId="1" type="noConversion"/>
  </si>
  <si>
    <t>空闲阈值等于于繁忙阈值</t>
    <phoneticPr fontId="1" type="noConversion"/>
  </si>
  <si>
    <t>9</t>
    <phoneticPr fontId="1" type="noConversion"/>
  </si>
  <si>
    <t>20001</t>
    <phoneticPr fontId="1" type="noConversion"/>
  </si>
  <si>
    <t>数据名称=Id;有效值=1,存在的任意值;无效值=0,不存在的Id,空,超长字符串</t>
    <phoneticPr fontId="1" type="noConversion"/>
  </si>
  <si>
    <t>其他任意非法字符串</t>
    <phoneticPr fontId="1" type="noConversion"/>
  </si>
  <si>
    <t>Qos.cfg.intf.put</t>
    <phoneticPr fontId="1" type="noConversion"/>
  </si>
  <si>
    <t>Qos.cfg.intf.delete</t>
    <phoneticPr fontId="1" type="noConversion"/>
  </si>
  <si>
    <t>验证Qos接口带宽删除和批量删除</t>
    <phoneticPr fontId="1" type="noConversion"/>
  </si>
  <si>
    <t>接口带宽的查询和分页查询测试</t>
    <phoneticPr fontId="1" type="noConversion"/>
  </si>
  <si>
    <t>Qos.cfg.intf.delete</t>
    <phoneticPr fontId="1" type="noConversion"/>
  </si>
  <si>
    <t>Qos.cfg.intf.get</t>
    <phoneticPr fontId="1" type="noConversion"/>
  </si>
  <si>
    <t>验证配置Qos接口带宽查询有效值和无效值</t>
  </si>
  <si>
    <t>1、网元正常启动</t>
    <phoneticPr fontId="1" type="noConversion"/>
  </si>
  <si>
    <t>1、网元正常启动</t>
    <phoneticPr fontId="1" type="noConversion"/>
  </si>
  <si>
    <t>接口带宽容量测试</t>
    <phoneticPr fontId="1" type="noConversion"/>
  </si>
  <si>
    <t>Qos.cfg.intf.cap</t>
    <phoneticPr fontId="1" type="noConversion"/>
  </si>
  <si>
    <t>容量</t>
    <phoneticPr fontId="1" type="noConversion"/>
  </si>
  <si>
    <t>验证配置Qos接口带宽容量测试</t>
    <phoneticPr fontId="1" type="noConversion"/>
  </si>
  <si>
    <t>【check1】配置成功，查询配置参与与实际配置参数一致。配置到最大数量后再添加qos接口带宽报错
【check2】修改成功，查询接口带宽与修改的参数一致
【check3】删除成功</t>
    <phoneticPr fontId="1" type="noConversion"/>
  </si>
  <si>
    <t>1、配置最大数量的Qos接口带宽【check1】
2、修改ID最大的Qos接口带宽【check2】
3、删除部分Qos接口带宽。【check3】
4、再次配置接口带宽到最大数量。【check1】</t>
    <phoneticPr fontId="1" type="noConversion"/>
  </si>
  <si>
    <t>Qos接口带宽Oplog测试</t>
    <phoneticPr fontId="1" type="noConversion"/>
  </si>
  <si>
    <t>Qos.cfg.intf.oplog</t>
    <phoneticPr fontId="1" type="noConversion"/>
  </si>
  <si>
    <t>验证配置Qos接口带宽容量测试</t>
    <phoneticPr fontId="1" type="noConversion"/>
  </si>
  <si>
    <t>验证配置Qos接口带宽的oplog测试</t>
    <phoneticPr fontId="1" type="noConversion"/>
  </si>
  <si>
    <t xml:space="preserve">1、构造$[有效接口操作]Qos接口带宽成功后观察Oplog【check1】
2、构造$[有效接口操作]Qos接口带宽失败后观察Oplog【check2】
</t>
    <phoneticPr fontId="1" type="noConversion"/>
  </si>
  <si>
    <r>
      <t>物理口、子接口、bvi、聚合口、隧道口</t>
    </r>
    <r>
      <rPr>
        <strike/>
        <sz val="11"/>
        <color rgb="FFFF0000"/>
        <rFont val="宋体"/>
        <family val="3"/>
        <charset val="134"/>
        <scheme val="minor"/>
      </rPr>
      <t>（与开发确认暂时不做）</t>
    </r>
    <phoneticPr fontId="1" type="noConversion"/>
  </si>
  <si>
    <t>接口带宽配置响应时间测试</t>
    <phoneticPr fontId="1" type="noConversion"/>
  </si>
  <si>
    <t>接口带宽配置限制测试</t>
    <phoneticPr fontId="1" type="noConversion"/>
  </si>
  <si>
    <t>聚合口</t>
    <phoneticPr fontId="1" type="noConversion"/>
  </si>
  <si>
    <t>配置结果</t>
    <phoneticPr fontId="1" type="noConversion"/>
  </si>
  <si>
    <t>接口操作</t>
    <phoneticPr fontId="1" type="noConversion"/>
  </si>
  <si>
    <t>bvi接口口操作</t>
    <phoneticPr fontId="1" type="noConversion"/>
  </si>
  <si>
    <t>在成员上配置接口带宽</t>
    <phoneticPr fontId="1" type="noConversion"/>
  </si>
  <si>
    <t>Qos.cfg.intf.limit</t>
    <phoneticPr fontId="1" type="noConversion"/>
  </si>
  <si>
    <t>Qos.cfg.intf.limit</t>
    <phoneticPr fontId="1" type="noConversion"/>
  </si>
  <si>
    <t>在Bvi口上配置接口带宽</t>
    <phoneticPr fontId="1" type="noConversion"/>
  </si>
  <si>
    <t>在聚合口上配置接口带宽</t>
    <phoneticPr fontId="1" type="noConversion"/>
  </si>
  <si>
    <t>在bvi成员上配置接口带宽</t>
    <phoneticPr fontId="1" type="noConversion"/>
  </si>
  <si>
    <t>接口类型</t>
    <phoneticPr fontId="1" type="noConversion"/>
  </si>
  <si>
    <t>数据名称和分类独立</t>
    <phoneticPr fontId="1" type="noConversion"/>
  </si>
  <si>
    <t>数据名称=接口类型;有效值=聚合口,bvi接口</t>
    <phoneticPr fontId="1" type="noConversion"/>
  </si>
  <si>
    <t>bvi接口</t>
    <phoneticPr fontId="1" type="noConversion"/>
  </si>
  <si>
    <t>聚合口操作</t>
    <phoneticPr fontId="1" type="noConversion"/>
  </si>
  <si>
    <t>删除聚合口</t>
    <phoneticPr fontId="1" type="noConversion"/>
  </si>
  <si>
    <t>数据名称和分类独立</t>
    <phoneticPr fontId="1" type="noConversion"/>
  </si>
  <si>
    <t>数据名称=聚合口操作;有效值=在聚合口上配置接口带宽,增删成员接口;无效值=删除聚合口,在成员上配置接口带宽</t>
    <phoneticPr fontId="1" type="noConversion"/>
  </si>
  <si>
    <t>增删成员接口</t>
    <phoneticPr fontId="1" type="noConversion"/>
  </si>
  <si>
    <t>数据名称=bvi接口口操作;有效值=在bvi成员上配置接口带宽,删除bvi接口,增删成员接口;无效值=在Bvi口上配置接口带宽</t>
    <phoneticPr fontId="1" type="noConversion"/>
  </si>
  <si>
    <t>删除bvi接口</t>
    <phoneticPr fontId="1" type="noConversion"/>
  </si>
  <si>
    <t>数据名称=聚合口操作;有效值=在聚合口上配置接口带宽,增删成员接口;无效值=删除聚合口,在成员上配置接口带宽;接口类型=聚合口
数据名称=bvi接口口操作;有效值=在bvi成员上配置接口带宽,删除bvi接口,增删成员接口;无效值=在Bvi口上配置接口带宽;接口类型=bvi接口</t>
    <phoneticPr fontId="1" type="noConversion"/>
  </si>
  <si>
    <t>接口类型,操作</t>
    <phoneticPr fontId="1" type="noConversion"/>
  </si>
  <si>
    <t>步骤3:物理用例设计</t>
    <phoneticPr fontId="1" type="noConversion"/>
  </si>
  <si>
    <t>验证Qos接口带宽与${接口类型}的配置限制功能</t>
    <phoneticPr fontId="1" type="noConversion"/>
  </si>
  <si>
    <t>验证Qos接口带宽与${接口类型}的配置限制功能</t>
    <phoneticPr fontId="1" type="noConversion"/>
  </si>
  <si>
    <t xml:space="preserve">1、在设备上配置${接口类型}
2、$[有效值]【check1】
2、$[无效值]【check2】
</t>
    <phoneticPr fontId="1" type="noConversion"/>
  </si>
  <si>
    <t>【check1】配置成功，查询qos接口带宽与配置值相同
【check2】配置失败，查询配置不变化</t>
    <phoneticPr fontId="1" type="noConversion"/>
  </si>
  <si>
    <t>10</t>
    <phoneticPr fontId="1" type="noConversion"/>
  </si>
  <si>
    <t>非数字</t>
    <phoneticPr fontId="1" type="noConversion"/>
  </si>
  <si>
    <t>0</t>
    <phoneticPr fontId="1" type="noConversion"/>
  </si>
  <si>
    <t>非数字</t>
    <phoneticPr fontId="1" type="noConversion"/>
  </si>
  <si>
    <t>上行最大带宽</t>
    <phoneticPr fontId="1" type="noConversion"/>
  </si>
  <si>
    <t>1个字符</t>
  </si>
  <si>
    <t>0个字符</t>
    <phoneticPr fontId="1" type="noConversion"/>
  </si>
  <si>
    <t>31个字符</t>
  </si>
  <si>
    <t>32个字符</t>
  </si>
  <si>
    <t>1-31任意个字符</t>
    <phoneticPr fontId="1" type="noConversion"/>
  </si>
  <si>
    <t>名称</t>
    <phoneticPr fontId="1" type="noConversion"/>
  </si>
  <si>
    <t>数据名称和分类独立</t>
    <phoneticPr fontId="1" type="noConversion"/>
  </si>
  <si>
    <t>通道模式</t>
    <phoneticPr fontId="1" type="noConversion"/>
  </si>
  <si>
    <t>独享</t>
    <phoneticPr fontId="1" type="noConversion"/>
  </si>
  <si>
    <t>共享</t>
    <phoneticPr fontId="1" type="noConversion"/>
  </si>
  <si>
    <t>其他任意非法字符串</t>
    <phoneticPr fontId="1" type="noConversion"/>
  </si>
  <si>
    <t>空</t>
    <phoneticPr fontId="1" type="noConversion"/>
  </si>
  <si>
    <t>超长字符串</t>
    <phoneticPr fontId="1" type="noConversion"/>
  </si>
  <si>
    <t>60</t>
    <phoneticPr fontId="1" type="noConversion"/>
  </si>
  <si>
    <t>60-200000000间任意值</t>
    <phoneticPr fontId="1" type="noConversion"/>
  </si>
  <si>
    <t>20-90间任意非10的整数倍</t>
    <phoneticPr fontId="1" type="noConversion"/>
  </si>
  <si>
    <t>10-80间任意非10的整数倍</t>
    <phoneticPr fontId="1" type="noConversion"/>
  </si>
  <si>
    <t>59</t>
    <phoneticPr fontId="1" type="noConversion"/>
  </si>
  <si>
    <t>200000000</t>
    <phoneticPr fontId="1" type="noConversion"/>
  </si>
  <si>
    <t>最大带宽等于保障带宽</t>
    <phoneticPr fontId="1" type="noConversion"/>
  </si>
  <si>
    <t>上行保障带宽</t>
    <phoneticPr fontId="1" type="noConversion"/>
  </si>
  <si>
    <t>保障带宽等于最大带宽</t>
    <phoneticPr fontId="1" type="noConversion"/>
  </si>
  <si>
    <t>下行最大带宽</t>
    <phoneticPr fontId="1" type="noConversion"/>
  </si>
  <si>
    <t>下行保障带宽</t>
    <phoneticPr fontId="1" type="noConversion"/>
  </si>
  <si>
    <t>最大连接数</t>
    <phoneticPr fontId="1" type="noConversion"/>
  </si>
  <si>
    <t>空</t>
    <phoneticPr fontId="1" type="noConversion"/>
  </si>
  <si>
    <t>空</t>
    <phoneticPr fontId="1" type="noConversion"/>
  </si>
  <si>
    <t xml:space="preserve">6000000 </t>
    <phoneticPr fontId="1" type="noConversion"/>
  </si>
  <si>
    <t>1-6000000间任意值</t>
    <phoneticPr fontId="1" type="noConversion"/>
  </si>
  <si>
    <t>空</t>
    <phoneticPr fontId="1" type="noConversion"/>
  </si>
  <si>
    <t>空</t>
    <phoneticPr fontId="1" type="noConversion"/>
  </si>
  <si>
    <t>非数字</t>
    <phoneticPr fontId="1" type="noConversion"/>
  </si>
  <si>
    <t>空</t>
    <phoneticPr fontId="1" type="noConversion"/>
  </si>
  <si>
    <t>数据名称=接口;有效值=任意物理接口,任意聚合口;无效值=管理口,子接口,bvi口,隧道口,聚合口的成员口,任意不存在的接口名称,空</t>
    <phoneticPr fontId="1" type="noConversion"/>
  </si>
  <si>
    <t>数据名称=总带宽;有效值=10,20000,10-20000间任意10的整数倍;无效值=9,20001,空,超长字符串,其他任意非法字符串,非数字,空</t>
    <phoneticPr fontId="1" type="noConversion"/>
  </si>
  <si>
    <t>数据名称=繁忙阈值;有效值=20,90,20-90间任意10的整数倍;无效值=10,100,繁忙阈值小于空闲阈值,繁忙阈值等于空闲阈值,20-90间任意非10的整数倍,空,非数字</t>
    <phoneticPr fontId="1" type="noConversion"/>
  </si>
  <si>
    <t>数据名称=空闲阈值;有效值=10,80,10-80间任意10的整数倍;无效值=0,90,空闲阈值大于繁忙阈值,空闲阈值等于于繁忙阈值,10-80间任意非10的整数倍,空,非数字</t>
    <phoneticPr fontId="1" type="noConversion"/>
  </si>
  <si>
    <t>数据名称=繁忙阈值;有效值=20,90,20-90间任意10的整数倍;无效值=10,100,繁忙阈值小于空闲阈值,繁忙阈值等于空闲阈值,20-90间任意非10的整数倍,空,非数字</t>
    <phoneticPr fontId="1" type="noConversion"/>
  </si>
  <si>
    <t>数据名称=空闲阈值;有效值=10,80,10-80间任意10的整数倍;无效值=0,90,空闲阈值大于繁忙阈值,空闲阈值等于于繁忙阈值,10-80间任意非10的整数倍,空,非数字</t>
    <phoneticPr fontId="1" type="noConversion"/>
  </si>
  <si>
    <t>数据名称=ID;有效值=1,存在的任意ID;无效值=空,0,不存在的ID,其他任意非法字符串
数据名称=接口;有效值=任意物理接口,任意聚合口;无效值=管理口,子接口,bvi口,隧道口,聚合口的成员口,任意不存在的接口名称,空
数据名称=总带宽;有效值=10,20000,10-20000间任意10的整数倍;无效值=9,20001,空,超长字符串,其他任意非法字符串,非数字,空
数据名称=繁忙阈值;有效值=20,90,20-90间任意10的整数倍;无效值=10,100,繁忙阈值小于空闲阈值,繁忙阈值等于空闲阈值,20-90间任意非10的整数倍,空,非数字
数据名称=空闲阈值;有效值=10,80,10-80间任意10的整数倍;无效值=0,90,空闲阈值大于繁忙阈值,空闲阈值等于于繁忙阈值,10-80间任意非10的整数倍,空,非数字</t>
    <phoneticPr fontId="1" type="noConversion"/>
  </si>
  <si>
    <t>数据名称=接口;有效值=任意物理接口,任意聚合口;无效值=管理口,子接口,bvi口,隧道口,聚合口的成员口,任意不存在的接口名称,空
数据名称=总带宽;有效值=10,20000,10-20000间任意10的整数倍;无效值=9,20001,空,超长字符串,其他任意非法字符串,非数字,空
数据名称=繁忙阈值;有效值=20,90,20-90间任意10的整数倍;无效值=10,100,繁忙阈值小于空闲阈值,繁忙阈值等于空闲阈值,20-90间任意非10的整数倍,空,非数字
数据名称=空闲阈值;有效值=10,80,10-80间任意10的整数倍;无效值=0,90,空闲阈值大于繁忙阈值,空闲阈值等于于繁忙阈值,10-80间任意非10的整数倍,空,非数字</t>
    <phoneticPr fontId="1" type="noConversion"/>
  </si>
  <si>
    <t>数据名称=接口;有效值=任意物理接口,任意聚合口;无效值=管理口,子接口,bvi口,隧道口,聚合口的成员口,任意不存在的接口名称,空
数据名称=总带宽;有效值=10,20000,10-20000间任意10的整数倍;无效值=9,20001,空,超长字符串,其他任意非法字符串,非数字,空
数据名称=繁忙阈值;有效值=20,90,20-90间任意10的整数倍;无效值=10,100,繁忙阈值小于空闲阈值,繁忙阈值等于空闲阈值,20-90间任意非10的整数倍,空,非数字
数据名称=空闲阈值;有效值=10,80,10-80间任意10的整数倍;无效值=0,90,空闲阈值大于繁忙阈值,空闲阈值等于于繁忙阈值,10-80间任意非10的整数倍,空,非数字</t>
    <phoneticPr fontId="1" type="noConversion"/>
  </si>
  <si>
    <t>新建连接速率</t>
    <phoneticPr fontId="1" type="noConversion"/>
  </si>
  <si>
    <t>500000</t>
    <phoneticPr fontId="1" type="noConversion"/>
  </si>
  <si>
    <t>1-500000间任意值</t>
    <phoneticPr fontId="1" type="noConversion"/>
  </si>
  <si>
    <t>500001</t>
    <phoneticPr fontId="1" type="noConversion"/>
  </si>
  <si>
    <t>0</t>
    <phoneticPr fontId="1" type="noConversion"/>
  </si>
  <si>
    <t>6000001</t>
    <phoneticPr fontId="1" type="noConversion"/>
  </si>
  <si>
    <t>200000000</t>
    <phoneticPr fontId="1" type="noConversion"/>
  </si>
  <si>
    <t>59</t>
    <phoneticPr fontId="1" type="noConversion"/>
  </si>
  <si>
    <t>限流对象</t>
    <phoneticPr fontId="1" type="noConversion"/>
  </si>
  <si>
    <t>每IP</t>
    <phoneticPr fontId="1" type="noConversion"/>
  </si>
  <si>
    <t>每用户</t>
    <phoneticPr fontId="1" type="noConversion"/>
  </si>
  <si>
    <t>/api/v1/qoschannel</t>
    <phoneticPr fontId="1" type="noConversion"/>
  </si>
  <si>
    <t>用户上行最大带宽</t>
    <phoneticPr fontId="1" type="noConversion"/>
  </si>
  <si>
    <t>用户最大连接数</t>
    <phoneticPr fontId="1" type="noConversion"/>
  </si>
  <si>
    <t>-1</t>
    <phoneticPr fontId="1" type="noConversion"/>
  </si>
  <si>
    <t>0</t>
    <phoneticPr fontId="1" type="noConversion"/>
  </si>
  <si>
    <t>-1</t>
    <phoneticPr fontId="1" type="noConversion"/>
  </si>
  <si>
    <t>200000001</t>
    <phoneticPr fontId="1" type="noConversion"/>
  </si>
  <si>
    <t>-1</t>
    <phoneticPr fontId="1" type="noConversion"/>
  </si>
  <si>
    <t>-1</t>
    <phoneticPr fontId="1" type="noConversion"/>
  </si>
  <si>
    <t>上行总额</t>
    <phoneticPr fontId="1" type="noConversion"/>
  </si>
  <si>
    <t>10-100000000间任意值</t>
    <phoneticPr fontId="1" type="noConversion"/>
  </si>
  <si>
    <t>100000000</t>
    <phoneticPr fontId="1" type="noConversion"/>
  </si>
  <si>
    <t>100000001</t>
    <phoneticPr fontId="1" type="noConversion"/>
  </si>
  <si>
    <t>9</t>
    <phoneticPr fontId="1" type="noConversion"/>
  </si>
  <si>
    <t>下行总额</t>
    <phoneticPr fontId="1" type="noConversion"/>
  </si>
  <si>
    <t>用户上行保障带宽</t>
    <phoneticPr fontId="1" type="noConversion"/>
  </si>
  <si>
    <t>用户下行最大带宽</t>
    <phoneticPr fontId="1" type="noConversion"/>
  </si>
  <si>
    <t>用户下行保障带宽</t>
    <phoneticPr fontId="1" type="noConversion"/>
  </si>
  <si>
    <t>用户上行总额</t>
    <phoneticPr fontId="1" type="noConversion"/>
  </si>
  <si>
    <t>用户下行总额</t>
    <phoneticPr fontId="1" type="noConversion"/>
  </si>
  <si>
    <t>用户新建连接速率</t>
    <phoneticPr fontId="1" type="noConversion"/>
  </si>
  <si>
    <t>用户最大带宽等于用户保障带宽</t>
    <phoneticPr fontId="1" type="noConversion"/>
  </si>
  <si>
    <t>用户保障带宽等于用户最大带宽</t>
    <phoneticPr fontId="1" type="noConversion"/>
  </si>
  <si>
    <t>用户最大带宽等于用户保障带宽</t>
    <phoneticPr fontId="1" type="noConversion"/>
  </si>
  <si>
    <t>用户上行最大带宽大于通道上行最大带宽</t>
    <phoneticPr fontId="1" type="noConversion"/>
  </si>
  <si>
    <t>用户上行保障带宽大于通道上行保障带宽</t>
    <phoneticPr fontId="1" type="noConversion"/>
  </si>
  <si>
    <t>用户下行保障带宽大于通道下行保障带宽</t>
    <phoneticPr fontId="1" type="noConversion"/>
  </si>
  <si>
    <t>用户上行总额大于通道上行总额</t>
    <phoneticPr fontId="1" type="noConversion"/>
  </si>
  <si>
    <t>用户下行总额大于通道下行总额</t>
    <phoneticPr fontId="1" type="noConversion"/>
  </si>
  <si>
    <t>用户最大连接数量大于通道最大连接数</t>
    <phoneticPr fontId="1" type="noConversion"/>
  </si>
  <si>
    <t>空</t>
    <phoneticPr fontId="1" type="noConversion"/>
  </si>
  <si>
    <t>用户新建连接速率大于通道新建连接速率</t>
    <phoneticPr fontId="1" type="noConversion"/>
  </si>
  <si>
    <t>用户保障带宽等于用户最大带宽</t>
    <phoneticPr fontId="1" type="noConversion"/>
  </si>
  <si>
    <t>用户保障带宽大于用户保障带宽</t>
    <phoneticPr fontId="1" type="noConversion"/>
  </si>
  <si>
    <t>用户下行最大带宽大于通道下行最大带宽</t>
    <phoneticPr fontId="1" type="noConversion"/>
  </si>
  <si>
    <t>用户上行保障带宽大于用户上行最大带宽</t>
    <phoneticPr fontId="1" type="noConversion"/>
  </si>
  <si>
    <t>用户下行最大带宽小于用户下行保障带宽</t>
    <phoneticPr fontId="1" type="noConversion"/>
  </si>
  <si>
    <t>用户上行最大带宽小于用户上行保障带宽</t>
    <phoneticPr fontId="1" type="noConversion"/>
  </si>
  <si>
    <t>下行保障带宽大于下行最大带宽</t>
    <phoneticPr fontId="1" type="noConversion"/>
  </si>
  <si>
    <t>下行最大带宽小于下行保障带宽</t>
    <phoneticPr fontId="1" type="noConversion"/>
  </si>
  <si>
    <t>上行保障带宽大于上行最大带宽</t>
    <phoneticPr fontId="1" type="noConversion"/>
  </si>
  <si>
    <t>上行最大带宽小于上行保障带宽</t>
    <phoneticPr fontId="1" type="noConversion"/>
  </si>
  <si>
    <t>通道新增测试</t>
    <phoneticPr fontId="1" type="noConversion"/>
  </si>
  <si>
    <t>/api/v1/qoschannel</t>
    <phoneticPr fontId="1" type="noConversion"/>
  </si>
  <si>
    <t>1、使用/api/v1/qoschannel接口添加Qos通道时，配置${数据名称}为$[有效值]，其他参数为任意有效值,查询通道配置【check1】
2、添加Qos通道时，配置${数据名称}为$[无效值]，其他参数为任意有效值,查询通道配置【check2】</t>
    <phoneticPr fontId="1" type="noConversion"/>
  </si>
  <si>
    <t>【check1】配置成功，使用restful查询通道配置与下发的配置相同。使用etcd查询通道配置，查询的值与配置的值相同
【check2】配置失败，网元无异常。使用rest接口和etcd查询通道配置与配置前相同</t>
    <phoneticPr fontId="1" type="noConversion"/>
  </si>
  <si>
    <t>【check1】配置成功，使用restful查询接口带宽配置与下发的配置相同。使用etcd查询接口带宽配置，查询的值与配置的值相同
【check2】配置失败，网元无异常。使用rest接口和etcd查询接口带宽配置与配置前相同</t>
    <phoneticPr fontId="1" type="noConversion"/>
  </si>
  <si>
    <t>【check1】删除成功，Qos接口带宽配置表中配置被删除。
【check2】使用restful查询Qos接口带宽，对应的接口带宽不存在
【check3】使用etcd查询Qos接口带宽，接口带宽被删除
【check4】删除失败，提示信息正确。查询Qos接口带宽表与删除前完全一致（无误删）。
【check5】返回删除失败，其中有效的ID被删除。查看Qos接口带宽配置中不包含在有效ID中的接口带宽不会被删除</t>
    <phoneticPr fontId="1" type="noConversion"/>
  </si>
  <si>
    <t>Qos.cfg.chl.post</t>
    <phoneticPr fontId="1" type="noConversion"/>
  </si>
  <si>
    <t>Qos.cfg.chl.post</t>
    <phoneticPr fontId="1" type="noConversion"/>
  </si>
  <si>
    <t>数据名称=名称;有效值=1个字符,31个字符,1-31任意个字符;无效值=0个字符,32个字符,空</t>
    <phoneticPr fontId="1" type="noConversion"/>
  </si>
  <si>
    <t>数据名称=通道模式;有效值=独享,共享;无效值=其他任意非法字符串,空,超长字符串</t>
  </si>
  <si>
    <t>数据名称=上行最大带宽;有效值=0,60,200000000,60-200000000间任意值,最大带宽等于保障带宽;无效值=1,-1,59,200000001,上行最大带宽小于上行保障带宽,非数字,空</t>
    <phoneticPr fontId="1" type="noConversion"/>
  </si>
  <si>
    <t>数据名称=上行保障带宽;有效值=0,60,200000000,60-200000000间任意值,保障带宽等于最大带宽;无效值=1,-1,59,200000000,上行保障带宽大于上行最大带宽,非数字,空</t>
    <phoneticPr fontId="1" type="noConversion"/>
  </si>
  <si>
    <t>数据名称=下行最大带宽;有效值=0,60,200000000,60-200000000间任意值,最大带宽等于保障带宽;无效值=1,-1,59,200000001,下行最大带宽小于下行保障带宽,非数字,空</t>
    <phoneticPr fontId="1" type="noConversion"/>
  </si>
  <si>
    <t>数据名称=下行保障带宽;有效值=0,60,200000000,60-200000000间任意值,保障带宽等于最大带宽;无效值=1,-1,59,200000000,下行保障带宽大于下行最大带宽,非数字,空</t>
    <phoneticPr fontId="1" type="noConversion"/>
  </si>
  <si>
    <t>数据名称=上行总额;有效值=0,10,100000000,10-100000000间任意值;无效值=1,-1,9,100000001,非数字,空</t>
    <phoneticPr fontId="1" type="noConversion"/>
  </si>
  <si>
    <t>数据名称=下行总额;有效值=0,10,100000000,10-100000000间任意值;无效值=1,-1,9,100000001,非数字,空</t>
    <phoneticPr fontId="1" type="noConversion"/>
  </si>
  <si>
    <t>数据名称=最大连接数;有效值=0,1,6000000 ,1-6000000间任意值;无效值=-1,6000001,非数字,空</t>
    <phoneticPr fontId="1" type="noConversion"/>
  </si>
  <si>
    <t>数据名称=新建连接速率;有效值=0,1,500000,1-500000间任意值;无效值=-1,500001,非数字,空</t>
    <phoneticPr fontId="1" type="noConversion"/>
  </si>
  <si>
    <t>数据名称=限流对象;有效值=每IP,每用户;无效值=其他任意非法字符串,空,超长字符串</t>
  </si>
  <si>
    <t>数据名称=用户上行最大带宽;有效值=0,60,200000000,60-200000000间任意值,用户最大带宽等于用户保障带宽;无效值=1,-1,59,200000001,用户上行最大带宽小于用户上行保障带宽,非数字,用户上行最大带宽大于通道上行最大带宽,空</t>
    <phoneticPr fontId="1" type="noConversion"/>
  </si>
  <si>
    <t>数据名称=用户上行保障带宽;有效值=0,60,200000000,60-200000000间任意值,用户保障带宽等于用户最大带宽;无效值=1,-1,59,200000000,用户上行保障带宽大于用户上行最大带宽,非数字,用户上行保障带宽大于通道上行保障带宽,空</t>
    <phoneticPr fontId="1" type="noConversion"/>
  </si>
  <si>
    <t>数据名称=用户下行最大带宽;有效值=0,60,200000000,60-200000000间任意值,用户最大带宽等于用户保障带宽;无效值=1,-1,59,200000001,用户下行最大带宽小于用户下行保障带宽,非数字,用户下行最大带宽大于通道下行最大带宽,空</t>
    <phoneticPr fontId="1" type="noConversion"/>
  </si>
  <si>
    <t>数据名称=用户下行保障带宽;有效值=0,60,200000000,60-200000000间任意值,用户保障带宽等于用户最大带宽;无效值=1,-1,59,200000000,用户保障带宽大于用户保障带宽,非数字,用户下行保障带宽大于通道下行保障带宽,空</t>
    <phoneticPr fontId="1" type="noConversion"/>
  </si>
  <si>
    <t>数据名称=用户上行总额;有效值=0,10,100000000,10-100000000间任意值;无效值=1,-1,9,100000001,非数字,用户上行总额大于通道上行总额,空</t>
    <phoneticPr fontId="1" type="noConversion"/>
  </si>
  <si>
    <t>数据名称=用户下行总额;有效值=0,10,100000000,10-100000000间任意值;无效值=1,-1,9,100000001,非数字,用户下行总额大于通道下行总额,空</t>
    <phoneticPr fontId="1" type="noConversion"/>
  </si>
  <si>
    <t>数据名称=用户最大连接数;有效值=0,1,6000000 ,1-6000000间任意值;无效值=-1,6000001,非数字,用户最大连接数量大于通道最大连接数,空</t>
    <phoneticPr fontId="1" type="noConversion"/>
  </si>
  <si>
    <t>数据名称=用户新建连接速率;有效值=0,1,500000,1-500000间任意值;无效值=-1,500001,非数字,用户新建连接速率大于通道新建连接速率,空</t>
    <phoneticPr fontId="1" type="noConversion"/>
  </si>
  <si>
    <t>数据名称=名称;有效值=1个字符,31个字符,1-31任意个字符;无效值=0个字符,32个字符,空
数据名称=通道模式;有效值=独享,共享;无效值=其他任意非法字符串,空,超长字符串
数据名称=上行最大带宽;有效值=0,60,200000000,60-200000000间任意值,最大带宽等于保障带宽;无效值=1,-1,59,200000001,上行最大带宽小于上行保障带宽,非数字,空
数据名称=上行保障带宽;有效值=0,60,200000000,60-200000000间任意值,保障带宽等于最大带宽;无效值=1,-1,59,200000000,上行保障带宽大于上行最大带宽,非数字,空
数据名称=下行最大带宽;有效值=0,60,200000000,60-200000000间任意值,最大带宽等于保障带宽;无效值=1,-1,59,200000001,下行最大带宽小于下行保障带宽,非数字,空
数据名称=下行保障带宽;有效值=0,60,200000000,60-200000000间任意值,保障带宽等于最大带宽;无效值=1,-1,59,200000000,下行保障带宽大于下行最大带宽,非数字,空
数据名称=上行总额;有效值=0,10,100000000,10-100000000间任意值;无效值=1,-1,9,100000001,非数字,空
数据名称=下行总额;有效值=0,10,100000000,10-100000000间任意值;无效值=1,-1,9,100000001,非数字,空
数据名称=最大连接数;有效值=0,1,6000000 ,1-6000000间任意值;无效值=-1,6000001,非数字,空
数据名称=新建连接速率;有效值=0,1,500000,1-500000间任意值;无效值=-1,500001,非数字,空
数据名称=限流对象;有效值=每IP,每用户;无效值=其他任意非法字符串,空,超长字符串
数据名称=用户上行最大带宽;有效值=0,60,200000000,60-200000000间任意值,用户最大带宽等于用户保障带宽;无效值=1,-1,59,200000001,用户上行最大带宽小于用户上行保障带宽,非数字,用户上行最大带宽大于通道上行最大带宽,空
数据名称=用户上行保障带宽;有效值=0,60,200000000,60-200000000间任意值,用户保障带宽等于用户最大带宽;无效值=1,-1,59,200000000,用户上行保障带宽大于用户上行最大带宽,非数字,用户上行保障带宽大于通道上行保障带宽,空
数据名称=用户下行最大带宽;有效值=0,60,200000000,60-200000000间任意值,用户最大带宽等于用户保障带宽;无效值=1,-1,59,200000001,用户下行最大带宽小于用户下行保障带宽,非数字,用户下行最大带宽大于通道下行最大带宽,空
数据名称=用户下行保障带宽;有效值=0,60,200000000,60-200000000间任意值,用户保障带宽等于用户最大带宽;无效值=1,-1,59,200000000,用户保障带宽大于用户保障带宽,非数字,用户下行保障带宽大于通道下行保障带宽,空
数据名称=用户上行总额;有效值=0,10,100000000,10-100000000间任意值;无效值=1,-1,9,100000001,非数字,用户上行总额大于通道上行总额,空
数据名称=用户下行总额;有效值=0,10,100000000,10-100000000间任意值;无效值=1,-1,9,100000001,非数字,用户下行总额大于通道下行总额,空
数据名称=用户最大连接数;有效值=0,1,6000000 ,1-6000000间任意值;无效值=-1,6000001,非数字,用户最大连接数量大于通道最大连接数,空
数据名称=用户新建连接速率;有效值=0,1,500000,1-500000间任意值;无效值=-1,500001,非数字,用户新建连接速率大于通道新建连接速率,空</t>
    <phoneticPr fontId="1" type="noConversion"/>
  </si>
  <si>
    <t>数据名称=名称;有效值=1个字符,31个字符,1-31任意个字符;无效值=0个字符,32个字符,空
数据名称=通道模式;有效值=独享,共享;无效值=其他任意非法字符串,空,超长字符串
数据名称=上行最大带宽;有效值=0,60,200000000,60-200000000间任意值,最大带宽等于保障带宽;无效值=1,-1,59,200000001,上行最大带宽小于上行保障带宽,非数字,空
数据名称=上行保障带宽;有效值=0,60,200000000,60-200000000间任意值,保障带宽等于最大带宽;无效值=1,-1,59,200000000,上行保障带宽大于上行最大带宽,非数字,空
数据名称=下行最大带宽;有效值=0,60,200000000,60-200000000间任意值,最大带宽等于保障带宽;无效值=1,-1,59,200000001,下行最大带宽小于下行保障带宽,非数字,空
数据名称=下行保障带宽;有效值=0,60,200000000,60-200000000间任意值,保障带宽等于最大带宽;无效值=1,-1,59,200000000,下行保障带宽大于下行最大带宽,非数字,空
数据名称=上行总额;有效值=0,10,100000000,10-100000000间任意值;无效值=1,-1,9,100000001,非数字,空
数据名称=下行总额;有效值=0,10,100000000,10-100000000间任意值;无效值=1,-1,9,100000001,非数字,空
数据名称=最大连接数;有效值=0,1,6000000 ,1-6000000间任意值;无效值=-1,6000001,非数字,空
数据名称=新建连接速率;有效值=0,1,500000,1-500000间任意值;无效值=-1,500001,非数字,空
数据名称=限流对象;有效值=每IP,每用户;无效值=其他任意非法字符串,空,超长字符串
数据名称=用户上行最大带宽;有效值=0,60,200000000,60-200000000间任意值,用户最大带宽等于用户保障带宽;无效值=1,-1,59,200000001,用户上行最大带宽小于用户上行保障带宽,非数字,用户上行最大带宽大于通道上行最大带宽,空
数据名称=用户上行保障带宽;有效值=0,60,200000000,60-200000000间任意值,用户保障带宽等于用户最大带宽;无效值=1,-1,59,200000000,用户上行保障带宽大于用户上行最大带宽,非数字,用户上行保障带宽大于通道上行保障带宽,空
数据名称=用户下行最大带宽;有效值=0,60,200000000,60-200000000间任意值,用户最大带宽等于用户保障带宽;无效值=1,-1,59,200000001,用户下行最大带宽小于用户下行保障带宽,非数字,用户下行最大带宽大于通道下行最大带宽,空
数据名称=用户下行保障带宽;有效值=0,60,200000000,60-200000000间任意值,用户保障带宽等于用户最大带宽;无效值=1,-1,59,200000000,用户保障带宽大于用户保障带宽,非数字,用户下行保障带宽大于通道下行保障带宽,空
数据名称=用户上行总额;有效值=0,10,100000000,10-100000000间任意值;无效值=1,-1,9,100000001,非数字,用户上行总额大于通道上行总额,空
数据名称=用户下行总额;有效值=0,10,100000000,10-100000000间任意值;无效值=1,-1,9,100000001,非数字,用户下行总额大于通道下行总额,空
数据名称=用户最大连接数;有效值=0,1,6000000 ,1-6000000间任意值;无效值=-1,6000001,非数字,用户最大连接数量大于通道最大连接数,空
数据名称=用户新建连接速率;有效值=0,1,500000,1-500000间任意值;无效值=-1,500001,非数字,用户新建连接速率大于通道新建连接速率,空</t>
    <phoneticPr fontId="1" type="noConversion"/>
  </si>
  <si>
    <t>名称,通道模式,上行最大带宽,上行保障带宽,下行最大带宽,下行保障带宽,上行总额,下行总额,最大连接数,新建连接速率,限流对象,用户上行最大带宽,用户上行保障带宽,用户下行最大带宽,用户下行保障带宽,用户上行总额,用户下行总额,用户最大连接数,用户新建连接速率</t>
    <phoneticPr fontId="1" type="noConversion"/>
  </si>
  <si>
    <t>通道修改测试</t>
    <phoneticPr fontId="1" type="noConversion"/>
  </si>
  <si>
    <t>Qos.cfg.chl.put</t>
    <phoneticPr fontId="1" type="noConversion"/>
  </si>
  <si>
    <t>Qos.cfg.chl.put</t>
    <phoneticPr fontId="1" type="noConversion"/>
  </si>
  <si>
    <t>数据名称=ID;有效值=1,存在的任意ID;无效值=空,0,不存在的ID,其他任意非法字符串</t>
    <phoneticPr fontId="1" type="noConversion"/>
  </si>
  <si>
    <t>原值相同</t>
    <phoneticPr fontId="1" type="noConversion"/>
  </si>
  <si>
    <t>与原值不同</t>
    <phoneticPr fontId="1" type="noConversion"/>
  </si>
  <si>
    <t>数据名称=ID;有效值=1,存在的任意ID;无效值=空,0,不存在的ID,其他任意非法字符串
数据名称=名称;有效值=原值相同;无效值=与原值不同,0个字符,32个字符,空
数据名称=通道模式;有效值=独享,共享;无效值=其他任意非法字符串,空,超长字符串
数据名称=上行最大带宽;有效值=0,60,200000000,60-200000000间任意值,最大带宽等于保障带宽;无效值=1,-1,59,200000001,上行最大带宽小于上行保障带宽,非数字,空
数据名称=上行保障带宽;有效值=0,60,200000000,60-200000000间任意值,保障带宽等于最大带宽;无效值=1,-1,59,200000000,上行保障带宽大于上行最大带宽,非数字,空
数据名称=下行最大带宽;有效值=0,60,200000000,60-200000000间任意值,最大带宽等于保障带宽;无效值=1,-1,59,200000001,下行最大带宽小于下行保障带宽,非数字,空
数据名称=下行保障带宽;有效值=0,60,200000000,60-200000000间任意值,保障带宽等于最大带宽;无效值=1,-1,59,200000000,下行保障带宽大于下行最大带宽,非数字,空
数据名称=上行总额;有效值=0,10,100000000,10-100000000间任意值;无效值=1,-1,9,100000001,非数字,空
数据名称=下行总额;有效值=0,10,100000000,10-100000000间任意值;无效值=1,-1,9,100000001,非数字,空
数据名称=最大连接数;有效值=0,1,6000000 ,1-6000000间任意值;无效值=-1,6000001,非数字,空
数据名称=新建连接速率;有效值=0,1,500000,1-500000间任意值;无效值=-1,500001,非数字,空
数据名称=限流对象;有效值=每IP,每用户;无效值=其他任意非法字符串,空,超长字符串
数据名称=用户上行最大带宽;有效值=0,60,200000000,60-200000000间任意值,用户最大带宽等于用户保障带宽;无效值=1,-1,59,200000001,用户上行最大带宽小于用户上行保障带宽,非数字,用户上行最大带宽大于通道上行最大带宽,空
数据名称=用户上行保障带宽;有效值=0,60,200000000,60-200000000间任意值,用户保障带宽等于用户最大带宽;无效值=1,-1,59,200000000,用户上行保障带宽大于用户上行最大带宽,非数字,用户上行保障带宽大于通道上行保障带宽,空
数据名称=用户下行最大带宽;有效值=0,60,200000000,60-200000000间任意值,用户最大带宽等于用户保障带宽;无效值=1,-1,59,200000001,用户下行最大带宽小于用户下行保障带宽,非数字,用户下行最大带宽大于通道下行最大带宽,空
数据名称=用户下行保障带宽;有效值=0,60,200000000,60-200000000间任意值,用户保障带宽等于用户最大带宽;无效值=1,-1,59,200000000,用户保障带宽大于用户保障带宽,非数字,用户下行保障带宽大于通道下行保障带宽,空
数据名称=用户上行总额;有效值=0,10,100000000,10-100000000间任意值;无效值=1,-1,9,100000001,非数字,用户上行总额大于通道上行总额,空
数据名称=用户下行总额;有效值=0,10,100000000,10-100000000间任意值;无效值=1,-1,9,100000001,非数字,用户下行总额大于通道下行总额,空
数据名称=用户最大连接数;有效值=0,1,6000000 ,1-6000000间任意值;无效值=-1,6000001,非数字,用户最大连接数量大于通道最大连接数,空
数据名称=用户新建连接速率;有效值=0,1,500000,1-500000间任意值;无效值=-1,500001,非数字,用户新建连接速率大于通道新建连接速率,空</t>
    <phoneticPr fontId="1" type="noConversion"/>
  </si>
  <si>
    <t>数据名称=ID;有效值=1,存在的任意ID;无效值=空,0,不存在的ID,其他任意非法字符串
数据名称=名称;有效值=原值相同;无效值=与原值不同,0个字符,32个字符,空
数据名称=通道模式;有效值=独享,共享;无效值=其他任意非法字符串,空,超长字符串
数据名称=上行最大带宽;有效值=0,60,200000000,60-200000000间任意值,最大带宽等于保障带宽;无效值=1,-1,59,200000001,上行最大带宽小于上行保障带宽,非数字,空
数据名称=上行保障带宽;有效值=0,60,200000000,60-200000000间任意值,保障带宽等于最大带宽;无效值=1,-1,59,200000000,上行保障带宽大于上行最大带宽,非数字,空
数据名称=下行最大带宽;有效值=0,60,200000000,60-200000000间任意值,最大带宽等于保障带宽;无效值=1,-1,59,200000001,下行最大带宽小于下行保障带宽,非数字,空
数据名称=下行保障带宽;有效值=0,60,200000000,60-200000000间任意值,保障带宽等于最大带宽;无效值=1,-1,59,200000000,下行保障带宽大于下行最大带宽,非数字,空
数据名称=上行总额;有效值=0,10,100000000,10-100000000间任意值;无效值=1,-1,9,100000001,非数字,空
数据名称=下行总额;有效值=0,10,100000000,10-100000000间任意值;无效值=1,-1,9,100000001,非数字,空
数据名称=最大连接数;有效值=0,1,6000000 ,1-6000000间任意值;无效值=-1,6000001,非数字,空
数据名称=新建连接速率;有效值=0,1,500000,1-500000间任意值;无效值=-1,500001,非数字,空
数据名称=限流对象;有效值=每IP,每用户;无效值=其他任意非法字符串,空,超长字符串
数据名称=用户上行最大带宽;有效值=0,60,200000000,60-200000000间任意值,用户最大带宽等于用户保障带宽;无效值=1,-1,59,200000001,用户上行最大带宽小于用户上行保障带宽,非数字,用户上行最大带宽大于通道上行最大带宽,空
数据名称=用户上行保障带宽;有效值=0,60,200000000,60-200000000间任意值,用户保障带宽等于用户最大带宽;无效值=1,-1,59,200000000,用户上行保障带宽大于用户上行最大带宽,非数字,用户上行保障带宽大于通道上行保障带宽,空
数据名称=用户下行最大带宽;有效值=0,60,200000000,60-200000000间任意值,用户最大带宽等于用户保障带宽;无效值=1,-1,59,200000001,用户下行最大带宽小于用户下行保障带宽,非数字,用户下行最大带宽大于通道下行最大带宽,空
数据名称=用户下行保障带宽;有效值=0,60,200000000,60-200000000间任意值,用户保障带宽等于用户最大带宽;无效值=1,-1,59,200000000,用户保障带宽大于用户保障带宽,非数字,用户下行保障带宽大于通道下行保障带宽,空
数据名称=用户上行总额;有效值=0,10,100000000,10-100000000间任意值;无效值=1,-1,9,100000001,非数字,用户上行总额大于通道上行总额,空
数据名称=用户下行总额;有效值=0,10,100000000,10-100000000间任意值;无效值=1,-1,9,100000001,非数字,用户下行总额大于通道下行总额,空
数据名称=用户最大连接数;有效值=0,1,6000000 ,1-6000000间任意值;无效值=-1,6000001,非数字,用户最大连接数量大于通道最大连接数,空
数据名称=用户新建连接速率;有效值=0,1,500000,1-500000间任意值;无效值=-1,500001,非数字,用户新建连接速率大于通道新建连接速率,空</t>
    <phoneticPr fontId="1" type="noConversion"/>
  </si>
  <si>
    <t>通道删除和批量删除测试</t>
    <phoneticPr fontId="1" type="noConversion"/>
  </si>
  <si>
    <t>通道查询和分页查询测试</t>
    <phoneticPr fontId="1" type="noConversion"/>
  </si>
  <si>
    <t>验证Qos通道删除和批量删除</t>
    <phoneticPr fontId="1" type="noConversion"/>
  </si>
  <si>
    <t>验证Qos通道删除和批量删除</t>
    <phoneticPr fontId="1" type="noConversion"/>
  </si>
  <si>
    <t>Qos.cfg.chl.delete</t>
    <phoneticPr fontId="1" type="noConversion"/>
  </si>
  <si>
    <t>Qos.cfg.chl.delete</t>
    <phoneticPr fontId="1" type="noConversion"/>
  </si>
  <si>
    <t>【check1】删除成功，Qos通道配置表中配置被删除。
【check2】使用restful查询Qos通道，对应的Qos通道不存在
【check3】使用etcd查询Qos通道，Qos通道被删除
【check4】删除失败，提示信息正确。查询Qos通道表与删除前完全一致（无误删）。
【check5】返回删除失败，其中有效的ID被删除。查看Qos通道配置中不包含在有效ID中的Qos通道不会被删除</t>
  </si>
  <si>
    <t>1、使用/api/v1/qoschannel接口查询Qos通道，不传入page和size参数【check1】
2、使用/api/v1/qoschannel接口查询Qos通道，传入page和size为0【check1】
3、使用/api/v1/qoschannel接口查询Qos通道，传入page和size为任意非0值【check1】
4、使用/api/v1/qoschannel接口查询Qos通道，传入page和size为最大值【check1】
5、使用/api/v1/qoschannel接口查询Qos通道，传入page和size为任意非数字【check1】</t>
  </si>
  <si>
    <t>1、配置大于3条Qos通道
2、使用/api/v1/qoschannel?id=&lt;id&gt;删除Qos通道。【check1】【check2】【check3】
2、使用/api/v1/qoschannel?id=&lt;id&gt;删除不存在的Qos通道id。【check4】
3、使用/api/v1/batch接口删除不存在的Qos通道id。【check5】
4、使用/api/v1/batch接口删除部分存在部分不存在的Qos通道【check5】
5、使用/api/v1/batch接口删除大于两条存在Qos通道。【check1】【check2】【check3】</t>
  </si>
  <si>
    <t>1、使用/api/v1/qosintf接口修改接口带宽时，配置${数据名称}为$[有效值]，其他参数为任意有效值,查询接口带宽配置【check1】
2、修改接口带宽时，配置${数据名称}为$[无效值]，其他参数为任意有效值,查询接口带宽配置【check2】</t>
    <phoneticPr fontId="1" type="noConversion"/>
  </si>
  <si>
    <t>1、使用/api/v1/qosintf接口查询Qos接口带宽，不传入page和size参数【check1】
2、使用/api/v1/qosintf接口查询Qos接口带宽，传入page和size为0【check1】
3、使用/api/v1/qosintf接口查询Qos接口带宽，传入page和size为任意非0值【check1】
4、使用/api/v1/qosintf接口查询Qos接口带宽，传入page和size为最大值【check1】
5、使用/api/v1/qosintf接口查询Qos接口带宽，传入page和size为任意非数字【check1】</t>
    <phoneticPr fontId="1" type="noConversion"/>
  </si>
  <si>
    <t>1、配置大于3条Qos接口带宽
2、使用/api/v1/qosintf?id=&lt;id&gt;删除接口带宽。【check1】【check2】【check3】
2、使用/api/v1/qosintf?id=&lt;id&gt;删除不存在的接口带宽id。【check4】
3、使用/api/v1/batch接口删除不存在的Qos接口带宽id。【check5】
4、使用/api/v1/batch接口删除部分存在部分不存在的QOS接口带宽【check5】
5、使用/api/v1/batch接口删除大于两条存在QoS接口带宽。【check1】【check2】【check3】</t>
    <phoneticPr fontId="1" type="noConversion"/>
  </si>
  <si>
    <t>通道容量测试</t>
    <phoneticPr fontId="1" type="noConversion"/>
  </si>
  <si>
    <t>验证配置Qos通道容量测试</t>
  </si>
  <si>
    <t>1、配置最大数量的Qos通道【check1】
2、修改ID最大的Qos通道【check2】
3、删除部分Qos通道。【check3】
4、再次配置接口带宽到最大数量。【check1】</t>
  </si>
  <si>
    <t>【check1】配置成功，查询配置参与与实际配置参数一致。配置到最大数量后再添加Qos通道报错
【check2】修改成功，查询接口带宽与修改的参数一致
【check3】删除成功</t>
  </si>
  <si>
    <t>Qos通道Oplog测试</t>
  </si>
  <si>
    <t>验证配置Qos通道的oplog测试</t>
  </si>
  <si>
    <t>验证配置Qos通道查询有效值和无效值</t>
  </si>
  <si>
    <t>通道配置限制</t>
    <phoneticPr fontId="1" type="noConversion"/>
  </si>
  <si>
    <t>Qos.cfg.chl.get</t>
  </si>
  <si>
    <t>Qos.cfg.chl.cap</t>
  </si>
  <si>
    <t>Qos.cfg.chl.oplog</t>
  </si>
  <si>
    <t>Qos.cfg.chl.share.limit</t>
  </si>
  <si>
    <t>Qos.cfg.chl.share.limit</t>
    <phoneticPr fontId="1" type="noConversion"/>
  </si>
  <si>
    <t>Qos.cfg.chl.private.limit</t>
  </si>
  <si>
    <t>Qos.cfg.chl.private.limit</t>
    <phoneticPr fontId="1" type="noConversion"/>
  </si>
  <si>
    <t>共享通道</t>
    <phoneticPr fontId="1" type="noConversion"/>
  </si>
  <si>
    <t>独占通道</t>
    <phoneticPr fontId="1" type="noConversion"/>
  </si>
  <si>
    <t>验证配置Qos共享通道配置限制测试</t>
    <phoneticPr fontId="1" type="noConversion"/>
  </si>
  <si>
    <t>验证配置Qos共享通道配置限制测试</t>
    <phoneticPr fontId="1" type="noConversion"/>
  </si>
  <si>
    <t>验证配置Qos独占通道配置限制测试</t>
    <phoneticPr fontId="1" type="noConversion"/>
  </si>
  <si>
    <t>验证配置Qos独占通道配置限制测试</t>
    <phoneticPr fontId="1" type="noConversion"/>
  </si>
  <si>
    <t>1、配置的Qos通道，通道类型未独占通道【check1】
2、配置1条Qos策略引用该通道【check2】
3、再配置一跳Qos策略引用该通道。【check3】
4、修改通道配置。【check3】
5、删除该通道。【check3】
6、取消Qos策略应用通道后，修改该通道。【check2】
7、删除该通道。【check2】</t>
    <phoneticPr fontId="1" type="noConversion"/>
  </si>
  <si>
    <t>状态</t>
    <phoneticPr fontId="1" type="noConversion"/>
  </si>
  <si>
    <t>启用</t>
    <phoneticPr fontId="1" type="noConversion"/>
  </si>
  <si>
    <t>禁用</t>
    <phoneticPr fontId="1" type="noConversion"/>
  </si>
  <si>
    <t>策略名称</t>
    <phoneticPr fontId="1" type="noConversion"/>
  </si>
  <si>
    <t>上行接口</t>
    <phoneticPr fontId="1" type="noConversion"/>
  </si>
  <si>
    <t>下行接口</t>
    <phoneticPr fontId="1" type="noConversion"/>
  </si>
  <si>
    <t>上行接口与下行接口相同</t>
    <phoneticPr fontId="1" type="noConversion"/>
  </si>
  <si>
    <t>下行接口与上行接口相同</t>
    <phoneticPr fontId="1" type="noConversion"/>
  </si>
  <si>
    <t>源地址</t>
    <phoneticPr fontId="1" type="noConversion"/>
  </si>
  <si>
    <t>any</t>
  </si>
  <si>
    <t>any和单个对象同时存在</t>
  </si>
  <si>
    <t>64字节字符串</t>
  </si>
  <si>
    <t>源地址组</t>
    <phoneticPr fontId="1" type="noConversion"/>
  </si>
  <si>
    <t>已存在地址对象名称</t>
    <phoneticPr fontId="1" type="noConversion"/>
  </si>
  <si>
    <t>已存在的地址组对象名称</t>
    <phoneticPr fontId="1" type="noConversion"/>
  </si>
  <si>
    <t>不存在的地址对象名称</t>
    <phoneticPr fontId="1" type="noConversion"/>
  </si>
  <si>
    <t>不存在的地址组对象名称</t>
    <phoneticPr fontId="1" type="noConversion"/>
  </si>
  <si>
    <t>多个地址对象共存</t>
    <phoneticPr fontId="1" type="noConversion"/>
  </si>
  <si>
    <t>多个地址组对象共存</t>
    <phoneticPr fontId="1" type="noConversion"/>
  </si>
  <si>
    <t>目的地址</t>
    <phoneticPr fontId="1" type="noConversion"/>
  </si>
  <si>
    <t>目的地址组</t>
    <phoneticPr fontId="1" type="noConversion"/>
  </si>
  <si>
    <t>服务</t>
    <phoneticPr fontId="1" type="noConversion"/>
  </si>
  <si>
    <t>服务组</t>
    <phoneticPr fontId="1" type="noConversion"/>
  </si>
  <si>
    <t>不存在的服务对象名称</t>
    <phoneticPr fontId="1" type="noConversion"/>
  </si>
  <si>
    <t>any和单个对象同时存在</t>
    <phoneticPr fontId="1" type="noConversion"/>
  </si>
  <si>
    <t>不存在的服务组对象名称</t>
    <phoneticPr fontId="1" type="noConversion"/>
  </si>
  <si>
    <t>多个服务组对象共存</t>
    <phoneticPr fontId="1" type="noConversion"/>
  </si>
  <si>
    <t>多个服务对象共存</t>
    <phoneticPr fontId="1" type="noConversion"/>
  </si>
  <si>
    <t>时间</t>
    <phoneticPr fontId="1" type="noConversion"/>
  </si>
  <si>
    <t>空</t>
    <phoneticPr fontId="1" type="noConversion"/>
  </si>
  <si>
    <t>已存在的时间对象</t>
    <phoneticPr fontId="1" type="noConversion"/>
  </si>
  <si>
    <t>通道</t>
    <phoneticPr fontId="1" type="noConversion"/>
  </si>
  <si>
    <t>不存在的通道</t>
    <phoneticPr fontId="1" type="noConversion"/>
  </si>
  <si>
    <t>不存在的时间对象名称</t>
    <phoneticPr fontId="1" type="noConversion"/>
  </si>
  <si>
    <t>数据名称=状态;有效值=启用,禁用;无效值=其他任意非法字符串,空,超长字符串</t>
    <phoneticPr fontId="1" type="noConversion"/>
  </si>
  <si>
    <t>数据名称=策略名称;有效值=原值相同;无效值=与原值不同,0个字符,32个字符,空</t>
    <phoneticPr fontId="1" type="noConversion"/>
  </si>
  <si>
    <t>数据名称=上行接口;有效值=任意物理接口,任意聚合口,上行接口与下行接口相同;无效值=管理口,子接口,bvi口,隧道口,聚合口的成员口,任意不存在的接口名称,空</t>
    <phoneticPr fontId="1" type="noConversion"/>
  </si>
  <si>
    <t>数据名称=下行接口;有效值=任意物理接口,任意聚合口,下行接口与上行接口相同;无效值=管理口,子接口,bvi口,隧道口,聚合口的成员口,任意不存在的接口名称,空</t>
    <phoneticPr fontId="1" type="noConversion"/>
  </si>
  <si>
    <t>数据名称=源地址;有效值=any,已存在地址对象名称,多个地址对象共存;无效值=空,不存在的地址对象名称,any和单个对象同时存在,64字节字符串</t>
    <phoneticPr fontId="1" type="noConversion"/>
  </si>
  <si>
    <t>数据名称=源地址组;有效值=any,已存在的地址组对象名称,多个地址组对象共存;无效值=空,不存在的地址组对象名称,any和单个对象同时存在,64字节字符串</t>
    <phoneticPr fontId="1" type="noConversion"/>
  </si>
  <si>
    <t>数据名称=目的地址;有效值=any,已存在地址对象名称,多个地址对象共存;无效值=空,不存在的地址对象名称,any和单个对象同时存在,64字节字符串</t>
    <phoneticPr fontId="1" type="noConversion"/>
  </si>
  <si>
    <t>数据名称=目的地址组;有效值=any,已存在的地址组对象名称,多个地址组对象共存;无效值=空,不存在的地址组对象名称,any和单个对象同时存在,64字节字符串</t>
    <phoneticPr fontId="1" type="noConversion"/>
  </si>
  <si>
    <t>数据名称=服务;有效值=any,已存在地址对象名称,多个服务对象共存;无效值=空,不存在的服务对象名称,any和单个对象同时存在,64字节字符串</t>
    <phoneticPr fontId="1" type="noConversion"/>
  </si>
  <si>
    <t>数据名称=服务组;有效值=any,已存在的地址组对象名称,多个服务组对象共存;无效值=空,不存在的服务组对象名称,any和单个对象同时存在,64字节字符串</t>
    <phoneticPr fontId="1" type="noConversion"/>
  </si>
  <si>
    <t>数据名称=时间;有效值=空,已存在的时间对象;无效值=不存在的时间对象名称,64字节字符串</t>
    <phoneticPr fontId="1" type="noConversion"/>
  </si>
  <si>
    <t>数据名称=通道;有效值=已存在的时间对象;无效值=空,不存在的通道,64字节字符串</t>
    <phoneticPr fontId="1" type="noConversion"/>
  </si>
  <si>
    <t>【check1】配置成功，使用restful查询带宽策略配置与下发的配置相同。使用etcd查询带宽策略配置，查询的值与配置的值相同
【check2】配置失败，网元无异常。使用etcd查询带宽策略配置与配置前相同</t>
  </si>
  <si>
    <t>1、使用/api/v1/qospolicer接口添加带宽策略时，配置${数据名称}为$[有效值]，其他参数为任意有效值,查询带宽策略配置【check1】
2、添加带宽策略时，配置${数据名称}为$[无效值]，其他参数为任意有效值,查询带宽策略配置【check2】</t>
    <phoneticPr fontId="1" type="noConversion"/>
  </si>
  <si>
    <t>数据名称=状态;有效值=启用,禁用;无效值=其他任意非法字符串,空,超长字符串
数据名称=策略名称;有效值=原值相同;无效值=与原值不同,0个字符,32个字符,空
数据名称=上行接口;有效值=任意物理接口,任意聚合口,上行接口与下行接口相同;无效值=管理口,子接口,bvi口,隧道口,聚合口的成员口,任意不存在的接口名称,空
数据名称=下行接口;有效值=任意物理接口,任意聚合口,下行接口与上行接口相同;无效值=管理口,子接口,bvi口,隧道口,聚合口的成员口,任意不存在的接口名称,空
数据名称=源地址;有效值=any,已存在地址对象名称,多个地址对象共存;无效值=空,不存在的地址对象名称,any和单个对象同时存在,64字节字符串
数据名称=源地址组;有效值=any,已存在的地址组对象名称,多个地址组对象共存;无效值=空,不存在的地址组对象名称,any和单个对象同时存在,64字节字符串
数据名称=目的地址;有效值=any,已存在地址对象名称,多个地址对象共存;无效值=空,不存在的地址对象名称,any和单个对象同时存在,64字节字符串
数据名称=目的地址组;有效值=any,已存在的地址组对象名称,多个地址组对象共存;无效值=空,不存在的地址组对象名称,any和单个对象同时存在,64字节字符串
数据名称=服务;有效值=any,已存在地址对象名称,多个服务对象共存;无效值=空,不存在的服务对象名称,any和单个对象同时存在,64字节字符串
数据名称=服务组;有效值=any,已存在的地址组对象名称,多个服务组对象共存;无效值=空,不存在的服务组对象名称,any和单个对象同时存在,64字节字符串
数据名称=时间;有效值=空,已存在的时间对象;无效值=不存在的时间对象名称,64字节字符串
数据名称=通道;有效值=已存在的时间对象;无效值=空,不存在的通道,64字节字符串</t>
    <phoneticPr fontId="1" type="noConversion"/>
  </si>
  <si>
    <t>数据名称=状态;有效值=启用,禁用;无效值=其他任意非法字符串,空,超长字符串
数据名称=策略名称;有效值=原值相同;无效值=与原值不同,0个字符,32个字符,空
数据名称=上行接口;有效值=任意物理接口,任意聚合口,上行接口与下行接口相同;无效值=管理口,子接口,bvi口,隧道口,聚合口的成员口,任意不存在的接口名称,空
数据名称=下行接口;有效值=任意物理接口,任意聚合口,下行接口与上行接口相同;无效值=管理口,子接口,bvi口,隧道口,聚合口的成员口,任意不存在的接口名称,空
数据名称=源地址;有效值=any,已存在地址对象名称,多个地址对象共存;无效值=空,不存在的地址对象名称,any和单个对象同时存在,64字节字符串
数据名称=源地址组;有效值=any,已存在的地址组对象名称,多个地址组对象共存;无效值=空,不存在的地址组对象名称,any和单个对象同时存在,64字节字符串
数据名称=目的地址;有效值=any,已存在地址对象名称,多个地址对象共存;无效值=空,不存在的地址对象名称,any和单个对象同时存在,64字节字符串
数据名称=目的地址组;有效值=any,已存在的地址组对象名称,多个地址组对象共存;无效值=空,不存在的地址组对象名称,any和单个对象同时存在,64字节字符串
数据名称=服务;有效值=any,已存在地址对象名称,多个服务对象共存;无效值=空,不存在的服务对象名称,any和单个对象同时存在,64字节字符串
数据名称=服务组;有效值=any,已存在的地址组对象名称,多个服务组对象共存;无效值=空,不存在的服务组对象名称,any和单个对象同时存在,64字节字符串
数据名称=时间;有效值=空,已存在的时间对象;无效值=不存在的时间对象名称,64字节字符串
数据名称=通道;有效值=已存在的时间对象;无效值=空,不存在的通道,64字节字符串</t>
    <phoneticPr fontId="1" type="noConversion"/>
  </si>
  <si>
    <t>Qos.cfg.policy.post</t>
    <phoneticPr fontId="1" type="noConversion"/>
  </si>
  <si>
    <t>状态,策略名称,上行接口,下行接口,源地址,源地址组,目的地址,目的地址组,服务,服务组,时间,通道</t>
    <phoneticPr fontId="1" type="noConversion"/>
  </si>
  <si>
    <t>带宽策略修改测试</t>
    <phoneticPr fontId="1" type="noConversion"/>
  </si>
  <si>
    <t>状态</t>
    <phoneticPr fontId="1" type="noConversion"/>
  </si>
  <si>
    <t>数据名称=ID;有效值=1,存在的任意ID;无效值=空,0,不存在的ID,其他任意非法字符串
数据名称=状态;有效值=启用,禁用;无效值=其他任意非法字符串,空,超长字符串
数据名称=策略名称;有效值=原值相同;无效值=与原值不同,0个字符,32个字符,空
数据名称=上行接口;有效值=任意物理接口,任意聚合口,上行接口与下行接口相同;无效值=管理口,子接口,bvi口,隧道口,聚合口的成员口,任意不存在的接口名称,空
数据名称=下行接口;有效值=任意物理接口,任意聚合口,下行接口与上行接口相同;无效值=管理口,子接口,bvi口,隧道口,聚合口的成员口,任意不存在的接口名称,空
数据名称=源地址;有效值=any,已存在地址对象名称,多个地址对象共存;无效值=空,不存在的地址对象名称,any和单个对象同时存在,64字节字符串
数据名称=源地址组;有效值=any,已存在的地址组对象名称,多个地址组对象共存;无效值=空,不存在的地址组对象名称,any和单个对象同时存在,64字节字符串
数据名称=目的地址;有效值=any,已存在地址对象名称,多个地址对象共存;无效值=空,不存在的地址对象名称,any和单个对象同时存在,64字节字符串
数据名称=目的地址组;有效值=any,已存在的地址组对象名称,多个地址组对象共存;无效值=空,不存在的地址组对象名称,any和单个对象同时存在,64字节字符串
数据名称=服务;有效值=any,已存在地址对象名称,多个服务对象共存;无效值=空,不存在的服务对象名称,any和单个对象同时存在,64字节字符串
数据名称=服务组;有效值=any,已存在的地址组对象名称,多个服务组对象共存;无效值=空,不存在的服务组对象名称,any和单个对象同时存在,64字节字符串
数据名称=时间;有效值=空,已存在的时间对象;无效值=不存在的时间对象名称,64字节字符串
数据名称=通道;有效值=已存在的时间对象;无效值=空,不存在的通道,64字节字符串</t>
    <phoneticPr fontId="1" type="noConversion"/>
  </si>
  <si>
    <t>数据名称=ID;有效值=1,存在的任意ID;无效值=空,0,不存在的ID,其他任意非法字符串
数据名称=状态;有效值=启用,禁用;无效值=其他任意非法字符串,空,超长字符串
数据名称=策略名称;有效值=原值相同;无效值=与原值不同,0个字符,32个字符,空
数据名称=上行接口;有效值=任意物理接口,任意聚合口,上行接口与下行接口相同;无效值=管理口,子接口,bvi口,隧道口,聚合口的成员口,任意不存在的接口名称,空
数据名称=下行接口;有效值=任意物理接口,任意聚合口,下行接口与上行接口相同;无效值=管理口,子接口,bvi口,隧道口,聚合口的成员口,任意不存在的接口名称,空
数据名称=源地址;有效值=any,已存在地址对象名称,多个地址对象共存;无效值=空,不存在的地址对象名称,any和单个对象同时存在,64字节字符串
数据名称=源地址组;有效值=any,已存在的地址组对象名称,多个地址组对象共存;无效值=空,不存在的地址组对象名称,any和单个对象同时存在,64字节字符串
数据名称=目的地址;有效值=any,已存在地址对象名称,多个地址对象共存;无效值=空,不存在的地址对象名称,any和单个对象同时存在,64字节字符串
数据名称=目的地址组;有效值=any,已存在的地址组对象名称,多个地址组对象共存;无效值=空,不存在的地址组对象名称,any和单个对象同时存在,64字节字符串
数据名称=服务;有效值=any,已存在地址对象名称,多个服务对象共存;无效值=空,不存在的服务对象名称,any和单个对象同时存在,64字节字符串
数据名称=服务组;有效值=any,已存在的地址组对象名称,多个服务组对象共存;无效值=空,不存在的服务组对象名称,any和单个对象同时存在,64字节字符串
数据名称=时间;有效值=空,已存在的时间对象;无效值=不存在的时间对象名称,64字节字符串
数据名称=通道;有效值=已存在的时间对象;无效值=空,不存在的通道,64字节字符串</t>
    <phoneticPr fontId="1" type="noConversion"/>
  </si>
  <si>
    <t>1、使用/api/v1/qospolicer接口修改带宽策略时，配置${数据名称}为$[有效值]，其他参数为任意有效值,查询带宽策略配置【check1】
2、修改带宽策略时，配置${数据名称}为$[无效值]，其他参数为任意有效值,查询带宽策略配置【check2】</t>
    <phoneticPr fontId="1" type="noConversion"/>
  </si>
  <si>
    <t>Qos.cfg.policy.put</t>
    <phoneticPr fontId="1" type="noConversion"/>
  </si>
  <si>
    <t>验证Qos带宽策略删除和批量删除</t>
  </si>
  <si>
    <t>【check1】删除成功，Qos带宽策略配置表中配置被删除。
【check2】使用restful查询Qos带宽策略，对应的带宽策略不存在
【check3】使用etcd查询Qos带宽策略，带宽策略被删除
【check4】删除失败，提示信息正确。查询Qos带宽策略表与删除前完全一致（无误删）。
【check5】返回删除失败，其中有效的ID被删除。查看Qos带宽策略配置中不包含在有效ID中的带宽策略不会被删除</t>
  </si>
  <si>
    <t>带宽策略的查询和分页查询测试</t>
  </si>
  <si>
    <t>验证配置Qos带宽策略查询有效值和无效值</t>
  </si>
  <si>
    <t>1、配置大于3条Qos带宽策略
2、使用/api/v1/qospolicer?id=&lt;id&gt;删除带宽策略。【check1】【check2】【check3】
2、使用/api/v1/qospolicer?id=&lt;id&gt;删除不存在的带宽策略id。【check4】
3、使用/api/v1/batch接口删除不存在的Qos带宽策略id。【check5】
4、使用/api/v1/batch接口删除部分存在部分不存在的QOS带宽策略【check5】
5、使用/api/v1/batch接口删除大于两条存在QoS带宽策略。【check1】【check2】【check3】</t>
  </si>
  <si>
    <t>1、使用/api/v1/qospolicer接口查询Qos带宽策略，不传入page和size参数【check1】
2、使用/api/v1/qospolicer接口查询Qos带宽策略，传入page和size为0【check1】
3、使用/api/v1/qospolicer接口查询Qos带宽策略，传入page和size为任意非0值【check1】
4、使用/api/v1/qospolicer接口查询Qos带宽策略，传入page和size为最大值【check1】
5、使用/api/v1/qospolicer接口查询Qos带宽策略，传入page和size为任意非数字【check1】</t>
  </si>
  <si>
    <t>验证配置Qos带宽策略容量测试</t>
  </si>
  <si>
    <t>1、配置最大数量的Qos带宽策略【check1】
2、修改ID最大的Qos带宽策略【check2】
3、删除部分Qos带宽策略。【check3】
4、再次配置带宽策略到最大数量。【check1】</t>
  </si>
  <si>
    <t>【check1】配置成功，查询配置参与与实际配置参数一致。配置到最大数量后再添加qos带宽策略报错
【check2】修改成功，查询带宽策略与修改的参数一致
【check3】删除成功</t>
  </si>
  <si>
    <t>Qos带宽策略Oplog测试</t>
  </si>
  <si>
    <t>验证配置Qos带宽策略的oplog测试</t>
  </si>
  <si>
    <t xml:space="preserve">1、构造$[有效接口操作]Qos带宽策略成功后观察Oplog【check1】
2、构造$[有效接口操作]Qos带宽策略失败后观察Oplog【check2】
</t>
  </si>
  <si>
    <t>Qos.cfg.policy.oplog</t>
  </si>
  <si>
    <t>Qos.cfg.policy.delete</t>
  </si>
  <si>
    <t>Qos.cfg.policy.get</t>
  </si>
  <si>
    <t>Qos.cfg.policy.cap</t>
  </si>
  <si>
    <t>带宽策略配置限制</t>
    <phoneticPr fontId="1" type="noConversion"/>
  </si>
  <si>
    <t>验证配置Qos带宽策略配置限制测试</t>
    <phoneticPr fontId="1" type="noConversion"/>
  </si>
  <si>
    <t>【check1】配置成功
【check2】配置失败</t>
    <phoneticPr fontId="1" type="noConversion"/>
  </si>
  <si>
    <t>带宽策略批量启用禁用测试</t>
    <phoneticPr fontId="1" type="noConversion"/>
  </si>
  <si>
    <t>验证Qos带宽策略批量启用和禁用测试</t>
    <phoneticPr fontId="1" type="noConversion"/>
  </si>
  <si>
    <t>验证Qos带宽策略批量启用和禁用测试</t>
    <phoneticPr fontId="1" type="noConversion"/>
  </si>
  <si>
    <t>Qos.cfg.policy.batch.put</t>
    <phoneticPr fontId="1" type="noConversion"/>
  </si>
  <si>
    <t>数据名称=Id;有效值=1,存在的任意值;无效值=0,不存在的Id,空,超长字符串</t>
    <phoneticPr fontId="1" type="noConversion"/>
  </si>
  <si>
    <t>1、网元正常启动</t>
    <phoneticPr fontId="1" type="noConversion"/>
  </si>
  <si>
    <t xml:space="preserve">【check1】返回删除失败，其中有效的ID被删除。查看Qos带宽策略配置中不包含在有效ID中的带宽策略不会被删除
【check2】删除成功，Qos带宽策略配置表中配置被删除。
【check3】使用restful查询Qos带宽策略，对应的带宽策略不存在
【check4】使用etcd查询Qos带宽策略，带宽策略被删除
【check4】删除失败，提示信息正确。查询Qos带宽策略表与删除前完全一致（无误删）。
</t>
    <phoneticPr fontId="1" type="noConversion"/>
  </si>
  <si>
    <t>1、配置大于3条Qos带宽策略
2、使用/api/v1/batch接口启用不存在的Qos带宽策略id。【check1】
3、使用/api/v1/batch接口启用部分存在部分不存在的QOS带宽策略【check1】
4、使用/api/v1/batch接口启用大于两条存在QoS带宽策略。【check2】【check3】【check4】
5、使用/api/v1/batch接口禁用不存在的Qos带宽策略id。【check1】
6、使用/api/v1/batch接口禁用部分存在部分不存在的QOS带宽策略【check1】
7、使用/api/v1/batch接口禁用大于两条存在QoS带宽策略。【check2】【check3】【check4】</t>
    <phoneticPr fontId="1" type="noConversion"/>
  </si>
  <si>
    <t>带宽策略批量启用和禁用测试</t>
    <phoneticPr fontId="1" type="noConversion"/>
  </si>
  <si>
    <t>first-策略最前</t>
  </si>
  <si>
    <t>数据名称=调整方式;有效值=策略最前,策略ID之前,策略ID之后,默认策略之前</t>
  </si>
  <si>
    <t>before-策略ID之前</t>
  </si>
  <si>
    <t>after-策略ID之后</t>
  </si>
  <si>
    <t>last-默认策略之前</t>
  </si>
  <si>
    <t>数据名称=策略id;有效值=有效id;无效值=空,字符串,0,64字节字符串</t>
  </si>
  <si>
    <t>1</t>
    <phoneticPr fontId="1" type="noConversion"/>
  </si>
  <si>
    <t>0</t>
    <phoneticPr fontId="1" type="noConversion"/>
  </si>
  <si>
    <t>任意存在的ID</t>
    <phoneticPr fontId="1" type="noConversion"/>
  </si>
  <si>
    <t>超长字符串</t>
    <phoneticPr fontId="1" type="noConversion"/>
  </si>
  <si>
    <t>与被调整ID相同</t>
    <phoneticPr fontId="1" type="noConversion"/>
  </si>
  <si>
    <t>调整方式为last时存在目标策略ID</t>
    <phoneticPr fontId="1" type="noConversion"/>
  </si>
  <si>
    <t>调整方式为first时存在目标策略ID</t>
    <phoneticPr fontId="1" type="noConversion"/>
  </si>
  <si>
    <t>调整方式为after时目标ID为空</t>
    <phoneticPr fontId="1" type="noConversion"/>
  </si>
  <si>
    <t>1</t>
    <phoneticPr fontId="1" type="noConversion"/>
  </si>
  <si>
    <t>调整方式为before时目标ID为空</t>
    <phoneticPr fontId="1" type="noConversion"/>
  </si>
  <si>
    <t>调整方式为first时目标ID为空</t>
    <phoneticPr fontId="1" type="noConversion"/>
  </si>
  <si>
    <t>调整方式为last时目标ID为空</t>
    <phoneticPr fontId="1" type="noConversion"/>
  </si>
  <si>
    <t>数据名称和分类合并</t>
    <phoneticPr fontId="1" type="noConversion"/>
  </si>
  <si>
    <t>数据名称和分类独立</t>
    <phoneticPr fontId="1" type="noConversion"/>
  </si>
  <si>
    <t>数据名称和分类独立</t>
    <phoneticPr fontId="1" type="noConversion"/>
  </si>
  <si>
    <t>带宽策略优先级调整测试</t>
    <phoneticPr fontId="1" type="noConversion"/>
  </si>
  <si>
    <t>带宽策略优先级调整测试</t>
    <phoneticPr fontId="1" type="noConversion"/>
  </si>
  <si>
    <t>Qos.cfg.chl.policy.limit</t>
    <phoneticPr fontId="1" type="noConversion"/>
  </si>
  <si>
    <t>调整带宽策略优先级时${数据名称}有效值和无效值测试</t>
    <phoneticPr fontId="1" type="noConversion"/>
  </si>
  <si>
    <t>调整带宽策略优先级时${数据名称}有效值和无效值测试</t>
    <phoneticPr fontId="1" type="noConversion"/>
  </si>
  <si>
    <t>Qos.cfg.chl.policy.pri.put</t>
    <phoneticPr fontId="1" type="noConversion"/>
  </si>
  <si>
    <t>1、网元正常启动</t>
    <phoneticPr fontId="1" type="noConversion"/>
  </si>
  <si>
    <t>【check1】操作成功，restful和etcd查询结果与调整预期值相同
【check2】操作失败，restful和etcd查询结果与调整前相同</t>
    <phoneticPr fontId="1" type="noConversion"/>
  </si>
  <si>
    <t>被调整策略ID</t>
    <phoneticPr fontId="1" type="noConversion"/>
  </si>
  <si>
    <t>调整方式</t>
    <phoneticPr fontId="1" type="noConversion"/>
  </si>
  <si>
    <t>被调整策略ID,调整方式,目标策略ID</t>
    <phoneticPr fontId="1" type="noConversion"/>
  </si>
  <si>
    <t>目标策略ID</t>
    <phoneticPr fontId="1" type="noConversion"/>
  </si>
  <si>
    <t>带宽策略优先级调整Oplog测试</t>
    <phoneticPr fontId="1" type="noConversion"/>
  </si>
  <si>
    <t>带宽策略优先级调整Oplog测试</t>
    <phoneticPr fontId="1" type="noConversion"/>
  </si>
  <si>
    <t>Qos.cfg.chl.policy.pri.put</t>
    <phoneticPr fontId="1" type="noConversion"/>
  </si>
  <si>
    <t>Qos.cfg.chl.policy.pri.oplog</t>
    <phoneticPr fontId="1" type="noConversion"/>
  </si>
  <si>
    <t>任意不存在的ID</t>
    <phoneticPr fontId="1" type="noConversion"/>
  </si>
  <si>
    <t>其他任意字符串</t>
    <phoneticPr fontId="1" type="noConversion"/>
  </si>
  <si>
    <t>任意不存在的ID</t>
    <phoneticPr fontId="1" type="noConversion"/>
  </si>
  <si>
    <t>数据名称=被调整策略ID;有效值=1,任意存在的ID;无效值=0,任意不存在的ID,空,超长字符串
数据名称=调整方式;有效值=first-策略最前,before-策略ID之前,after-策略ID之后,last-默认策略之前;无效值=空,其他任意字符串,超长字符串
数据名称=目标策略ID;有效值=1,任意不存在的ID,调整方式为first时目标ID为空,调整方式为last时目标ID为空;无效值=0,任意存在的ID,与被调整ID相同,调整方式为before时目标ID为空,调整方式为after时目标ID为空,超长字符串,调整方式为first时存在目标策略ID,调整方式为last时存在目标策略ID</t>
    <phoneticPr fontId="1" type="noConversion"/>
  </si>
  <si>
    <t>数据名称=被调整策略ID;有效值=1,任意不存在的ID;无效值=0,任意存在的ID,空,超长字符串
数据名称=调整方式;有效值=first-策略最前,before-策略ID之前,after-策略ID之后,last-默认策略之前;无效值=空,其他任意字符串,超长字符串
数据名称=目标策略ID;有效值=1,任意不存在的ID,调整方式为first时目标ID为空,调整方式为last时目标ID为空;无效值=0,任意存在的ID,与被调整ID相同,调整方式为before时目标ID为空,调整方式为after时目标ID为空,超长字符串,调整方式为first时存在目标策略ID,调整方式为last时存在目标策略ID</t>
    <phoneticPr fontId="1" type="noConversion"/>
  </si>
  <si>
    <t>策略与对象耦合测试</t>
    <phoneticPr fontId="1" type="noConversion"/>
  </si>
  <si>
    <t>策略与对象耦合测试</t>
    <phoneticPr fontId="1" type="noConversion"/>
  </si>
  <si>
    <t>操作</t>
    <phoneticPr fontId="1" type="noConversion"/>
  </si>
  <si>
    <t>修改</t>
    <phoneticPr fontId="1" type="noConversion"/>
  </si>
  <si>
    <t>查询</t>
    <phoneticPr fontId="1" type="noConversion"/>
  </si>
  <si>
    <t>删除</t>
    <phoneticPr fontId="1" type="noConversion"/>
  </si>
  <si>
    <t>地址对象</t>
    <phoneticPr fontId="1" type="noConversion"/>
  </si>
  <si>
    <t>地址组对象</t>
    <phoneticPr fontId="1" type="noConversion"/>
  </si>
  <si>
    <t>服务对象</t>
    <phoneticPr fontId="1" type="noConversion"/>
  </si>
  <si>
    <t>服务组对象</t>
    <phoneticPr fontId="1" type="noConversion"/>
  </si>
  <si>
    <t>时间对象</t>
    <phoneticPr fontId="1" type="noConversion"/>
  </si>
  <si>
    <t>Qos.cfg.chl.policy.pri.object</t>
    <phoneticPr fontId="1" type="noConversion"/>
  </si>
  <si>
    <t>Qos.cfg.chl.policy.pri.object</t>
    <phoneticPr fontId="1" type="noConversion"/>
  </si>
  <si>
    <t>有效对象=地址对象,地址组对象,服务对象,服务组对象,时间对象</t>
    <phoneticPr fontId="1" type="noConversion"/>
  </si>
  <si>
    <t>对象</t>
    <phoneticPr fontId="1" type="noConversion"/>
  </si>
  <si>
    <t>有效操作=修改,查询;无效操作=删除</t>
    <phoneticPr fontId="1" type="noConversion"/>
  </si>
  <si>
    <t>配置带宽策略后验证${有效对象}配置限制</t>
    <phoneticPr fontId="1" type="noConversion"/>
  </si>
  <si>
    <t>配置带宽策略后验证${有效对象}配置限制</t>
    <phoneticPr fontId="1" type="noConversion"/>
  </si>
  <si>
    <t>有效对象=地址对象,地址组对象,服务对象,服务组对象,时间对象;有效操作=修改,查询;无效操作=删除</t>
    <phoneticPr fontId="1" type="noConversion"/>
  </si>
  <si>
    <t>有效对象=地址对象,地址组对象,服务对象,服务组对象,时间对象;有效操作=修改,查询;无效操作=删除</t>
    <phoneticPr fontId="1" type="noConversion"/>
  </si>
  <si>
    <t>1、配置带宽策略引用${有效对象}
2、$[有效操作]该${有效对象}，查看对象和带宽策略【check1】
3、$[无效操作]该${有效对象}，查看对象和带宽策略【check2】
4、配置带宽策略取消引用该${有效对象}后，删除该对象。【check3】</t>
    <phoneticPr fontId="1" type="noConversion"/>
  </si>
  <si>
    <t>【check1】操作成功，对象的引用计数不变。Rest和etcd查询对象和带宽策略配置正确
【check2】操作失败，对象的引用计数不变。Rest和etcd查询对象和带宽策略配置正确
【check3】配置成功</t>
    <phoneticPr fontId="1" type="noConversion"/>
  </si>
  <si>
    <t>策略优先级调整配置限制</t>
    <phoneticPr fontId="1" type="noConversion"/>
  </si>
  <si>
    <r>
      <t>物理口、子接口、bvi、聚合口、隧道口</t>
    </r>
    <r>
      <rPr>
        <strike/>
        <sz val="11"/>
        <color rgb="FFFF0000"/>
        <rFont val="宋体"/>
        <family val="3"/>
        <charset val="134"/>
        <scheme val="minor"/>
      </rPr>
      <t>不支持</t>
    </r>
    <phoneticPr fontId="1" type="noConversion"/>
  </si>
  <si>
    <t>Qos.cfg.chl.policy.pri.oplog</t>
    <phoneticPr fontId="1" type="noConversion"/>
  </si>
  <si>
    <t>Qos.cfg.chl.policy.pri.limit</t>
    <phoneticPr fontId="1" type="noConversion"/>
  </si>
  <si>
    <t>Qos.cfg.chl.policy.pri.limit</t>
    <phoneticPr fontId="1" type="noConversion"/>
  </si>
  <si>
    <t>带宽策略优先级调整接口限制测试</t>
    <phoneticPr fontId="1" type="noConversion"/>
  </si>
  <si>
    <t>带宽策略优先级调整接口限制测试</t>
    <phoneticPr fontId="1" type="noConversion"/>
  </si>
  <si>
    <t>步骤2:逻辑用例设计+B256</t>
    <phoneticPr fontId="1" type="noConversion"/>
  </si>
  <si>
    <t>1、在网元上配置大于10条带宽策略
2、使用接口/api/v1/qospolicerpri调整策略优先级时${数据名称}为$[有效值]，其他参数为任意有效值。【check1】
3、使用接口/api/v1/qospolicerpri调整策略优先级时${数据名称}为$[无效值]，其他参数为任意有效值。【check2】</t>
    <phoneticPr fontId="1" type="noConversion"/>
  </si>
  <si>
    <t>【check1】配置成功
【check2】配置失败</t>
    <phoneticPr fontId="1" type="noConversion"/>
  </si>
  <si>
    <t>1、使用put方法配置带宽策略优先级调整/api/v1/qospolicerpri接口，参数为任意有效值。【check1】
2、使用post方法配置带宽策略优先级调整/api/v1/qospolicerpri接口，参数为任意有效值。【check2】
3、使用delete方法配置带宽策略优先级调整/api/v1/qospolicerpri接口，参数为任意有效值。【check2】</t>
    <phoneticPr fontId="1" type="noConversion"/>
  </si>
  <si>
    <t>数据名称=接口;有效值=任意物理接口,任意聚合口;无效值=管理口,子接口,bvi口,隧道口,聚合口的成员口,任意不存在的接口名称,空</t>
    <phoneticPr fontId="1" type="noConversion"/>
  </si>
  <si>
    <t>验证添加QOS接口带宽时${数据名称}有效值和无效值测试</t>
    <phoneticPr fontId="1" type="noConversion"/>
  </si>
  <si>
    <t>验证添加QOS接口带宽时${数据名称}有效值和无效值测试</t>
    <phoneticPr fontId="1" type="noConversion"/>
  </si>
  <si>
    <t>验证修改QOS通道时${数据名称}有效值和无效值测试</t>
    <phoneticPr fontId="1" type="noConversion"/>
  </si>
  <si>
    <t>验证添加QOS通道时${数据名称}有效值和无效值测试</t>
    <phoneticPr fontId="1" type="noConversion"/>
  </si>
  <si>
    <t>验证添加QOS通道时${数据名称}有效值和无效值测试</t>
    <phoneticPr fontId="1" type="noConversion"/>
  </si>
  <si>
    <t>验证添加QOS通道时${数据名称}有效值和无效值测试</t>
    <phoneticPr fontId="1" type="noConversion"/>
  </si>
  <si>
    <t>验证修改QOS接口带宽时${数据名称}有效值和无效值测试</t>
    <phoneticPr fontId="1" type="noConversion"/>
  </si>
  <si>
    <t>验证修改QOS带宽策略时${数据名称}有效值和无效值测试</t>
    <phoneticPr fontId="1" type="noConversion"/>
  </si>
  <si>
    <t>验证添加QOS带宽策略时${数据名称}有效值和无效值测试</t>
    <phoneticPr fontId="1" type="noConversion"/>
  </si>
  <si>
    <t>验证添加QOS带宽策略时${数据名称}有效值和无效值测试</t>
    <phoneticPr fontId="1" type="noConversion"/>
  </si>
  <si>
    <t>验证添加QOS带宽策略时${数据名称}有效值和无效值测试</t>
    <phoneticPr fontId="1" type="noConversion"/>
  </si>
  <si>
    <t xml:space="preserve">1、构造$[有效接口操作]Qos通道成功后观察Oplog【check1】
2、构造$[有效接口操作]Qos通道失败后观察Oplog【check2】
</t>
    <phoneticPr fontId="1" type="noConversion"/>
  </si>
  <si>
    <t>1、配置的至少两条Qos通道，通道类型为共享通道【check1】
2、配置1条Qos策略引用其中一个通道，配置至少两条策略引用另外一个通道【check2】
3、修改被用的Qos通道。【check3】
4、删除被用的Qos通道。【check3】
5、修改qos策略不再应用其中任意一个Qos后，修改该通道。【check4】
6、删除改通道【check5】</t>
    <phoneticPr fontId="1" type="noConversion"/>
  </si>
  <si>
    <t>带宽限制（带宽和），接口限制（物理接口,子接口、聚合口、bvi接口、隧道口）</t>
    <phoneticPr fontId="1" type="noConversion"/>
  </si>
  <si>
    <t>验证配置Qos配置带宽策略时${带宽类型}限制测试</t>
    <phoneticPr fontId="1" type="noConversion"/>
  </si>
  <si>
    <t>带宽类型=上行保障带宽,下行保障带宽</t>
    <phoneticPr fontId="1" type="noConversion"/>
  </si>
  <si>
    <t>1、配置多条Qos通道，通道类型包括共享通道和独占通道【check1】
2、添加1条qos策略，引用独占通道，使策略的${带宽类型}大于接口的带宽【check2】
3、添加1条qos策略，引用共享通道，使策略的${带宽类型}大于接口的带宽【check2】
4、配置多条策略，同时引用共享通道和独占通道。【check1】
5、再配置一条策略引用共享通道。该共享通道的${带宽类型}大于接口带宽减改接口所有策略带宽之和。【check1】
6、再配置一条策略引用独占通道。该共享通道的${带宽类型}大于接口带宽减改接口所有策略带宽之和。【check2】</t>
  </si>
  <si>
    <t>有效接口操作=创建,删除,修改;有效配置结果=成功,失败</t>
    <phoneticPr fontId="1" type="noConversion"/>
  </si>
  <si>
    <t>有效接口操作=修改;有效配置结果=成功,失败;无效接口操作=添加,删除</t>
    <phoneticPr fontId="1" type="noConversion"/>
  </si>
  <si>
    <t>带宽策略优先级调整Oplog测试</t>
    <phoneticPr fontId="1" type="noConversion"/>
  </si>
  <si>
    <t>1、构造$[有效接口操作]Qos策略优先级成功后观察Oplog【check1】
2、构造$[有效接口操作]Qos策略优先级失败后观察Oplog【check2】
3、构造$[无效接口操作]Qos策略优先级失败后观察Oplog【check2】</t>
    <phoneticPr fontId="1" type="noConversion"/>
  </si>
  <si>
    <t>验证添加QOS接口带宽时接口有效值和无效值测试</t>
  </si>
  <si>
    <t>Qos.cfg.intf.post.ptc0</t>
  </si>
  <si>
    <t>【check1】配置成功，使用restful查询接口带宽配置与下发的配置相同。使用etcd查询接口带宽配置，查询的值与配置的值相同
【check2】配置失败，网元无异常。使用etcd查询接口带宽配置与配置前相同</t>
  </si>
  <si>
    <t>验证添加QOS接口带宽时总带宽有效值和无效值测试</t>
  </si>
  <si>
    <t>Qos.cfg.intf.post.ptc1</t>
  </si>
  <si>
    <t>验证添加QOS接口带宽时繁忙阈值有效值和无效值测试</t>
  </si>
  <si>
    <t>Qos.cfg.intf.post.ptc2</t>
  </si>
  <si>
    <t>验证添加QOS接口带宽时空闲阈值有效值和无效值测试</t>
  </si>
  <si>
    <t>Qos.cfg.intf.post.ptc3</t>
  </si>
  <si>
    <t>验证修改QOS接口带宽时ID有效值和无效值测试</t>
  </si>
  <si>
    <t>Qos.cfg.intf.put.ptc0</t>
  </si>
  <si>
    <t>【check1】配置成功，使用restful查询接口带宽配置与下发的配置相同。使用etcd查询接口带宽配置，查询的值与配置的值相同
【check2】配置失败，网元无异常。使用rest接口和etcd查询接口带宽配置与配置前相同</t>
  </si>
  <si>
    <t>验证修改QOS接口带宽时接口有效值和无效值测试</t>
  </si>
  <si>
    <t>Qos.cfg.intf.put.ptc1</t>
  </si>
  <si>
    <t>1、使用/api/v1/qosintf接口修改接口带宽时，配置接口为任意物理接口，其他参数为任意有效值,查询接口带宽配置【check1】
2、使用/api/v1/qosintf接口修改接口带宽时，配置接口为任意聚合口，其他参数为任意有效值,查询接口带宽配置【check1】
3、修改接口带宽时，配置接口为管理口，其他参数为任意有效值,查询接口带宽配置【check2】
4、修改接口带宽时，配置接口为子接口，其他参数为任意有效值,查询接口带宽配置【check2】
5、修改接口带宽时，配置接口为bvi口，其他参数为任意有效值,查询接口带宽配置【check2】
6、修改接口带宽时，配置接口为隧道口，其他参数为任意有效值,查询接口带宽配置【check2】
7、修改接口带宽时，配置接口为聚合口的成员口，其他参数为任意有效值,查询接口带宽配置【check2】
8、修改接口带宽时，配置接口为任意不存在的接口名称，其他参数为任意有效值,查询接口带宽配置【check2】
9、修改接口带宽时，配置接口为空，其他参数为任意有效值,查询接口带宽配置【check2】</t>
  </si>
  <si>
    <t>验证修改QOS接口带宽时总带宽有效值和无效值测试</t>
  </si>
  <si>
    <t>Qos.cfg.intf.put.ptc2</t>
  </si>
  <si>
    <t>验证修改QOS接口带宽时繁忙阈值有效值和无效值测试</t>
  </si>
  <si>
    <t>Qos.cfg.intf.put.ptc3</t>
  </si>
  <si>
    <t>1、使用/api/v1/qosintf接口修改接口带宽时，配置繁忙阈值为20，其他参数为任意有效值,查询接口带宽配置【check1】
2、使用/api/v1/qosintf接口修改接口带宽时，配置繁忙阈值为90，其他参数为任意有效值,查询接口带宽配置【check1】
3、使用/api/v1/qosintf接口修改接口带宽时，配置繁忙阈值为20-90间任意10的整数倍，其他参数为任意有效值,查询接口带宽配置【check1】
4、修改接口带宽时，配置繁忙阈值为10，其他参数为任意有效值,查询接口带宽配置【check2】
5、修改接口带宽时，配置繁忙阈值为100，其他参数为任意有效值,查询接口带宽配置【check2】
6、修改接口带宽时，配置繁忙阈值为繁忙阈值小于空闲阈值，其他参数为任意有效值,查询接口带宽配置【check2】
7、修改接口带宽时，配置繁忙阈值为繁忙阈值等于空闲阈值，其他参数为任意有效值,查询接口带宽配置【check2】
8、修改接口带宽时，配置繁忙阈值为20-90间任意非10的整数倍，其他参数为任意有效值,查询接口带宽配置【check2】
9、修改接口带宽时，配置繁忙阈值为空，其他参数为任意有效值,查询接口带宽配置【check2】
10、修改接口带宽时，配置繁忙阈值为非数字，其他参数为任意有效值,查询接口带宽配置【check2】</t>
  </si>
  <si>
    <t>验证修改QOS接口带宽时空闲阈值有效值和无效值测试</t>
  </si>
  <si>
    <t>Qos.cfg.intf.put.ptc4</t>
  </si>
  <si>
    <t>验证Qos接口带宽删除和批量删除</t>
  </si>
  <si>
    <t>Qos.cfg.intf.delete.ptc0</t>
  </si>
  <si>
    <t>1、网元正常启动</t>
  </si>
  <si>
    <t>Qos.cfg.intf.get.ptc0</t>
  </si>
  <si>
    <t>1、使用/api/v1/qosintf接口查询Qos接口带宽，不传入page和size参数【check1】
2、使用/api/v1/qosintf接口查询Qos接口带宽，传入page和size为0【check1】
3、使用/api/v1/qosintf接口查询Qos接口带宽，传入page和size为任意非0值【check1】
4、使用/api/v1/qosintf接口查询Qos接口带宽，传入page和size为最大值【check1】
5、使用/api/v1/qosintf接口查询Qos接口带宽，传入page和size为任意非数字【check1】</t>
  </si>
  <si>
    <t>验证配置Qos接口带宽容量测试</t>
  </si>
  <si>
    <t>Qos.cfg.intf.cap.ptc0</t>
  </si>
  <si>
    <t>1、配置最大数量的Qos接口带宽【check1】
2、修改ID最大的Qos接口带宽【check2】
3、删除部分Qos接口带宽。【check3】
4、再次配置接口带宽到最大数量。【check1】</t>
  </si>
  <si>
    <t>【check1】配置成功，查询配置参与与实际配置参数一致。配置到最大数量后再添加qos接口带宽报错
【check2】修改成功，查询接口带宽与修改的参数一致
【check3】删除成功</t>
  </si>
  <si>
    <t>验证配置Qos接口带宽的oplog测试</t>
  </si>
  <si>
    <t>Qos.cfg.intf.oplog.ptc0</t>
  </si>
  <si>
    <t xml:space="preserve">1、构造创建Qos接口带宽成功后观察Oplog【check1】
2、构造删除Qos接口带宽成功后观察Oplog【check1】
3、构造修改Qos接口带宽成功后观察Oplog【check1】
4、构造创建Qos接口带宽失败后观察Oplog【check2】
5、构造删除Qos接口带宽失败后观察Oplog【check2】
6、构造修改Qos接口带宽失败后观察Oplog【check2】
</t>
  </si>
  <si>
    <t>验证Qos接口带宽与聚合口的配置限制功能</t>
  </si>
  <si>
    <t>Qos.cfg.intf.limit.ptc0</t>
  </si>
  <si>
    <t xml:space="preserve">1、在设备上配置聚合口
2、在聚合口上配置接口带宽【check1】
3、增删成员接口【check1】
4、删除聚合口【check2】
5、在成员上配置接口带宽【check2】
</t>
  </si>
  <si>
    <t>Qos.cfg.intf.limit.ptc1</t>
  </si>
  <si>
    <t>Qos.cfg.chl.post.ptc0</t>
  </si>
  <si>
    <t>【check1】配置成功，使用restful查询通道配置与下发的配置相同。使用etcd查询通道配置，查询的值与配置的值相同
【check2】配置失败，网元无异常。使用rest接口和etcd查询通道配置与配置前相同</t>
  </si>
  <si>
    <t>验证添加QOS通道时通道模式有效值和无效值测试</t>
  </si>
  <si>
    <t>Qos.cfg.chl.post.ptc1</t>
  </si>
  <si>
    <t>1、使用/api/v1/qoschannel接口添加Qos通道时，配置通道模式为独享，其他参数为任意有效值,查询通道配置【check1】
2、使用/api/v1/qoschannel接口添加Qos通道时，配置通道模式为共享，其他参数为任意有效值,查询通道配置【check1】
3、添加Qos通道时，配置通道模式为其他任意非法字符串，其他参数为任意有效值,查询通道配置【check2】
4、添加Qos通道时，配置通道模式为空，其他参数为任意有效值,查询通道配置【check2】
5、添加Qos通道时，配置通道模式为超长字符串，其他参数为任意有效值,查询通道配置【check2】</t>
  </si>
  <si>
    <t>验证添加QOS通道时上行最大带宽有效值和无效值测试</t>
  </si>
  <si>
    <t>Qos.cfg.chl.post.ptc2</t>
  </si>
  <si>
    <t>1、使用/api/v1/qoschannel接口添加Qos通道时，配置上行最大带宽为0，其他参数为任意有效值,查询通道配置【check1】
2、使用/api/v1/qoschannel接口添加Qos通道时，配置上行最大带宽为60，其他参数为任意有效值,查询通道配置【check1】
3、使用/api/v1/qoschannel接口添加Qos通道时，配置上行最大带宽为200000000，其他参数为任意有效值,查询通道配置【check1】
4、使用/api/v1/qoschannel接口添加Qos通道时，配置上行最大带宽为60-200000000间任意值，其他参数为任意有效值,查询通道配置【check1】
5、使用/api/v1/qoschannel接口添加Qos通道时，配置上行最大带宽为最大带宽等于保障带宽，其他参数为任意有效值,查询通道配置【check1】
6、添加Qos通道时，配置上行最大带宽为1，其他参数为任意有效值,查询通道配置【check2】
7、添加Qos通道时，配置上行最大带宽为-1，其他参数为任意有效值,查询通道配置【check2】
8、添加Qos通道时，配置上行最大带宽为59，其他参数为任意有效值,查询通道配置【check2】
9、添加Qos通道时，配置上行最大带宽为200000001，其他参数为任意有效值,查询通道配置【check2】
10、添加Qos通道时，配置上行最大带宽为上行最大带宽小于上行保障带宽，其他参数为任意有效值,查询通道配置【check2】
11、添加Qos通道时，配置上行最大带宽为非数字，其他参数为任意有效值,查询通道配置【check2】
12、添加Qos通道时，配置上行最大带宽为空，其他参数为任意有效值,查询通道配置【check2】</t>
  </si>
  <si>
    <t>验证添加QOS通道时上行保障带宽有效值和无效值测试</t>
  </si>
  <si>
    <t>Qos.cfg.chl.post.ptc3</t>
  </si>
  <si>
    <t>验证添加QOS通道时下行最大带宽有效值和无效值测试</t>
  </si>
  <si>
    <t>Qos.cfg.chl.post.ptc4</t>
  </si>
  <si>
    <t>验证添加QOS通道时下行保障带宽有效值和无效值测试</t>
  </si>
  <si>
    <t>Qos.cfg.chl.post.ptc5</t>
  </si>
  <si>
    <t>验证添加QOS通道时上行总额有效值和无效值测试</t>
  </si>
  <si>
    <t>Qos.cfg.chl.post.ptc6</t>
  </si>
  <si>
    <t>1、使用/api/v1/qoschannel接口添加Qos通道时，配置上行总额为0，其他参数为任意有效值,查询通道配置【check1】
2、使用/api/v1/qoschannel接口添加Qos通道时，配置上行总额为10，其他参数为任意有效值,查询通道配置【check1】
3、使用/api/v1/qoschannel接口添加Qos通道时，配置上行总额为100000000，其他参数为任意有效值,查询通道配置【check1】
4、使用/api/v1/qoschannel接口添加Qos通道时，配置上行总额为10-100000000间任意值，其他参数为任意有效值,查询通道配置【check1】
5、添加Qos通道时，配置上行总额为1，其他参数为任意有效值,查询通道配置【check2】
6、添加Qos通道时，配置上行总额为-1，其他参数为任意有效值,查询通道配置【check2】
7、添加Qos通道时，配置上行总额为9，其他参数为任意有效值,查询通道配置【check2】
8、添加Qos通道时，配置上行总额为100000001，其他参数为任意有效值,查询通道配置【check2】
9、添加Qos通道时，配置上行总额为非数字，其他参数为任意有效值,查询通道配置【check2】
10、添加Qos通道时，配置上行总额为空，其他参数为任意有效值,查询通道配置【check2】</t>
  </si>
  <si>
    <t>验证添加QOS通道时下行总额有效值和无效值测试</t>
  </si>
  <si>
    <t>Qos.cfg.chl.post.ptc7</t>
  </si>
  <si>
    <t>1、使用/api/v1/qoschannel接口添加Qos通道时，配置下行总额为0，其他参数为任意有效值,查询通道配置【check1】
2、使用/api/v1/qoschannel接口添加Qos通道时，配置下行总额为10，其他参数为任意有效值,查询通道配置【check1】
3、使用/api/v1/qoschannel接口添加Qos通道时，配置下行总额为100000000，其他参数为任意有效值,查询通道配置【check1】
4、使用/api/v1/qoschannel接口添加Qos通道时，配置下行总额为10-100000000间任意值，其他参数为任意有效值,查询通道配置【check1】
5、添加Qos通道时，配置下行总额为1，其他参数为任意有效值,查询通道配置【check2】
6、添加Qos通道时，配置下行总额为-1，其他参数为任意有效值,查询通道配置【check2】
7、添加Qos通道时，配置下行总额为9，其他参数为任意有效值,查询通道配置【check2】
8、添加Qos通道时，配置下行总额为100000001，其他参数为任意有效值,查询通道配置【check2】
9、添加Qos通道时，配置下行总额为非数字，其他参数为任意有效值,查询通道配置【check2】
10、添加Qos通道时，配置下行总额为空，其他参数为任意有效值,查询通道配置【check2】</t>
  </si>
  <si>
    <t>验证添加QOS通道时最大连接数有效值和无效值测试</t>
  </si>
  <si>
    <t>Qos.cfg.chl.post.ptc8</t>
  </si>
  <si>
    <t>1、使用/api/v1/qoschannel接口添加Qos通道时，配置最大连接数为0，其他参数为任意有效值,查询通道配置【check1】
2、使用/api/v1/qoschannel接口添加Qos通道时，配置最大连接数为1，其他参数为任意有效值,查询通道配置【check1】
3、使用/api/v1/qoschannel接口添加Qos通道时，配置最大连接数为6000000 ，其他参数为任意有效值,查询通道配置【check1】
4、使用/api/v1/qoschannel接口添加Qos通道时，配置最大连接数为1-6000000间任意值，其他参数为任意有效值,查询通道配置【check1】
5、添加Qos通道时，配置最大连接数为-1，其他参数为任意有效值,查询通道配置【check2】
6、添加Qos通道时，配置最大连接数为6000001，其他参数为任意有效值,查询通道配置【check2】
7、添加Qos通道时，配置最大连接数为非数字，其他参数为任意有效值,查询通道配置【check2】
8、添加Qos通道时，配置最大连接数为空，其他参数为任意有效值,查询通道配置【check2】</t>
  </si>
  <si>
    <t>验证添加QOS通道时新建连接速率有效值和无效值测试</t>
  </si>
  <si>
    <t>Qos.cfg.chl.post.ptc9</t>
  </si>
  <si>
    <t>1、使用/api/v1/qoschannel接口添加Qos通道时，配置新建连接速率为0，其他参数为任意有效值,查询通道配置【check1】
2、使用/api/v1/qoschannel接口添加Qos通道时，配置新建连接速率为1，其他参数为任意有效值,查询通道配置【check1】
3、使用/api/v1/qoschannel接口添加Qos通道时，配置新建连接速率为500000，其他参数为任意有效值,查询通道配置【check1】
4、使用/api/v1/qoschannel接口添加Qos通道时，配置新建连接速率为1-500000间任意值，其他参数为任意有效值,查询通道配置【check1】
5、添加Qos通道时，配置新建连接速率为-1，其他参数为任意有效值,查询通道配置【check2】
6、添加Qos通道时，配置新建连接速率为500001，其他参数为任意有效值,查询通道配置【check2】
7、添加Qos通道时，配置新建连接速率为非数字，其他参数为任意有效值,查询通道配置【check2】
8、添加Qos通道时，配置新建连接速率为空，其他参数为任意有效值,查询通道配置【check2】</t>
  </si>
  <si>
    <t>验证添加QOS通道时限流对象有效值和无效值测试</t>
  </si>
  <si>
    <t>Qos.cfg.chl.post.ptc10</t>
  </si>
  <si>
    <t>1、使用/api/v1/qoschannel接口添加Qos通道时，配置限流对象为每IP，其他参数为任意有效值,查询通道配置【check1】
2、使用/api/v1/qoschannel接口添加Qos通道时，配置限流对象为每用户，其他参数为任意有效值,查询通道配置【check1】
3、添加Qos通道时，配置限流对象为其他任意非法字符串，其他参数为任意有效值,查询通道配置【check2】
4、添加Qos通道时，配置限流对象为空，其他参数为任意有效值,查询通道配置【check2】
5、添加Qos通道时，配置限流对象为超长字符串，其他参数为任意有效值,查询通道配置【check2】</t>
  </si>
  <si>
    <t>验证添加QOS通道时用户上行最大带宽有效值和无效值测试</t>
  </si>
  <si>
    <t>Qos.cfg.chl.post.ptc11</t>
  </si>
  <si>
    <t>1、使用/api/v1/qoschannel接口添加Qos通道时，配置用户上行最大带宽为0，其他参数为任意有效值,查询通道配置【check1】
2、使用/api/v1/qoschannel接口添加Qos通道时，配置用户上行最大带宽为60，其他参数为任意有效值,查询通道配置【check1】
3、使用/api/v1/qoschannel接口添加Qos通道时，配置用户上行最大带宽为200000000，其他参数为任意有效值,查询通道配置【check1】
4、使用/api/v1/qoschannel接口添加Qos通道时，配置用户上行最大带宽为60-200000000间任意值，其他参数为任意有效值,查询通道配置【check1】
5、使用/api/v1/qoschannel接口添加Qos通道时，配置用户上行最大带宽为用户最大带宽等于用户保障带宽，其他参数为任意有效值,查询通道配置【check1】
6、添加Qos通道时，配置用户上行最大带宽为1，其他参数为任意有效值,查询通道配置【check2】
7、添加Qos通道时，配置用户上行最大带宽为-1，其他参数为任意有效值,查询通道配置【check2】
8、添加Qos通道时，配置用户上行最大带宽为59，其他参数为任意有效值,查询通道配置【check2】
9、添加Qos通道时，配置用户上行最大带宽为200000001，其他参数为任意有效值,查询通道配置【check2】
10、添加Qos通道时，配置用户上行最大带宽为用户上行最大带宽小于用户上行保障带宽，其他参数为任意有效值,查询通道配置【check2】
11、添加Qos通道时，配置用户上行最大带宽为非数字，其他参数为任意有效值,查询通道配置【check2】
12、添加Qos通道时，配置用户上行最大带宽为用户上行最大带宽大于通道上行最大带宽，其他参数为任意有效值,查询通道配置【check2】
13、添加Qos通道时，配置用户上行最大带宽为空，其他参数为任意有效值,查询通道配置【check2】</t>
  </si>
  <si>
    <t>验证添加QOS通道时用户上行保障带宽有效值和无效值测试</t>
  </si>
  <si>
    <t>Qos.cfg.chl.post.ptc12</t>
  </si>
  <si>
    <t>1、使用/api/v1/qoschannel接口添加Qos通道时，配置用户上行保障带宽为0，其他参数为任意有效值,查询通道配置【check1】
2、使用/api/v1/qoschannel接口添加Qos通道时，配置用户上行保障带宽为60，其他参数为任意有效值,查询通道配置【check1】
3、使用/api/v1/qoschannel接口添加Qos通道时，配置用户上行保障带宽为200000000，其他参数为任意有效值,查询通道配置【check1】
4、使用/api/v1/qoschannel接口添加Qos通道时，配置用户上行保障带宽为60-200000000间任意值，其他参数为任意有效值,查询通道配置【check1】
5、使用/api/v1/qoschannel接口添加Qos通道时，配置用户上行保障带宽为用户保障带宽等于用户最大带宽，其他参数为任意有效值,查询通道配置【check1】
6、添加Qos通道时，配置用户上行保障带宽为1，其他参数为任意有效值,查询通道配置【check2】
7、添加Qos通道时，配置用户上行保障带宽为-1，其他参数为任意有效值,查询通道配置【check2】
8、添加Qos通道时，配置用户上行保障带宽为59，其他参数为任意有效值,查询通道配置【check2】
9、添加Qos通道时，配置用户上行保障带宽为200000000，其他参数为任意有效值,查询通道配置【check2】
10、添加Qos通道时，配置用户上行保障带宽为用户上行保障带宽大于用户上行最大带宽，其他参数为任意有效值,查询通道配置【check2】
11、添加Qos通道时，配置用户上行保障带宽为非数字，其他参数为任意有效值,查询通道配置【check2】
12、添加Qos通道时，配置用户上行保障带宽为用户上行保障带宽大于通道上行保障带宽，其他参数为任意有效值,查询通道配置【check2】
13、添加Qos通道时，配置用户上行保障带宽为空，其他参数为任意有效值,查询通道配置【check2】</t>
  </si>
  <si>
    <t>验证添加QOS通道时用户下行最大带宽有效值和无效值测试</t>
  </si>
  <si>
    <t>Qos.cfg.chl.post.ptc13</t>
  </si>
  <si>
    <t>1、使用/api/v1/qoschannel接口添加Qos通道时，配置用户下行最大带宽为0，其他参数为任意有效值,查询通道配置【check1】
2、使用/api/v1/qoschannel接口添加Qos通道时，配置用户下行最大带宽为60，其他参数为任意有效值,查询通道配置【check1】
3、使用/api/v1/qoschannel接口添加Qos通道时，配置用户下行最大带宽为200000000，其他参数为任意有效值,查询通道配置【check1】
4、使用/api/v1/qoschannel接口添加Qos通道时，配置用户下行最大带宽为60-200000000间任意值，其他参数为任意有效值,查询通道配置【check1】
5、使用/api/v1/qoschannel接口添加Qos通道时，配置用户下行最大带宽为用户最大带宽等于用户保障带宽，其他参数为任意有效值,查询通道配置【check1】
6、添加Qos通道时，配置用户下行最大带宽为1，其他参数为任意有效值,查询通道配置【check2】
7、添加Qos通道时，配置用户下行最大带宽为-1，其他参数为任意有效值,查询通道配置【check2】
8、添加Qos通道时，配置用户下行最大带宽为59，其他参数为任意有效值,查询通道配置【check2】
9、添加Qos通道时，配置用户下行最大带宽为200000001，其他参数为任意有效值,查询通道配置【check2】
10、添加Qos通道时，配置用户下行最大带宽为用户下行最大带宽小于用户下行保障带宽，其他参数为任意有效值,查询通道配置【check2】
11、添加Qos通道时，配置用户下行最大带宽为非数字，其他参数为任意有效值,查询通道配置【check2】
12、添加Qos通道时，配置用户下行最大带宽为用户下行最大带宽大于通道下行最大带宽，其他参数为任意有效值,查询通道配置【check2】
13、添加Qos通道时，配置用户下行最大带宽为空，其他参数为任意有效值,查询通道配置【check2】</t>
  </si>
  <si>
    <t>验证添加QOS通道时用户下行保障带宽有效值和无效值测试</t>
  </si>
  <si>
    <t>Qos.cfg.chl.post.ptc14</t>
  </si>
  <si>
    <t>1、使用/api/v1/qoschannel接口添加Qos通道时，配置用户下行保障带宽为0，其他参数为任意有效值,查询通道配置【check1】
2、使用/api/v1/qoschannel接口添加Qos通道时，配置用户下行保障带宽为60，其他参数为任意有效值,查询通道配置【check1】
3、使用/api/v1/qoschannel接口添加Qos通道时，配置用户下行保障带宽为200000000，其他参数为任意有效值,查询通道配置【check1】
4、使用/api/v1/qoschannel接口添加Qos通道时，配置用户下行保障带宽为60-200000000间任意值，其他参数为任意有效值,查询通道配置【check1】
5、使用/api/v1/qoschannel接口添加Qos通道时，配置用户下行保障带宽为用户保障带宽等于用户最大带宽，其他参数为任意有效值,查询通道配置【check1】
6、添加Qos通道时，配置用户下行保障带宽为1，其他参数为任意有效值,查询通道配置【check2】
7、添加Qos通道时，配置用户下行保障带宽为-1，其他参数为任意有效值,查询通道配置【check2】
8、添加Qos通道时，配置用户下行保障带宽为59，其他参数为任意有效值,查询通道配置【check2】
9、添加Qos通道时，配置用户下行保障带宽为200000000，其他参数为任意有效值,查询通道配置【check2】
10、添加Qos通道时，配置用户下行保障带宽为用户保障带宽大于用户保障带宽，其他参数为任意有效值,查询通道配置【check2】
11、添加Qos通道时，配置用户下行保障带宽为非数字，其他参数为任意有效值,查询通道配置【check2】
12、添加Qos通道时，配置用户下行保障带宽为用户下行保障带宽大于通道下行保障带宽，其他参数为任意有效值,查询通道配置【check2】
13、添加Qos通道时，配置用户下行保障带宽为空，其他参数为任意有效值,查询通道配置【check2】</t>
  </si>
  <si>
    <t>验证添加QOS通道时用户上行总额有效值和无效值测试</t>
  </si>
  <si>
    <t>Qos.cfg.chl.post.ptc15</t>
  </si>
  <si>
    <t>1、使用/api/v1/qoschannel接口添加Qos通道时，配置用户上行总额为0，其他参数为任意有效值,查询通道配置【check1】
2、使用/api/v1/qoschannel接口添加Qos通道时，配置用户上行总额为10，其他参数为任意有效值,查询通道配置【check1】
3、使用/api/v1/qoschannel接口添加Qos通道时，配置用户上行总额为100000000，其他参数为任意有效值,查询通道配置【check1】
4、使用/api/v1/qoschannel接口添加Qos通道时，配置用户上行总额为10-100000000间任意值，其他参数为任意有效值,查询通道配置【check1】
5、添加Qos通道时，配置用户上行总额为1，其他参数为任意有效值,查询通道配置【check2】
6、添加Qos通道时，配置用户上行总额为-1，其他参数为任意有效值,查询通道配置【check2】
7、添加Qos通道时，配置用户上行总额为9，其他参数为任意有效值,查询通道配置【check2】
8、添加Qos通道时，配置用户上行总额为100000001，其他参数为任意有效值,查询通道配置【check2】
9、添加Qos通道时，配置用户上行总额为非数字，其他参数为任意有效值,查询通道配置【check2】
10、添加Qos通道时，配置用户上行总额为用户上行总额大于通道上行总额，其他参数为任意有效值,查询通道配置【check2】
11、添加Qos通道时，配置用户上行总额为空，其他参数为任意有效值,查询通道配置【check2】</t>
  </si>
  <si>
    <t>验证添加QOS通道时用户下行总额有效值和无效值测试</t>
  </si>
  <si>
    <t>Qos.cfg.chl.post.ptc16</t>
  </si>
  <si>
    <t>1、使用/api/v1/qoschannel接口添加Qos通道时，配置用户下行总额为0，其他参数为任意有效值,查询通道配置【check1】
2、使用/api/v1/qoschannel接口添加Qos通道时，配置用户下行总额为10，其他参数为任意有效值,查询通道配置【check1】
3、使用/api/v1/qoschannel接口添加Qos通道时，配置用户下行总额为100000000，其他参数为任意有效值,查询通道配置【check1】
4、使用/api/v1/qoschannel接口添加Qos通道时，配置用户下行总额为10-100000000间任意值，其他参数为任意有效值,查询通道配置【check1】
5、添加Qos通道时，配置用户下行总额为1，其他参数为任意有效值,查询通道配置【check2】
6、添加Qos通道时，配置用户下行总额为-1，其他参数为任意有效值,查询通道配置【check2】
7、添加Qos通道时，配置用户下行总额为9，其他参数为任意有效值,查询通道配置【check2】
8、添加Qos通道时，配置用户下行总额为100000001，其他参数为任意有效值,查询通道配置【check2】
9、添加Qos通道时，配置用户下行总额为非数字，其他参数为任意有效值,查询通道配置【check2】
10、添加Qos通道时，配置用户下行总额为用户下行总额大于通道下行总额，其他参数为任意有效值,查询通道配置【check2】
11、添加Qos通道时，配置用户下行总额为空，其他参数为任意有效值,查询通道配置【check2】</t>
  </si>
  <si>
    <t>验证添加QOS通道时用户最大连接数有效值和无效值测试</t>
  </si>
  <si>
    <t>Qos.cfg.chl.post.ptc17</t>
  </si>
  <si>
    <t>1、使用/api/v1/qoschannel接口添加Qos通道时，配置用户最大连接数为0，其他参数为任意有效值,查询通道配置【check1】
2、使用/api/v1/qoschannel接口添加Qos通道时，配置用户最大连接数为1，其他参数为任意有效值,查询通道配置【check1】
3、使用/api/v1/qoschannel接口添加Qos通道时，配置用户最大连接数为6000000 ，其他参数为任意有效值,查询通道配置【check1】
4、使用/api/v1/qoschannel接口添加Qos通道时，配置用户最大连接数为1-6000000间任意值，其他参数为任意有效值,查询通道配置【check1】
5、添加Qos通道时，配置用户最大连接数为-1，其他参数为任意有效值,查询通道配置【check2】
6、添加Qos通道时，配置用户最大连接数为6000001，其他参数为任意有效值,查询通道配置【check2】
7、添加Qos通道时，配置用户最大连接数为非数字，其他参数为任意有效值,查询通道配置【check2】
8、添加Qos通道时，配置用户最大连接数为用户最大连接数量大于通道最大连接数，其他参数为任意有效值,查询通道配置【check2】
9、添加Qos通道时，配置用户最大连接数为空，其他参数为任意有效值,查询通道配置【check2】</t>
  </si>
  <si>
    <t>验证添加QOS通道时用户新建连接速率有效值和无效值测试</t>
  </si>
  <si>
    <t>Qos.cfg.chl.post.ptc18</t>
  </si>
  <si>
    <t>1、使用/api/v1/qoschannel接口添加Qos通道时，配置用户新建连接速率为0，其他参数为任意有效值,查询通道配置【check1】
2、使用/api/v1/qoschannel接口添加Qos通道时，配置用户新建连接速率为1，其他参数为任意有效值,查询通道配置【check1】
3、使用/api/v1/qoschannel接口添加Qos通道时，配置用户新建连接速率为500000，其他参数为任意有效值,查询通道配置【check1】
4、使用/api/v1/qoschannel接口添加Qos通道时，配置用户新建连接速率为1-500000间任意值，其他参数为任意有效值,查询通道配置【check1】
5、添加Qos通道时，配置用户新建连接速率为-1，其他参数为任意有效值,查询通道配置【check2】
6、添加Qos通道时，配置用户新建连接速率为500001，其他参数为任意有效值,查询通道配置【check2】
7、添加Qos通道时，配置用户新建连接速率为非数字，其他参数为任意有效值,查询通道配置【check2】
8、添加Qos通道时，配置用户新建连接速率为用户新建连接速率大于通道新建连接速率，其他参数为任意有效值,查询通道配置【check2】
9、添加Qos通道时，配置用户新建连接速率为空，其他参数为任意有效值,查询通道配置【check2】</t>
  </si>
  <si>
    <t>Qos.cfg.chl.put.ptc0</t>
  </si>
  <si>
    <t>Qos.cfg.chl.put.ptc1</t>
  </si>
  <si>
    <t>Qos.cfg.chl.put.ptc2</t>
  </si>
  <si>
    <t>Qos.cfg.chl.put.ptc3</t>
  </si>
  <si>
    <t>Qos.cfg.chl.put.ptc4</t>
  </si>
  <si>
    <t>Qos.cfg.chl.put.ptc5</t>
  </si>
  <si>
    <t>Qos.cfg.chl.put.ptc6</t>
  </si>
  <si>
    <t>Qos.cfg.chl.put.ptc7</t>
  </si>
  <si>
    <t>Qos.cfg.chl.put.ptc8</t>
  </si>
  <si>
    <t>Qos.cfg.chl.put.ptc9</t>
  </si>
  <si>
    <t>Qos.cfg.chl.put.ptc10</t>
  </si>
  <si>
    <t>Qos.cfg.chl.put.ptc11</t>
  </si>
  <si>
    <t>Qos.cfg.chl.put.ptc12</t>
  </si>
  <si>
    <t>Qos.cfg.chl.put.ptc13</t>
  </si>
  <si>
    <t>Qos.cfg.chl.put.ptc14</t>
  </si>
  <si>
    <t>Qos.cfg.chl.put.ptc15</t>
  </si>
  <si>
    <t>Qos.cfg.chl.put.ptc16</t>
  </si>
  <si>
    <t>Qos.cfg.chl.put.ptc17</t>
  </si>
  <si>
    <t>Qos.cfg.chl.put.ptc18</t>
  </si>
  <si>
    <t>Qos.cfg.chl.put.ptc19</t>
  </si>
  <si>
    <t>验证Qos通道删除和批量删除</t>
  </si>
  <si>
    <t>Qos.cfg.chl.delete.ptc0</t>
  </si>
  <si>
    <t>1、配置大于3条Qos通道
2、使用/api/v1/qoschannel?id=&lt;id&gt;删除Qos通道。【check1】【check2】【check3】
3、使用/api/v1/qoschannel?id=&lt;id&gt;删除不存在的Qos通道id。【check4】
4、使用/api/v1/batch接口删除不存在的Qos通道id。【check5】
5、使用/api/v1/batch接口删除部分存在部分不存在的Qos通道【check5】
6、使用/api/v1/batch接口删除大于两条存在Qos通道。【check1】【check2】【check3】</t>
  </si>
  <si>
    <t>Qos.cfg.chl.get.ptc0</t>
  </si>
  <si>
    <t>Qos.cfg.chl.cap.ptc0</t>
  </si>
  <si>
    <t>Qos.cfg.chl.oplog.ptc0</t>
  </si>
  <si>
    <t xml:space="preserve">1、构造创建Qos通道成功后观察Oplog【check1】
2、构造删除Qos通道成功后观察Oplog【check1】
3、构造修改Qos通道成功后观察Oplog【check1】
4、构造创建Qos通道失败后观察Oplog【check2】
5、构造删除Qos通道失败后观察Oplog【check2】
6、构造修改Qos通道失败后观察Oplog【check2】
</t>
  </si>
  <si>
    <t>验证配置Qos共享通道配置限制测试</t>
  </si>
  <si>
    <t>Qos.cfg.chl.share.limit.ptc0</t>
  </si>
  <si>
    <t>验证配置Qos独占通道配置限制测试</t>
  </si>
  <si>
    <t>Qos.cfg.chl.private.limit.ptc0</t>
  </si>
  <si>
    <t>1、配置的Qos通道，通道类型未独占通道【check1】
2、配置1条Qos策略引用该通道【check2】
3、再配置一跳Qos策略引用该通道。【check3】
4、修改通道配置。【check3】
5、删除该通道。【check3】
6、取消Qos策略应用通道后，修改该通道。【check2】
7、删除该通道。【check2】</t>
  </si>
  <si>
    <t>Qos.cfg.policy.post.ptc0</t>
  </si>
  <si>
    <t>Qos.cfg.policy.post.ptc1</t>
  </si>
  <si>
    <t>Qos.cfg.policy.post.ptc2</t>
  </si>
  <si>
    <t>Qos.cfg.policy.post.ptc3</t>
  </si>
  <si>
    <t>Qos.cfg.policy.post.ptc4</t>
  </si>
  <si>
    <t>Qos.cfg.policy.post.ptc5</t>
  </si>
  <si>
    <t>Qos.cfg.policy.post.ptc6</t>
  </si>
  <si>
    <t>Qos.cfg.policy.post.ptc7</t>
  </si>
  <si>
    <t>Qos.cfg.policy.post.ptc8</t>
  </si>
  <si>
    <t>Qos.cfg.policy.post.ptc9</t>
  </si>
  <si>
    <t>Qos.cfg.policy.post.ptc10</t>
  </si>
  <si>
    <t>Qos.cfg.policy.post.ptc11</t>
  </si>
  <si>
    <t>Qos.cfg.policy.put.ptc0</t>
  </si>
  <si>
    <t>Qos.cfg.policy.put.ptc1</t>
  </si>
  <si>
    <t>Qos.cfg.policy.put.ptc2</t>
  </si>
  <si>
    <t>Qos.cfg.policy.put.ptc3</t>
  </si>
  <si>
    <t>Qos.cfg.policy.put.ptc4</t>
  </si>
  <si>
    <t>Qos.cfg.policy.put.ptc5</t>
  </si>
  <si>
    <t>Qos.cfg.policy.put.ptc6</t>
  </si>
  <si>
    <t>Qos.cfg.policy.put.ptc7</t>
  </si>
  <si>
    <t>Qos.cfg.policy.put.ptc8</t>
  </si>
  <si>
    <t>Qos.cfg.policy.put.ptc9</t>
  </si>
  <si>
    <t>Qos.cfg.policy.put.ptc10</t>
  </si>
  <si>
    <t>Qos.cfg.policy.put.ptc11</t>
  </si>
  <si>
    <t>Qos.cfg.policy.put.ptc12</t>
  </si>
  <si>
    <t>Qos.cfg.policy.delete.ptc0</t>
  </si>
  <si>
    <t>Qos.cfg.policy.get.ptc0</t>
  </si>
  <si>
    <t>Qos.cfg.policy.batch.put.ptc0</t>
  </si>
  <si>
    <t>Qos.cfg.policy.cap.ptc0</t>
  </si>
  <si>
    <t>Qos.cfg.policy.oplog.ptc0</t>
  </si>
  <si>
    <t>Qos.cfg.chl.policy.limit.0</t>
  </si>
  <si>
    <t>1、配置多条Qos通道，通道类型包括共享通道和独占通道【check1】
2、添加1条qos策略，引用独占通道，使策略的上行保障带宽大于接口的带宽【check2】
3、添加1条qos策略，引用共享通道，使策略的上行保障带宽大于接口的带宽【check2】
4、配置多条策略，同时引用共享通道和独占通道。【check1】
5、再配置一条策略引用共享通道。该共享通道的上行保障带宽大于接口带宽减改接口所有策略带宽之和。【check1】
6、再配置一条策略引用独占通道。该共享通道的上行保障带宽大于接口带宽减改接口所有策略带宽之和。【check2】</t>
  </si>
  <si>
    <t>【check1】配置成功
【check2】配置失败</t>
  </si>
  <si>
    <t>Qos.cfg.chl.policy.limit.1</t>
  </si>
  <si>
    <t>1、配置多条Qos通道，通道类型包括共享通道和独占通道【check1】
2、添加1条qos策略，引用独占通道，使策略的下行保障带宽大于接口的带宽【check2】
3、添加1条qos策略，引用共享通道，使策略的下行保障带宽大于接口的带宽【check2】
4、配置多条策略，同时引用共享通道和独占通道。【check1】
5、再配置一条策略引用共享通道。该共享通道的下行保障带宽大于接口带宽减改接口所有策略带宽之和。【check1】
6、再配置一条策略引用独占通道。该共享通道的下行保障带宽大于接口带宽减改接口所有策略带宽之和。【check2】</t>
  </si>
  <si>
    <t>Qos.cfg.chl.policy.pri.put.ptc0</t>
  </si>
  <si>
    <t>【check1】操作成功，restful和etcd查询结果与调整预期值相同
【check2】操作失败，restful和etcd查询结果与调整前相同</t>
  </si>
  <si>
    <t>Qos.cfg.chl.policy.pri.put.ptc1</t>
  </si>
  <si>
    <t>Qos.cfg.chl.policy.pri.put.ptc2</t>
  </si>
  <si>
    <t>Qos.cfg.chl.policy.pri.oplog.ptc0</t>
  </si>
  <si>
    <t>1、构造修改Qos策略优先级调整成功后观察Oplog【check1】
2、构造修改Qos策略优先级调整失败后观察Oplog【check2】
3、构造添加Qos策略优先级调整失败后观察Oplog【check2】
4、构造删除Qos策略优先级调整失败后观察Oplog【check2】</t>
    <phoneticPr fontId="1" type="noConversion"/>
  </si>
  <si>
    <t>Qos.cfg.chl.policy.pri.object.0</t>
  </si>
  <si>
    <t>【check1】操作成功，对象的引用计数不变。Rest和etcd查询对象和带宽策略配置正确
【check2】操作失败，对象的引用计数不变。Rest和etcd查询对象和带宽策略配置正确
【check3】配置成功</t>
  </si>
  <si>
    <t>Qos.cfg.chl.policy.pri.object.1</t>
  </si>
  <si>
    <t>Qos.cfg.chl.policy.pri.object.2</t>
  </si>
  <si>
    <t>Qos.cfg.chl.policy.pri.object.3</t>
  </si>
  <si>
    <t>Qos.cfg.chl.policy.pri.object.4</t>
  </si>
  <si>
    <t>Qos.cfg.chl.policy.pri.limit.ptc0</t>
  </si>
  <si>
    <t>是</t>
    <phoneticPr fontId="1" type="noConversion"/>
  </si>
  <si>
    <t>【check1】查询成功</t>
    <phoneticPr fontId="1" type="noConversion"/>
  </si>
  <si>
    <t>否</t>
    <phoneticPr fontId="1" type="noConversion"/>
  </si>
  <si>
    <t>NGFW_V60R1C00</t>
  </si>
  <si>
    <t>J1900,C236,EP</t>
  </si>
  <si>
    <t>1、使用/api/v1/qosintf接口添加接口带宽时，配置繁忙阈值为20，其他参数为任意有效值,查询接口带宽配置【check1】
2、使用/api/v1/qosintf接口添加接口带宽时，配置繁忙阈值为90，其他参数为任意有效值,查询接口带宽配置【check1】
3、使用/api/v1/qosintf接口添加接口带宽时，配置繁忙阈值为20-90间任意10的整数倍，其他参数为任意有效值,查询接口带宽配置【check1】
4、添加接口带宽时，配置繁忙阈值为10，其他参数为任意有效值,查询接口带宽配置【check2】
5、添加接口带宽时，配置繁忙阈值为100，其他参数为任意有效值,查询接口带宽配置【check2】
6、添加接口带宽时，配置繁忙阈值为繁忙阈值小于空闲阈值，其他参数为任意有效值,查询接口带宽配置【check2】
7、添加接口带宽时，配置繁忙阈值为繁忙阈值等于空闲阈值，其他参数为任意有效值,查询接口带宽配置【check2】
8、添加接口带宽时，配置繁忙阈值为20-90间任意非10的整数倍，其他参数为任意有效值,查询接口带宽配置【check2】
9、添加接口带宽时，配置繁忙阈值为空，其他参数为任意有效值,查询接口带宽配置【check2】
10、添加接口带宽时，配置繁忙阈值为非数字，其他参数为任意有效值,查询接口带宽配置【check2】</t>
    <phoneticPr fontId="1" type="noConversion"/>
  </si>
  <si>
    <t>单策略单条件匹配测试</t>
    <phoneticPr fontId="1" type="noConversion"/>
  </si>
  <si>
    <t>入接口</t>
    <phoneticPr fontId="1" type="noConversion"/>
  </si>
  <si>
    <t>出接口</t>
    <phoneticPr fontId="1" type="noConversion"/>
  </si>
  <si>
    <t>源地址</t>
    <phoneticPr fontId="1" type="noConversion"/>
  </si>
  <si>
    <t>源地址组</t>
    <phoneticPr fontId="1" type="noConversion"/>
  </si>
  <si>
    <t>目的地址</t>
    <phoneticPr fontId="1" type="noConversion"/>
  </si>
  <si>
    <t>目的地址组</t>
    <phoneticPr fontId="1" type="noConversion"/>
  </si>
  <si>
    <t>服务</t>
    <phoneticPr fontId="1" type="noConversion"/>
  </si>
  <si>
    <t>服务组</t>
    <phoneticPr fontId="1" type="noConversion"/>
  </si>
  <si>
    <t>时间对象</t>
    <phoneticPr fontId="1" type="noConversion"/>
  </si>
  <si>
    <t>匹配对象</t>
    <phoneticPr fontId="1" type="noConversion"/>
  </si>
  <si>
    <t>单策略多条件匹配测试</t>
    <phoneticPr fontId="1" type="noConversion"/>
  </si>
  <si>
    <t>多策略单条件匹配测试</t>
    <phoneticPr fontId="1" type="noConversion"/>
  </si>
  <si>
    <t>多策略多条件匹配测试</t>
    <phoneticPr fontId="1" type="noConversion"/>
  </si>
  <si>
    <t>时间对象</t>
    <phoneticPr fontId="1" type="noConversion"/>
  </si>
  <si>
    <t>匹配对象</t>
    <phoneticPr fontId="1" type="noConversion"/>
  </si>
  <si>
    <t>匹配对象=入接口,出接口</t>
    <phoneticPr fontId="1" type="noConversion"/>
  </si>
  <si>
    <t>流量限制</t>
    <phoneticPr fontId="1" type="noConversion"/>
  </si>
  <si>
    <t>连接限制</t>
    <phoneticPr fontId="1" type="noConversion"/>
  </si>
  <si>
    <t>流量策略</t>
    <phoneticPr fontId="1" type="noConversion"/>
  </si>
  <si>
    <t>匹配对象=源地址,源地址组,目的地址,目的地址组,服务,服务组,时间对象</t>
    <phoneticPr fontId="1" type="noConversion"/>
  </si>
  <si>
    <t>1、网元正常启动</t>
    <phoneticPr fontId="1" type="noConversion"/>
  </si>
  <si>
    <t>匹配对象=入接口和出接口不同</t>
    <phoneticPr fontId="1" type="noConversion"/>
  </si>
  <si>
    <t>【check1】上行流量按照通道上行最大带宽通过，下行流量按照下行流量的最大带宽通过。
【check2】流量不受影响带宽通道的最大带宽限制。</t>
    <phoneticPr fontId="1" type="noConversion"/>
  </si>
  <si>
    <t>【check1】上行流量按照通道上行最大带宽通过，下行流量按照下行流量的最大带宽通过。
【check2】流量不受影响带宽通道的最大带宽限制。</t>
    <phoneticPr fontId="1" type="noConversion"/>
  </si>
  <si>
    <t>匹配对象=源地址,源地址组,目的地址,目的地址组,服务,服务组,时间对象</t>
    <phoneticPr fontId="1" type="noConversion"/>
  </si>
  <si>
    <t>匹配对象</t>
    <phoneticPr fontId="1" type="noConversion"/>
  </si>
  <si>
    <t>入接口</t>
    <phoneticPr fontId="1" type="noConversion"/>
  </si>
  <si>
    <t>出接口</t>
    <phoneticPr fontId="1" type="noConversion"/>
  </si>
  <si>
    <t>选取数据不分类</t>
    <phoneticPr fontId="1" type="noConversion"/>
  </si>
  <si>
    <t>选取数据不分类</t>
    <phoneticPr fontId="1" type="noConversion"/>
  </si>
  <si>
    <t>选取数据不分类</t>
    <phoneticPr fontId="1" type="noConversion"/>
  </si>
  <si>
    <t>接口</t>
    <phoneticPr fontId="1" type="noConversion"/>
  </si>
  <si>
    <t>源地址</t>
    <phoneticPr fontId="1" type="noConversion"/>
  </si>
  <si>
    <t>目的地址</t>
    <phoneticPr fontId="1" type="noConversion"/>
  </si>
  <si>
    <t>服务</t>
    <phoneticPr fontId="1" type="noConversion"/>
  </si>
  <si>
    <t>1、网元正常启动</t>
    <phoneticPr fontId="1" type="noConversion"/>
  </si>
  <si>
    <t>匹配对象1=目的地址组;匹配对象2=服务</t>
    <phoneticPr fontId="1" type="noConversion"/>
  </si>
  <si>
    <t>匹配对象1=源地址组;匹配对象2=目的地址组
匹配对象1=源地址组;匹配对象2=服务</t>
    <phoneticPr fontId="1" type="noConversion"/>
  </si>
  <si>
    <t>匹配对象1=目的地址;匹配对象2=服务组</t>
    <phoneticPr fontId="1" type="noConversion"/>
  </si>
  <si>
    <t>匹配对象1=源地址;匹配对象2=目的地址
匹配对象1=源地址;匹配对象2=服务组</t>
    <phoneticPr fontId="1" type="noConversion"/>
  </si>
  <si>
    <t>200000001</t>
    <phoneticPr fontId="1" type="noConversion"/>
  </si>
  <si>
    <t>1、使用/api/v1/qoschannel接口添加Qos通道时，配置下行最大带宽为0，其他参数为任意有效值,查询通道配置【check1】
2、使用/api/v1/qoschannel接口添加Qos通道时，配置下行最大带宽为60，其他参数为任意有效值,查询通道配置【check1】
3、使用/api/v1/qoschannel接口添加Qos通道时，配置下行最大带宽为200000000，其他参数为任意有效值,查询通道配置【check1】
4、使用/api/v1/qoschannel接口添加Qos通道时，配置下行最大带宽为60-200000000间任意值，其他参数为任意有效值,查询通道配置【check1】
5、使用/api/v1/qoschannel接口添加Qos通道时，配置下行最大带宽为最大带宽等于保障带宽，其他参数为任意有效值,查询通道配置【check1】
6、添加Qos通道时，配置下行最大带宽为1，其他参数为任意有效值,查询通道配置【check2】
7、添加Qos通道时，配置下行最大带宽为-1，其他参数为任意有效值,查询通道配置【check2】
8、添加Qos通道时，配置下行最大带宽为59，其他参数为任意有效值,查询通道配置【check2】
9、添加Qos通道时，配置下行最大带宽为200000001，其他参数为任意有效值,查询通道配置【check2】
10、添加Qos通道时，配置下行最大带宽为下行最大带宽小于下行保障带宽，其他参数为任意有效值,查询通道配置【check2】
11、添加Qos通道时，配置下行最大带宽为非数字，其他参数为任意有效值,查询通道配置【check2】
12、添加Qos通道时，配置下行最大带宽为空，其他参数为任意有效值,查询通道配置【check2】</t>
    <phoneticPr fontId="1" type="noConversion"/>
  </si>
  <si>
    <t>Qos.match.1pnc.indff</t>
  </si>
  <si>
    <t>Qos.match.1pnc.indff</t>
    <phoneticPr fontId="1" type="noConversion"/>
  </si>
  <si>
    <t>Qos.match.1pnc.outdff</t>
  </si>
  <si>
    <t>Qos.match.1pnc.outdff</t>
    <phoneticPr fontId="1" type="noConversion"/>
  </si>
  <si>
    <t>匹配对象</t>
    <phoneticPr fontId="1" type="noConversion"/>
  </si>
  <si>
    <t>所有条件</t>
    <phoneticPr fontId="1" type="noConversion"/>
  </si>
  <si>
    <t>匹配对象1=源地址;匹配对象2=目的地址
匹配对象1=目的地址组;匹配对象2=服务</t>
  </si>
  <si>
    <t>匹配对象1=源地址组;匹配对象2=目的地址组
匹配对象1=源地址;匹配对象2=服务组</t>
  </si>
  <si>
    <t>匹配对象1=源地址组;匹配对象2=目的地址组
匹配对象1=源地址;匹配对象2=服务组</t>
    <phoneticPr fontId="1" type="noConversion"/>
  </si>
  <si>
    <t>匹配对象1=源地址组;匹配对象2=服务
匹配对象1=目的地址;匹配对象2=服务组</t>
  </si>
  <si>
    <t>匹配对象1=源地址组;匹配对象2=服务
匹配对象1=目的地址;匹配对象2=服务组</t>
    <phoneticPr fontId="1" type="noConversion"/>
  </si>
  <si>
    <t>匹配对象1=源地址;匹配对象2=目的地址
匹配对象1=目的地址组;匹配对象2=服务</t>
    <phoneticPr fontId="1" type="noConversion"/>
  </si>
  <si>
    <t>1、在网元上选取任意两个以上的接口（记为port1，port2）配置Port1形成单臂路由转发，Port1和Port2之间形成路由转发
2、在Port1（出入接口相同）上配置带宽策略，带宽策略匹配${匹配对象1}和${匹配对象2}其他参数均为any，引用Qos通道的上下行限制最大带宽。
3、在Port1的单臂路由上双向发送同时匹配${匹配对象1}和${匹配对象2}，流量大于通道的最大带宽，观察流量。【check1】
4、在Port2与Port1之间双向发送大于通道最大带宽的流量。【check2】
5、在Port1单臂路由上双向发送仅匹配${匹配对象1}不匹配${匹配对象2}的流量，流量大于通道最大带宽的流量。【check2】
6、在Port1单臂路由上双向发送仅匹配${匹配对象2}不匹配${匹配对象1}的流量，流量大于通道最大带宽的流量。【check2】</t>
    <phoneticPr fontId="1" type="noConversion"/>
  </si>
  <si>
    <t>Qos.match.1pnc.inout</t>
    <phoneticPr fontId="1" type="noConversion"/>
  </si>
  <si>
    <t>Qos.match.1pnc.inout</t>
    <phoneticPr fontId="1" type="noConversion"/>
  </si>
  <si>
    <t>匹配对象1=源地址;匹配对象2=目的地址;匹配对象3=服务组;匹配对象4=时间对象
匹配对象1=源地址组;匹配对象2=目的地址组;匹配对象3=服务;匹配对象4=时间对象</t>
    <phoneticPr fontId="1" type="noConversion"/>
  </si>
  <si>
    <t>Qos.match.1pnc.all</t>
    <phoneticPr fontId="1" type="noConversion"/>
  </si>
  <si>
    <t>Qos.match.1pnc.all</t>
    <phoneticPr fontId="1" type="noConversion"/>
  </si>
  <si>
    <t>匹配对象1=源地址;匹配对象2=目的地址;匹配对象3=服务组;匹配对象4=时间对象
匹配对象1=源地址组;匹配对象2=目的地址组;匹配对象3=服务;匹配对象4=时间对象</t>
    <phoneticPr fontId="1" type="noConversion"/>
  </si>
  <si>
    <t>选取数据不分类</t>
    <phoneticPr fontId="1" type="noConversion"/>
  </si>
  <si>
    <t>选取数据不分类</t>
    <phoneticPr fontId="1" type="noConversion"/>
  </si>
  <si>
    <t>选取数据不分类</t>
    <phoneticPr fontId="1" type="noConversion"/>
  </si>
  <si>
    <t>匹配对象1=源地址;匹配对象2=目的地址;匹配对象3=服务组;匹配对象4=时间对象
匹配对象1=源地址组;匹配对象2=目的地址组;匹配对象3=服务;匹配对象4=时间对象</t>
    <phoneticPr fontId="1" type="noConversion"/>
  </si>
  <si>
    <t>跟所有条件组合,每一类看做一个等价类</t>
    <phoneticPr fontId="1" type="noConversion"/>
  </si>
  <si>
    <t>已组合</t>
    <phoneticPr fontId="1" type="noConversion"/>
  </si>
  <si>
    <t>接口=入接口,出接口</t>
  </si>
  <si>
    <t>源地址=源地址,源地址组</t>
    <phoneticPr fontId="1" type="noConversion"/>
  </si>
  <si>
    <t>目的地址=目的地址,目的地址组</t>
  </si>
  <si>
    <t>服务=服务,服务组</t>
  </si>
  <si>
    <t>时间对象=时间对象</t>
  </si>
  <si>
    <t>策略关系</t>
    <phoneticPr fontId="1" type="noConversion"/>
  </si>
  <si>
    <t>包含关系</t>
    <phoneticPr fontId="1" type="noConversion"/>
  </si>
  <si>
    <t>交叉关系</t>
    <phoneticPr fontId="1" type="noConversion"/>
  </si>
  <si>
    <t>冲突关系</t>
    <phoneticPr fontId="1" type="noConversion"/>
  </si>
  <si>
    <t>无关系</t>
    <phoneticPr fontId="1" type="noConversion"/>
  </si>
  <si>
    <t>策略关系=包含关系,交叉关系,冲突关系,无关系</t>
  </si>
  <si>
    <t>必选,全组合</t>
    <phoneticPr fontId="1" type="noConversion"/>
  </si>
  <si>
    <t>每一类看做一个等价类，与时间对象不组合</t>
    <phoneticPr fontId="1" type="noConversion"/>
  </si>
  <si>
    <t>每一类看做一个等价类，与时间对象不组合</t>
    <phoneticPr fontId="1" type="noConversion"/>
  </si>
  <si>
    <t>Qos.match.np1c.contain</t>
    <phoneticPr fontId="1" type="noConversion"/>
  </si>
  <si>
    <t>Qos.match.np1c.cross</t>
  </si>
  <si>
    <t>Qos.match.np1c.cross</t>
    <phoneticPr fontId="1" type="noConversion"/>
  </si>
  <si>
    <t>Qos.match.np1c.conflict</t>
  </si>
  <si>
    <t>Qos.match.np1c.conflict</t>
    <phoneticPr fontId="1" type="noConversion"/>
  </si>
  <si>
    <t>Qos.match.np1c.none</t>
  </si>
  <si>
    <t>Qos.match.np1c.none</t>
    <phoneticPr fontId="1" type="noConversion"/>
  </si>
  <si>
    <t>接口</t>
    <phoneticPr fontId="1" type="noConversion"/>
  </si>
  <si>
    <t>必选参数不组合</t>
    <phoneticPr fontId="1" type="noConversion"/>
  </si>
  <si>
    <t>接口=入接口,出接口</t>
    <phoneticPr fontId="1" type="noConversion"/>
  </si>
  <si>
    <t>接口=入接口,出接口</t>
    <phoneticPr fontId="1" type="noConversion"/>
  </si>
  <si>
    <t>接口</t>
    <phoneticPr fontId="1" type="noConversion"/>
  </si>
  <si>
    <t>源地址</t>
    <phoneticPr fontId="1" type="noConversion"/>
  </si>
  <si>
    <t>目的地址,服务</t>
    <phoneticPr fontId="1" type="noConversion"/>
  </si>
  <si>
    <t>源地址,服务</t>
    <phoneticPr fontId="1" type="noConversion"/>
  </si>
  <si>
    <t>源地址,目的地址</t>
    <phoneticPr fontId="1" type="noConversion"/>
  </si>
  <si>
    <t>所有</t>
    <phoneticPr fontId="1" type="noConversion"/>
  </si>
  <si>
    <t>所有</t>
    <phoneticPr fontId="1" type="noConversion"/>
  </si>
  <si>
    <t>源地址,目的地址,服务</t>
    <phoneticPr fontId="1" type="noConversion"/>
  </si>
  <si>
    <t>源地址,目的地址,服务</t>
    <phoneticPr fontId="1" type="noConversion"/>
  </si>
  <si>
    <t>源地址,目的地址,服务</t>
    <phoneticPr fontId="1" type="noConversion"/>
  </si>
  <si>
    <t>所有</t>
    <phoneticPr fontId="1" type="noConversion"/>
  </si>
  <si>
    <t>匹配对象=源地址和源地址组,目的地址和目的地址组,服务和服务组</t>
    <phoneticPr fontId="1" type="noConversion"/>
  </si>
  <si>
    <t>匹配对象=源地址或源地址组,目的地址或目的地址组,服务或服务组</t>
    <phoneticPr fontId="1" type="noConversion"/>
  </si>
  <si>
    <t>验证多条带宽策略单条件各自匹配所有条件的匹配功能</t>
    <phoneticPr fontId="1" type="noConversion"/>
  </si>
  <si>
    <t>匹配对象=源地址和源地址组,目的地址和目的地址组,服务和服务组</t>
    <phoneticPr fontId="1" type="noConversion"/>
  </si>
  <si>
    <t>匹配对象=所有</t>
  </si>
  <si>
    <t>匹配对象=所有</t>
    <phoneticPr fontId="1" type="noConversion"/>
  </si>
  <si>
    <t>验证多条带宽策略单条件匹配${匹配对象}存在包含关系的匹配功能</t>
    <phoneticPr fontId="1" type="noConversion"/>
  </si>
  <si>
    <t>验证多条带宽策略单条件匹配${匹配对象}存在包含关系的匹配功能</t>
    <phoneticPr fontId="1" type="noConversion"/>
  </si>
  <si>
    <t>验证单条带宽策略不同出口同时匹配${匹配对象1}和${匹配对象2}功能</t>
    <phoneticPr fontId="1" type="noConversion"/>
  </si>
  <si>
    <t>验证单条带宽策略业务从不同入口同时匹配所有条件功能</t>
    <phoneticPr fontId="1" type="noConversion"/>
  </si>
  <si>
    <t>验证多条带宽策略单条件匹配${匹配对象}存在包含关系的匹配功能</t>
    <phoneticPr fontId="1" type="noConversion"/>
  </si>
  <si>
    <t>验证多条带宽策略单条件各自匹配所有条件的匹配功能</t>
    <phoneticPr fontId="1" type="noConversion"/>
  </si>
  <si>
    <t>1、网元正常启动
2、在网元上选取任意两个接口（记为port1，port2）配置二层转发或者路由转发</t>
    <phoneticPr fontId="1" type="noConversion"/>
  </si>
  <si>
    <t>1、网元正常启动
2、在网元上选取任意两个接口（记为port1，port2）配置二层转发或者路由转发</t>
    <phoneticPr fontId="1" type="noConversion"/>
  </si>
  <si>
    <t>1、网元正常启动
2、在网元上选取任意两个接口（记为port1，port2）配置二层转发或者路由转发</t>
    <phoneticPr fontId="1" type="noConversion"/>
  </si>
  <si>
    <t>验证多条带宽策略单条件匹配${匹配对象}低优先级策略包含高优先级策略的匹配功能</t>
    <phoneticPr fontId="1" type="noConversion"/>
  </si>
  <si>
    <t>验证多条带宽策略单条件匹配${匹配对象}高优先级策略包含低优先级策略的匹配功能</t>
    <phoneticPr fontId="1" type="noConversion"/>
  </si>
  <si>
    <t>Qos.match.np1c.contain.pre</t>
    <phoneticPr fontId="1" type="noConversion"/>
  </si>
  <si>
    <t>Qos.match.np1c.pre.contain</t>
    <phoneticPr fontId="1" type="noConversion"/>
  </si>
  <si>
    <t>验证多条带宽策略单条件匹配${匹配对象}存在交叉关系的匹配功能</t>
    <phoneticPr fontId="1" type="noConversion"/>
  </si>
  <si>
    <t>匹配对象=源地址或源地址组;对象配置=均为范围
匹配对象=目的地址或目的地址组;对象配置=一个对网段一个为范围
匹配对象=服务和服务组;对象配置=两者均为范围</t>
    <phoneticPr fontId="1" type="noConversion"/>
  </si>
  <si>
    <t>匹配对象=源地址和源地址组;对象配置=均为网段
匹配对象=目的地址和目的地址组;对象配置=一个为网段另一个为范围
匹配对象=服务和服务组;对象配置=两者均为范围</t>
    <phoneticPr fontId="1" type="noConversion"/>
  </si>
  <si>
    <t>【check1】上下行流量按照C2引用的带宽通道的限速通过
【check2】上下行流量按照C1引用的带宽通道的限速通过</t>
    <phoneticPr fontId="1" type="noConversion"/>
  </si>
  <si>
    <t>1、在设备上配置两个对象分别为${匹配对象}别记为C1和C2，C1和C2均为网段，其中C1包含C2。再配置两个带宽通道，上下行最大带宽不相同。
2、在Port1（入接口）和Port2（出接口）上配置两条带宽策略，分别匹配C1和C2，其中匹配C1的优先级高于C2，其他参数均为any，分别引用两个不同的带宽通道。
3、在Port1和Port2之间双向发送同时匹配C1和C2的流量，流量带宽大于两个通道的最大带宽，观察流量。【check1】
4、在Port1和Port2之间双向发送匹配C1但不匹配C2的流量，流量带宽大于两个通道的最大带宽，观察流量。【check1】
5、在Port1和Port2之间双向发送匹配C2但不匹配C1的流量，流量带宽大于两个通道的最大带宽，观察流量。【check2】</t>
    <phoneticPr fontId="1" type="noConversion"/>
  </si>
  <si>
    <t>【check1】上下行流量按照C1引用的带宽通道的限速通过</t>
    <phoneticPr fontId="1" type="noConversion"/>
  </si>
  <si>
    <t>验证多条带宽策略单条件匹配相同的${匹配对象}的处理能力</t>
    <phoneticPr fontId="1" type="noConversion"/>
  </si>
  <si>
    <t>【check1】上下行流量按照C1引用的带宽通道的限速通过
【check2】上下行流量按照C2引用的带宽通道的限速通过</t>
    <phoneticPr fontId="1" type="noConversion"/>
  </si>
  <si>
    <t>【check1】上下行流量按照P1引用的带宽通道的限速通过
【check2】上下行流量按照P2引用的带宽通道的限速通过</t>
    <phoneticPr fontId="1" type="noConversion"/>
  </si>
  <si>
    <t>1、在设备上配置对象为${匹配对象}别记为C1。再配置两个带宽通道，上下行最大带宽不相同。
2、在Port1（入接口）和Port2（出接口）上配置两条带宽策略都匹配对象C1（记为P1和P2），其他参数均为any，分别引用两个不同的带宽通道，其中P1的优先级高于P2。
3、在Port1和Port2之间双向发送同时匹配C1流量，流量带宽大于两个通道的最大带宽，观察流量。【check1】
4、不停止流量，调整P1和P2的优先级使P2的优先级高于P1，观察流量。【check2】</t>
    <phoneticPr fontId="1" type="noConversion"/>
  </si>
  <si>
    <t>匹配对象=源地址和源地址组;对象配置=一个为网段另一个为范围
匹配对象=目的地址和目的地址组;对象配置=均为网段
匹配对象=服务和服务组;对象配置=两者均为范围</t>
    <phoneticPr fontId="1" type="noConversion"/>
  </si>
  <si>
    <t>【check1】上下行流量均按照各自引用通道的最大带宽通过</t>
    <phoneticPr fontId="1" type="noConversion"/>
  </si>
  <si>
    <t>1、在设备上配置两个对象分别为${匹配对象}别记为C1和C2，C1和C2均为网段，其中C1包含C2。再配置两个带宽通道，上下行最大带宽不相同。
2、在Port1（入接口）和Port2（出接口）上配置两条带宽策略，分别匹配C1和C2，其中匹配C1的优先级高于C2，其他参数均为any，分别引用两个不同的带宽通道。
3、在Port1和Port2之间双向发送同时匹配C1和C2的流量，流量带宽大于两个通道的最大带宽，观察流量。【check1】
4、在Port1和Port2之间双向发送匹配C1但不匹配C2的流量，流量带宽大于两个通道的最大带宽，观察流量。【check2】</t>
    <phoneticPr fontId="1" type="noConversion"/>
  </si>
  <si>
    <t>1、在设备上配置两个对象分别为${匹配对象}别记为C1和C2，C1和C2${对象配置}，其中C1包含C2。再配置两个带宽通道，上下行最大带宽不相同。
2、在Port1（入接口）和Port2（出接口）上配置两条带宽策略，分别匹配C1和C2，其中匹配C2的优先级高于C1，其他参数均为any，分别引用两个不同的带宽通道。
3、在Port1和Port2之间双向发送同时匹配C1和C2的流量，流量带宽大于两个通道的最大带宽，观察流量。【check1】
4、在Port1和Port2之间双向发送匹配C1但不匹配C2的流量，流量带宽大于两个通道的最大带宽，观察流量。【check2】</t>
    <phoneticPr fontId="1" type="noConversion"/>
  </si>
  <si>
    <t>1、在网元上选取任意两个以上的接口（记为port1，port2，port3）配置二层转发或者路由转发
2、在Port1（入接口）和Port2（出接口）上配置带宽策略，带宽策略匹配${匹配对象1}、${匹配对象2}、${匹配对象3}和${匹配对象4}，引用Qos通道的上下行限制最大带宽。
3、在Port1和Port2之间双向发送同时所有条件，流量大于通道的最大带宽，观察流量。【check1】
4、在Port1与Port2之间双向发送仅不匹配${匹配对象1}，其他条件均匹配的流量，流量大于通道最大带宽的流量。【check2】
5、在Port1与Port2之间双向发送仅不匹配${匹配对象2}，其他条件均匹配的流量，流量大于通道最大带宽的流量。【check2】
6、在Port1与Port2之间双向发送仅不匹配${匹配对象3}，其他条件均匹配的流量，流量大于通道最大带宽的流量。【check2】
7、在Port1与Port2之间双向发送仅不匹配${匹配对象4}，其他条件均匹配的流量，流量大于通道最大带宽的流量。【check2】</t>
    <phoneticPr fontId="1" type="noConversion"/>
  </si>
  <si>
    <t>1、在网元上选取任意两个以上的接口（记为port1，port2，port3）配置二层转发或者路由转发
2、在Port1（入接口）和Port2（出接口）上配置带宽策略，带宽策略匹配${匹配对象1}和${匹配对象2}其他参数均为any，引用Qos通道的上下行限制最大带宽。
3、在Port1和Port2之间双向发送同时匹配${匹配对象1}和${匹配对象2}，流量大于通道的最大带宽，观察流量。【check1】
4、在Port3与Port2之间双向发送大于通道最大带宽的流量。【check2】
5、在Port1与Port2之间双向发送仅匹配${匹配对象1}不匹配${匹配对象2}的流量，流量大于通道最大带宽的流量。【check2】
6、在Port1与Port2之间双向发送仅匹配${匹配对象2}不匹配${匹配对象1}的流量，流量大于通道最大带宽的流量。【check2】</t>
    <phoneticPr fontId="1" type="noConversion"/>
  </si>
  <si>
    <t>1、在网元上选取任意两个以上的接口（记为port1，port2，port3）配置二层转发或者路由转发
2、在Port1（入接口）和Port2（出接口）上配置带宽策略，带宽策略匹配${匹配对象1}和${匹配对象2}其他参数均为any，引用Qos通道的上下行限制最大带宽。
3、在Port1和Port2之间双向发送同时匹配${匹配对象1}和${匹配对象2}，流量大于通道的最大带宽，观察流量。【check1】
4、在Port3与Port1之间双向发送大于通道最大带宽的流量。【check2】
5、在Port1与Port2之间双向发送仅匹配${匹配对象1}不匹配${匹配对象2}的流量，流量大于通道最大带宽的流量。【check2】
6、在Port1与Port2之间双向发送仅匹配${匹配对象2}不匹配${匹配对象1}的流量，流量大于通道最大带宽的流量。【check2】</t>
    <phoneticPr fontId="1" type="noConversion"/>
  </si>
  <si>
    <t>验证多条带宽策略单同时件匹源目地址和服务存在包含关系的匹配功能</t>
    <phoneticPr fontId="1" type="noConversion"/>
  </si>
  <si>
    <t>验证多条带宽策略单同时件匹源目地址和服务存在包交叉系的匹配功能</t>
    <phoneticPr fontId="1" type="noConversion"/>
  </si>
  <si>
    <t>Qos.match.npnc.contain</t>
    <phoneticPr fontId="1" type="noConversion"/>
  </si>
  <si>
    <t>Qos.match.npnc.contain</t>
    <phoneticPr fontId="1" type="noConversion"/>
  </si>
  <si>
    <t>Qos.match.npnc.cross</t>
    <phoneticPr fontId="1" type="noConversion"/>
  </si>
  <si>
    <t>验证添加QOS通道时名称有效值和无效值测试</t>
    <phoneticPr fontId="1" type="noConversion"/>
  </si>
  <si>
    <t>验证配置Qos通道容量测试</t>
    <phoneticPr fontId="1" type="noConversion"/>
  </si>
  <si>
    <t>验证修改QOS通道时ID有效值和无效值测试</t>
  </si>
  <si>
    <t>验证修改QOS通道时名称有效值和无效值测试</t>
  </si>
  <si>
    <t>验证修改QOS通道时通道模式有效值和无效值测试</t>
  </si>
  <si>
    <t>验证修改QOS通道时上行最大带宽有效值和无效值测试</t>
  </si>
  <si>
    <t>验证修改QOS通道时下行最大带宽有效值和无效值测试</t>
  </si>
  <si>
    <t>验证修改QOS通道时下行保障带宽有效值和无效值测试</t>
  </si>
  <si>
    <t>验证修改QOS通道时上行总额有效值和无效值测试</t>
  </si>
  <si>
    <t>验证修改QOS通道时下行总额有效值和无效值测试</t>
  </si>
  <si>
    <t>验证修改QOS通道时最大连接数有效值和无效值测试</t>
  </si>
  <si>
    <t>验证修改QOS通道时新建连接速率有效值和无效值测试</t>
  </si>
  <si>
    <t>验证修改QOS通道时限流对象有效值和无效值测试</t>
  </si>
  <si>
    <t>验证修改QOS通道时用户上行最大带宽有效值和无效值测试</t>
  </si>
  <si>
    <t>验证修改QOS通道时用户上行保障带宽有效值和无效值测试</t>
  </si>
  <si>
    <t>验证修改QOS通道时用户下行最大带宽有效值和无效值测试</t>
  </si>
  <si>
    <t>验证修改QOS通道时用户下行保障带宽有效值和无效值测试</t>
  </si>
  <si>
    <t>验证修改QOS通道时用户上行总额有效值和无效值测试</t>
  </si>
  <si>
    <t>验证修改QOS通道时用户下行总额有效值和无效值测试</t>
  </si>
  <si>
    <t>验证修改QOS通道时用户最大连接数有效值和无效值测试</t>
  </si>
  <si>
    <t>验证修改QOS通道时用户新建连接速率有效值和无效值测试</t>
  </si>
  <si>
    <t>1、使用/api/v1/qoschannel接口修改Qos通道时，配置名称为原值相同，其他参数为任意有效值,查询通道配置【check1】
2、修改Qos通道时，配置名称为与原值不同，其他参数为任意有效值,查询通道配置【check2】
3、修改Qos通道时，配置名称为0个字符，其他参数为任意有效值,查询通道配置【check2】
4、修改Qos通道时，配置名称为32个字符，其他参数为任意有效值,查询通道配置【check2】
5、修改Qos通道时，配置名称为空，其他参数为任意有效值,查询通道配置【check2】</t>
  </si>
  <si>
    <t>1、使用/api/v1/qoschannel接口修改Qos通道时，配置通道模式为独享，其他参数为任意有效值,查询通道配置【check1】
2、使用/api/v1/qoschannel接口修改Qos通道时，配置通道模式为共享，其他参数为任意有效值,查询通道配置【check1】
3、修改Qos通道时，配置通道模式为其他任意非法字符串，其他参数为任意有效值,查询通道配置【check2】
4、修改Qos通道时，配置通道模式为空，其他参数为任意有效值,查询通道配置【check2】
5、修改Qos通道时，配置通道模式为超长字符串，其他参数为任意有效值,查询通道配置【check2】</t>
  </si>
  <si>
    <t>1、使用/api/v1/qoschannel接口修改Qos通道时，配置上行最大带宽为0，其他参数为任意有效值,查询通道配置【check1】
2、使用/api/v1/qoschannel接口修改Qos通道时，配置上行最大带宽为60，其他参数为任意有效值,查询通道配置【check1】
3、使用/api/v1/qoschannel接口修改Qos通道时，配置上行最大带宽为200000000，其他参数为任意有效值,查询通道配置【check1】
4、使用/api/v1/qoschannel接口修改Qos通道时，配置上行最大带宽为60-200000000间任意值，其他参数为任意有效值,查询通道配置【check1】
5、使用/api/v1/qoschannel接口修改Qos通道时，配置上行最大带宽为最大带宽等于保障带宽，其他参数为任意有效值,查询通道配置【check1】
6、修改Qos通道时，配置上行最大带宽为1，其他参数为任意有效值,查询通道配置【check2】
7、修改Qos通道时，配置上行最大带宽为-1，其他参数为任意有效值,查询通道配置【check2】
8、修改Qos通道时，配置上行最大带宽为59，其他参数为任意有效值,查询通道配置【check2】
9、修改Qos通道时，配置上行最大带宽为200000001，其他参数为任意有效值,查询通道配置【check2】
10、修改Qos通道时，配置上行最大带宽为上行最大带宽小于上行保障带宽，其他参数为任意有效值,查询通道配置【check2】
11、修改Qos通道时，配置上行最大带宽为非数字，其他参数为任意有效值,查询通道配置【check2】
12、修改Qos通道时，配置上行最大带宽为空，其他参数为任意有效值,查询通道配置【check2】</t>
  </si>
  <si>
    <t>1、使用/api/v1/qoschannel接口修改Qos通道时，配置下行最大带宽为0，其他参数为任意有效值,查询通道配置【check1】
2、使用/api/v1/qoschannel接口修改Qos通道时，配置下行最大带宽为60，其他参数为任意有效值,查询通道配置【check1】
3、使用/api/v1/qoschannel接口修改Qos通道时，配置下行最大带宽为200000000，其他参数为任意有效值,查询通道配置【check1】
4、使用/api/v1/qoschannel接口修改Qos通道时，配置下行最大带宽为60-200000000间任意值，其他参数为任意有效值,查询通道配置【check1】
5、使用/api/v1/qoschannel接口修改Qos通道时，配置下行最大带宽为最大带宽等于保障带宽，其他参数为任意有效值,查询通道配置【check1】
6、修改Qos通道时，配置下行最大带宽为1，其他参数为任意有效值,查询通道配置【check2】
7、修改Qos通道时，配置下行最大带宽为-1，其他参数为任意有效值,查询通道配置【check2】
8、修改Qos通道时，配置下行最大带宽为59，其他参数为任意有效值,查询通道配置【check2】
9、修改Qos通道时，配置下行最大带宽为200000001，其他参数为任意有效值,查询通道配置【check2】
10、修改Qos通道时，配置下行最大带宽为下行最大带宽小于下行保障带宽，其他参数为任意有效值,查询通道配置【check2】
11、修改Qos通道时，配置下行最大带宽为非数字，其他参数为任意有效值,查询通道配置【check2】
12、修改Qos通道时，配置下行最大带宽为空，其他参数为任意有效值,查询通道配置【check2】</t>
  </si>
  <si>
    <t>1、使用/api/v1/qoschannel接口修改Qos通道时，配置上行总额为0，其他参数为任意有效值,查询通道配置【check1】
2、使用/api/v1/qoschannel接口修改Qos通道时，配置上行总额为10，其他参数为任意有效值,查询通道配置【check1】
3、使用/api/v1/qoschannel接口修改Qos通道时，配置上行总额为100000000，其他参数为任意有效值,查询通道配置【check1】
4、使用/api/v1/qoschannel接口修改Qos通道时，配置上行总额为10-100000000间任意值，其他参数为任意有效值,查询通道配置【check1】
5、修改Qos通道时，配置上行总额为1，其他参数为任意有效值,查询通道配置【check2】
6、修改Qos通道时，配置上行总额为-1，其他参数为任意有效值,查询通道配置【check2】
7、修改Qos通道时，配置上行总额为9，其他参数为任意有效值,查询通道配置【check2】
8、修改Qos通道时，配置上行总额为100000001，其他参数为任意有效值,查询通道配置【check2】
9、修改Qos通道时，配置上行总额为非数字，其他参数为任意有效值,查询通道配置【check2】
10、修改Qos通道时，配置上行总额为空，其他参数为任意有效值,查询通道配置【check2】</t>
  </si>
  <si>
    <t>1、使用/api/v1/qoschannel接口修改Qos通道时，配置下行总额为0，其他参数为任意有效值,查询通道配置【check1】
2、使用/api/v1/qoschannel接口修改Qos通道时，配置下行总额为10，其他参数为任意有效值,查询通道配置【check1】
3、使用/api/v1/qoschannel接口修改Qos通道时，配置下行总额为100000000，其他参数为任意有效值,查询通道配置【check1】
4、使用/api/v1/qoschannel接口修改Qos通道时，配置下行总额为10-100000000间任意值，其他参数为任意有效值,查询通道配置【check1】
5、修改Qos通道时，配置下行总额为1，其他参数为任意有效值,查询通道配置【check2】
6、修改Qos通道时，配置下行总额为-1，其他参数为任意有效值,查询通道配置【check2】
7、修改Qos通道时，配置下行总额为9，其他参数为任意有效值,查询通道配置【check2】
8、修改Qos通道时，配置下行总额为100000001，其他参数为任意有效值,查询通道配置【check2】
9、修改Qos通道时，配置下行总额为非数字，其他参数为任意有效值,查询通道配置【check2】
10、修改Qos通道时，配置下行总额为空，其他参数为任意有效值,查询通道配置【check2】</t>
  </si>
  <si>
    <t>1、使用/api/v1/qoschannel接口修改Qos通道时，配置最大连接数为0，其他参数为任意有效值,查询通道配置【check1】
2、使用/api/v1/qoschannel接口修改Qos通道时，配置最大连接数为1，其他参数为任意有效值,查询通道配置【check1】
3、使用/api/v1/qoschannel接口修改Qos通道时，配置最大连接数为6000000 ，其他参数为任意有效值,查询通道配置【check1】
4、使用/api/v1/qoschannel接口修改Qos通道时，配置最大连接数为1-6000000间任意值，其他参数为任意有效值,查询通道配置【check1】
5、修改Qos通道时，配置最大连接数为-1，其他参数为任意有效值,查询通道配置【check2】
6、修改Qos通道时，配置最大连接数为6000001，其他参数为任意有效值,查询通道配置【check2】
7、修改Qos通道时，配置最大连接数为非数字，其他参数为任意有效值,查询通道配置【check2】
8、修改Qos通道时，配置最大连接数为空，其他参数为任意有效值,查询通道配置【check2】</t>
  </si>
  <si>
    <t>1、使用/api/v1/qoschannel接口修改Qos通道时，配置新建连接速率为0，其他参数为任意有效值,查询通道配置【check1】
2、使用/api/v1/qoschannel接口修改Qos通道时，配置新建连接速率为1，其他参数为任意有效值,查询通道配置【check1】
3、使用/api/v1/qoschannel接口修改Qos通道时，配置新建连接速率为500000，其他参数为任意有效值,查询通道配置【check1】
4、使用/api/v1/qoschannel接口修改Qos通道时，配置新建连接速率为1-500000间任意值，其他参数为任意有效值,查询通道配置【check1】
5、修改Qos通道时，配置新建连接速率为-1，其他参数为任意有效值,查询通道配置【check2】
6、修改Qos通道时，配置新建连接速率为500001，其他参数为任意有效值,查询通道配置【check2】
7、修改Qos通道时，配置新建连接速率为非数字，其他参数为任意有效值,查询通道配置【check2】
8、修改Qos通道时，配置新建连接速率为空，其他参数为任意有效值,查询通道配置【check2】</t>
  </si>
  <si>
    <t>1、使用/api/v1/qoschannel接口修改Qos通道时，配置限流对象为每IP，其他参数为任意有效值,查询通道配置【check1】
2、使用/api/v1/qoschannel接口修改Qos通道时，配置限流对象为每用户，其他参数为任意有效值,查询通道配置【check1】
3、修改Qos通道时，配置限流对象为其他任意非法字符串，其他参数为任意有效值,查询通道配置【check2】
4、修改Qos通道时，配置限流对象为空，其他参数为任意有效值,查询通道配置【check2】
5、修改Qos通道时，配置限流对象为超长字符串，其他参数为任意有效值,查询通道配置【check2】</t>
  </si>
  <si>
    <t>1、使用/api/v1/qoschannel接口修改Qos通道时，配置用户上行最大带宽为0，其他参数为任意有效值,查询通道配置【check1】
2、使用/api/v1/qoschannel接口修改Qos通道时，配置用户上行最大带宽为60，其他参数为任意有效值,查询通道配置【check1】
3、使用/api/v1/qoschannel接口修改Qos通道时，配置用户上行最大带宽为200000000，其他参数为任意有效值,查询通道配置【check1】
4、使用/api/v1/qoschannel接口修改Qos通道时，配置用户上行最大带宽为60-200000000间任意值，其他参数为任意有效值,查询通道配置【check1】
5、使用/api/v1/qoschannel接口修改Qos通道时，配置用户上行最大带宽为用户最大带宽等于用户保障带宽，其他参数为任意有效值,查询通道配置【check1】
6、修改Qos通道时，配置用户上行最大带宽为1，其他参数为任意有效值,查询通道配置【check2】
7、修改Qos通道时，配置用户上行最大带宽为-1，其他参数为任意有效值,查询通道配置【check2】
8、修改Qos通道时，配置用户上行最大带宽为59，其他参数为任意有效值,查询通道配置【check2】
9、修改Qos通道时，配置用户上行最大带宽为200000001，其他参数为任意有效值,查询通道配置【check2】
10、修改Qos通道时，配置用户上行最大带宽为用户上行最大带宽小于用户上行保障带宽，其他参数为任意有效值,查询通道配置【check2】
11、修改Qos通道时，配置用户上行最大带宽为非数字，其他参数为任意有效值,查询通道配置【check2】
12、修改Qos通道时，配置用户上行最大带宽为用户上行最大带宽大于通道上行最大带宽，其他参数为任意有效值,查询通道配置【check2】
13、修改Qos通道时，配置用户上行最大带宽为空，其他参数为任意有效值,查询通道配置【check2】</t>
  </si>
  <si>
    <t>1、使用/api/v1/qoschannel接口修改Qos通道时，配置用户上行保障带宽为0，其他参数为任意有效值,查询通道配置【check1】
2、使用/api/v1/qoschannel接口修改Qos通道时，配置用户上行保障带宽为60，其他参数为任意有效值,查询通道配置【check1】
3、使用/api/v1/qoschannel接口修改Qos通道时，配置用户上行保障带宽为200000000，其他参数为任意有效值,查询通道配置【check1】
4、使用/api/v1/qoschannel接口修改Qos通道时，配置用户上行保障带宽为60-200000000间任意值，其他参数为任意有效值,查询通道配置【check1】
5、使用/api/v1/qoschannel接口修改Qos通道时，配置用户上行保障带宽为用户保障带宽等于用户最大带宽，其他参数为任意有效值,查询通道配置【check1】
6、修改Qos通道时，配置用户上行保障带宽为1，其他参数为任意有效值,查询通道配置【check2】
7、修改Qos通道时，配置用户上行保障带宽为-1，其他参数为任意有效值,查询通道配置【check2】
8、修改Qos通道时，配置用户上行保障带宽为59，其他参数为任意有效值,查询通道配置【check2】
9、修改Qos通道时，配置用户上行保障带宽为200000000，其他参数为任意有效值,查询通道配置【check2】
10、修改Qos通道时，配置用户上行保障带宽为用户上行保障带宽大于用户上行最大带宽，其他参数为任意有效值,查询通道配置【check2】
11、修改Qos通道时，配置用户上行保障带宽为非数字，其他参数为任意有效值,查询通道配置【check2】
12、修改Qos通道时，配置用户上行保障带宽为用户上行保障带宽大于通道上行保障带宽，其他参数为任意有效值,查询通道配置【check2】
13、修改Qos通道时，配置用户上行保障带宽为空，其他参数为任意有效值,查询通道配置【check2】</t>
  </si>
  <si>
    <t>1、使用/api/v1/qoschannel接口修改Qos通道时，配置用户下行最大带宽为0，其他参数为任意有效值,查询通道配置【check1】
2、使用/api/v1/qoschannel接口修改Qos通道时，配置用户下行最大带宽为60，其他参数为任意有效值,查询通道配置【check1】
3、使用/api/v1/qoschannel接口修改Qos通道时，配置用户下行最大带宽为200000000，其他参数为任意有效值,查询通道配置【check1】
4、使用/api/v1/qoschannel接口修改Qos通道时，配置用户下行最大带宽为60-200000000间任意值，其他参数为任意有效值,查询通道配置【check1】
5、使用/api/v1/qoschannel接口修改Qos通道时，配置用户下行最大带宽为用户最大带宽等于用户保障带宽，其他参数为任意有效值,查询通道配置【check1】
6、修改Qos通道时，配置用户下行最大带宽为1，其他参数为任意有效值,查询通道配置【check2】
7、修改Qos通道时，配置用户下行最大带宽为-1，其他参数为任意有效值,查询通道配置【check2】
8、修改Qos通道时，配置用户下行最大带宽为59，其他参数为任意有效值,查询通道配置【check2】
9、修改Qos通道时，配置用户下行最大带宽为200000001，其他参数为任意有效值,查询通道配置【check2】
10、修改Qos通道时，配置用户下行最大带宽为用户下行最大带宽小于用户下行保障带宽，其他参数为任意有效值,查询通道配置【check2】
11、修改Qos通道时，配置用户下行最大带宽为非数字，其他参数为任意有效值,查询通道配置【check2】
12、修改Qos通道时，配置用户下行最大带宽为用户下行最大带宽大于通道下行最大带宽，其他参数为任意有效值,查询通道配置【check2】
13、修改Qos通道时，配置用户下行最大带宽为空，其他参数为任意有效值,查询通道配置【check2】</t>
  </si>
  <si>
    <t>1、使用/api/v1/qoschannel接口修改Qos通道时，配置用户下行保障带宽为0，其他参数为任意有效值,查询通道配置【check1】
2、使用/api/v1/qoschannel接口修改Qos通道时，配置用户下行保障带宽为60，其他参数为任意有效值,查询通道配置【check1】
3、使用/api/v1/qoschannel接口修改Qos通道时，配置用户下行保障带宽为200000000，其他参数为任意有效值,查询通道配置【check1】
4、使用/api/v1/qoschannel接口修改Qos通道时，配置用户下行保障带宽为60-200000000间任意值，其他参数为任意有效值,查询通道配置【check1】
5、使用/api/v1/qoschannel接口修改Qos通道时，配置用户下行保障带宽为用户保障带宽等于用户最大带宽，其他参数为任意有效值,查询通道配置【check1】
6、修改Qos通道时，配置用户下行保障带宽为1，其他参数为任意有效值,查询通道配置【check2】
7、修改Qos通道时，配置用户下行保障带宽为-1，其他参数为任意有效值,查询通道配置【check2】
8、修改Qos通道时，配置用户下行保障带宽为59，其他参数为任意有效值,查询通道配置【check2】
9、修改Qos通道时，配置用户下行保障带宽为200000000，其他参数为任意有效值,查询通道配置【check2】
10、修改Qos通道时，配置用户下行保障带宽为用户保障带宽大于用户保障带宽，其他参数为任意有效值,查询通道配置【check2】
11、修改Qos通道时，配置用户下行保障带宽为非数字，其他参数为任意有效值,查询通道配置【check2】
12、修改Qos通道时，配置用户下行保障带宽为用户下行保障带宽大于通道下行保障带宽，其他参数为任意有效值,查询通道配置【check2】
13、修改Qos通道时，配置用户下行保障带宽为空，其他参数为任意有效值,查询通道配置【check2】</t>
  </si>
  <si>
    <t>1、使用/api/v1/qoschannel接口修改Qos通道时，配置用户上行总额为0，其他参数为任意有效值,查询通道配置【check1】
2、使用/api/v1/qoschannel接口修改Qos通道时，配置用户上行总额为10，其他参数为任意有效值,查询通道配置【check1】
3、使用/api/v1/qoschannel接口修改Qos通道时，配置用户上行总额为100000000，其他参数为任意有效值,查询通道配置【check1】
4、使用/api/v1/qoschannel接口修改Qos通道时，配置用户上行总额为10-100000000间任意值，其他参数为任意有效值,查询通道配置【check1】
5、修改Qos通道时，配置用户上行总额为1，其他参数为任意有效值,查询通道配置【check2】
6、修改Qos通道时，配置用户上行总额为-1，其他参数为任意有效值,查询通道配置【check2】
7、修改Qos通道时，配置用户上行总额为9，其他参数为任意有效值,查询通道配置【check2】
8、修改Qos通道时，配置用户上行总额为100000001，其他参数为任意有效值,查询通道配置【check2】
9、修改Qos通道时，配置用户上行总额为非数字，其他参数为任意有效值,查询通道配置【check2】
10、修改Qos通道时，配置用户上行总额为用户上行总额大于通道上行总额，其他参数为任意有效值,查询通道配置【check2】
11、修改Qos通道时，配置用户上行总额为空，其他参数为任意有效值,查询通道配置【check2】</t>
  </si>
  <si>
    <t>1、使用/api/v1/qoschannel接口修改Qos通道时，配置用户下行总额为0，其他参数为任意有效值,查询通道配置【check1】
2、使用/api/v1/qoschannel接口修改Qos通道时，配置用户下行总额为10，其他参数为任意有效值,查询通道配置【check1】
3、使用/api/v1/qoschannel接口修改Qos通道时，配置用户下行总额为100000000，其他参数为任意有效值,查询通道配置【check1】
4、使用/api/v1/qoschannel接口修改Qos通道时，配置用户下行总额为10-100000000间任意值，其他参数为任意有效值,查询通道配置【check1】
5、修改Qos通道时，配置用户下行总额为1，其他参数为任意有效值,查询通道配置【check2】
6、修改Qos通道时，配置用户下行总额为-1，其他参数为任意有效值,查询通道配置【check2】
7、修改Qos通道时，配置用户下行总额为9，其他参数为任意有效值,查询通道配置【check2】
8、修改Qos通道时，配置用户下行总额为100000001，其他参数为任意有效值,查询通道配置【check2】
9、修改Qos通道时，配置用户下行总额为非数字，其他参数为任意有效值,查询通道配置【check2】
10、修改Qos通道时，配置用户下行总额为用户下行总额大于通道下行总额，其他参数为任意有效值,查询通道配置【check2】
11、修改Qos通道时，配置用户下行总额为空，其他参数为任意有效值,查询通道配置【check2】</t>
  </si>
  <si>
    <t>1、使用/api/v1/qoschannel接口修改Qos通道时，配置用户最大连接数为0，其他参数为任意有效值,查询通道配置【check1】
2、使用/api/v1/qoschannel接口修改Qos通道时，配置用户最大连接数为1，其他参数为任意有效值,查询通道配置【check1】
3、使用/api/v1/qoschannel接口修改Qos通道时，配置用户最大连接数为6000000 ，其他参数为任意有效值,查询通道配置【check1】
4、使用/api/v1/qoschannel接口修改Qos通道时，配置用户最大连接数为1-6000000间任意值，其他参数为任意有效值,查询通道配置【check1】
5、修改Qos通道时，配置用户最大连接数为-1，其他参数为任意有效值,查询通道配置【check2】
6、修改Qos通道时，配置用户最大连接数为6000001，其他参数为任意有效值,查询通道配置【check2】
7、修改Qos通道时，配置用户最大连接数为非数字，其他参数为任意有效值,查询通道配置【check2】
8、修改Qos通道时，配置用户最大连接数为用户最大连接数量大于通道最大连接数，其他参数为任意有效值,查询通道配置【check2】
9、修改Qos通道时，配置用户最大连接数为空，其他参数为任意有效值,查询通道配置【check2】</t>
  </si>
  <si>
    <t>1、使用/api/v1/qoschannel接口修改Qos通道时，配置用户新建连接速率为0，其他参数为任意有效值,查询通道配置【check1】
2、使用/api/v1/qoschannel接口修改Qos通道时，配置用户新建连接速率为1，其他参数为任意有效值,查询通道配置【check1】
3、使用/api/v1/qoschannel接口修改Qos通道时，配置用户新建连接速率为500000，其他参数为任意有效值,查询通道配置【check1】
4、使用/api/v1/qoschannel接口修改Qos通道时，配置用户新建连接速率为1-500000间任意值，其他参数为任意有效值,查询通道配置【check1】
5、修改Qos通道时，配置用户新建连接速率为-1，其他参数为任意有效值,查询通道配置【check2】
6、修改Qos通道时，配置用户新建连接速率为500001，其他参数为任意有效值,查询通道配置【check2】
7、修改Qos通道时，配置用户新建连接速率为非数字，其他参数为任意有效值,查询通道配置【check2】
8、修改Qos通道时，配置用户新建连接速率为用户新建连接速率大于通道新建连接速率，其他参数为任意有效值,查询通道配置【check2】
9、修改Qos通道时，配置用户新建连接速率为空，其他参数为任意有效值,查询通道配置【check2】</t>
  </si>
  <si>
    <t>【check1】上下行流量按照P1引用的带宽通道的限速通过
【check2】上下行流量按照P2引用的带宽通道的限速通过</t>
    <phoneticPr fontId="1" type="noConversion"/>
  </si>
  <si>
    <t xml:space="preserve">1、在设备上配置两个同时存在范围和网段的源地址或者原地组其中C1包含C2，一个网段类型和一个范围类型的目的地址或者目的地址组对象C3包含C4，两个服务或者服务组对象其中C5包含C6。再配置两个带宽通道，上下行最大带宽不相同。
2、在Port1（入接口）和Port2（出接口）上配置两条带宽策略，其中策略P1匹配C1C3C5，另外一跳策略P2匹配C2C4C6，其中匹配P2的优先级高于P1，其他参数均为any，分别引用两个不同的带宽通道。
3、在Port1和Port2之间双向发送匹配P1但不匹配P2的流量，流量带宽大于两个通道的最大带宽，观察流量。【check1】
4、在Port1和Port2之间双向发送同时匹配P1和P2的流量，流量带宽大于两个通道的最大带宽，观察流量。【check2】
5、不停止流量调整P1的优先级高于P2，观察流量。【check1】
</t>
    <phoneticPr fontId="1" type="noConversion"/>
  </si>
  <si>
    <t>验证多条带宽策略同时匹配多个条件存在包含关系时的匹配功能</t>
    <phoneticPr fontId="1" type="noConversion"/>
  </si>
  <si>
    <t>验证多条带宽策略同时匹配多个条件存在交叉关系时的匹配功能</t>
    <phoneticPr fontId="1" type="noConversion"/>
  </si>
  <si>
    <t>【check1】上下行流量按照P1引用的带宽通道的限速通过
【check2】上下行流量按照P2引用的带宽通道的限速通过</t>
    <phoneticPr fontId="1" type="noConversion"/>
  </si>
  <si>
    <t>1、在设备上配置两个源地址或者原地组对象C1和C2存在交叉关系，两个目的地址或者目的地址组对象C3和C4存在交叉关系，两个服务或者服务组对象其中C5和C6存在交叉关系。再配置两个带宽通道，上下行最大带宽不相同。
2、在Port1（入接口）和Port2（出接口）上配置两条带宽策略，其中策略P1匹配C1C3C5，另外一跳策略P2匹配C2C4C6，其中匹配P2的优先级高于P1，其他参数均为any，分别引用两个不同的带宽通道。
3、在Port1和Port2之间双向发送匹配P1但不匹配P2的流量，流量带宽大于两个通道的最大带宽，观察流量。【check1】
4、在Port1和Port2之间双向发送匹配P2不匹配P1的流量，流量带宽大于两个通道的最大带宽，观察流量。【check2】
5、在Port1和Port2之间双向发送同时匹配P1和P2的流量，流量带宽大于两个通道的最大带宽，观察流量。【check2】
6、不停止流量调整P1的优先级高于P2，观察流量。【check1】</t>
    <phoneticPr fontId="1" type="noConversion"/>
  </si>
  <si>
    <t>对象修改策略匹配生效测试</t>
    <phoneticPr fontId="1" type="noConversion"/>
  </si>
  <si>
    <t>对象修改策略匹配生效测试</t>
    <phoneticPr fontId="1" type="noConversion"/>
  </si>
  <si>
    <t>策略匹配容量测试</t>
    <phoneticPr fontId="1" type="noConversion"/>
  </si>
  <si>
    <t>策略匹配容量测试</t>
    <phoneticPr fontId="1" type="noConversion"/>
  </si>
  <si>
    <t>Qos.match.cap</t>
    <phoneticPr fontId="1" type="noConversion"/>
  </si>
  <si>
    <t>Qos.match.cap</t>
    <phoneticPr fontId="1" type="noConversion"/>
  </si>
  <si>
    <t>验证带宽策略匹配在修改${匹配对象}后即时生效</t>
    <phoneticPr fontId="1" type="noConversion"/>
  </si>
  <si>
    <t>验证带宽策略匹配在修改${匹配对象}后即时生效</t>
    <phoneticPr fontId="1" type="noConversion"/>
  </si>
  <si>
    <t>匹配对象=入接口,出接口,源地址,源地址组,目的地址,目的地址组,服务,服务组,时间对象</t>
    <phoneticPr fontId="1" type="noConversion"/>
  </si>
  <si>
    <t>匹配对象=入接口,出接口,源地址,源地址组,目的地址,目的地址组,服务,服务组</t>
    <phoneticPr fontId="1" type="noConversion"/>
  </si>
  <si>
    <t>1、在网元上创建${匹配对象}
2、在port1和port2上配置带宽策略，引用步骤1中配置的${匹配对象}，他参数均为any，引用Qos通道的上下行限制最大带宽。
3、在Port1和Port2之间双向发送五元组变化的流量，流量大于通道的最大带宽，观察流量。【check1】
4、不停止流量修改${匹配对象}使其不在匹配该流量，观察流量。【check2】</t>
    <phoneticPr fontId="1" type="noConversion"/>
  </si>
  <si>
    <t>【check1】上行流量按照通道上行最大带宽通过，下行流量按照下行流量的最大带宽通过。
【check2】带宽策略被禁用，流量不受影响带宽通道的最大带宽限制。</t>
    <phoneticPr fontId="1" type="noConversion"/>
  </si>
  <si>
    <t>1、在网元上创建${匹配对象},系统时间在时间对象的生效范围内
2、在port1和port2上配置带宽策略，引用步骤1中配置的${匹配对象}，他参数均为any，引用Qos通道的上下行限制最大带宽。
3、在Port1和Port2之间双向发送五元组变化的流量，流量大于通道的最大带宽，观察流量。【check1】
4、不停止流量修改${匹配对象}使系统时间不在生效范围内，观察带宽策略和流量。【check2】</t>
    <phoneticPr fontId="1" type="noConversion"/>
  </si>
  <si>
    <t>Qos.match.object.put</t>
  </si>
  <si>
    <t>Qos.match.object.put</t>
    <phoneticPr fontId="1" type="noConversion"/>
  </si>
  <si>
    <t>Qos.match.time.put</t>
  </si>
  <si>
    <t>Qos.match.time.put</t>
    <phoneticPr fontId="1" type="noConversion"/>
  </si>
  <si>
    <t>Qos.match.intf.put</t>
  </si>
  <si>
    <t>Qos.match.intf.put</t>
    <phoneticPr fontId="1" type="noConversion"/>
  </si>
  <si>
    <t>1、网元正常启动
2、在网元上选取任意三个接口（记为port1，port2,port3）配置二层转发或者路由转发</t>
    <phoneticPr fontId="1" type="noConversion"/>
  </si>
  <si>
    <t>1、在port1和port2上配置带宽策略，匹配参数任意，引用Qos通道的上下行限制最大带宽。
2、在Port1和Port2之间双向发送匹配的流量，流量大于通道的最大带宽，观察流量。【check1】
3、不停止流量修改带宽策略的${匹配对象}为port3，观察流量。【check2】
4、在Port2和Port3之间双向发送匹配的流量，流量大于通道的最大带宽，观察流量。【check1】</t>
    <phoneticPr fontId="1" type="noConversion"/>
  </si>
  <si>
    <t>验证最大数量的${容量}带宽管理功能</t>
    <phoneticPr fontId="1" type="noConversion"/>
  </si>
  <si>
    <t>1、配置网元二层或者路由转发
2、配置最大数量的${容量}，并发送流量【check1】
3、删除部分${容量}，观察流量【check1】【check2】
4、再次配置最大数量的${容量}，观察流量【check1】【check3】</t>
    <phoneticPr fontId="1" type="noConversion"/>
  </si>
  <si>
    <t>【check1】带宽管理功能正常
【check2】删除成功
【check3】添加成功</t>
    <phoneticPr fontId="1" type="noConversion"/>
  </si>
  <si>
    <t>匹配对象=时间对象</t>
    <phoneticPr fontId="1" type="noConversion"/>
  </si>
  <si>
    <t>匹配对象=时间对象</t>
    <phoneticPr fontId="1" type="noConversion"/>
  </si>
  <si>
    <t>匹配对象=入接口,出接口</t>
    <phoneticPr fontId="1" type="noConversion"/>
  </si>
  <si>
    <t>Qos.match.pri</t>
    <phoneticPr fontId="1" type="noConversion"/>
  </si>
  <si>
    <t>Qos策略匹配优先级测试</t>
    <phoneticPr fontId="1" type="noConversion"/>
  </si>
  <si>
    <t>Qos.match.pri.put</t>
    <phoneticPr fontId="1" type="noConversion"/>
  </si>
  <si>
    <t>策略最前、指定ID之前、指定ID之后、策略最后</t>
    <phoneticPr fontId="1" type="noConversion"/>
  </si>
  <si>
    <t>调整方式=策略最前、指定ID之前、指定ID之后、策略最后</t>
    <phoneticPr fontId="1" type="noConversion"/>
  </si>
  <si>
    <t>Qos策略优先级调整测试</t>
    <phoneticPr fontId="1" type="noConversion"/>
  </si>
  <si>
    <t>Qos策略优先级调整测试</t>
    <phoneticPr fontId="1" type="noConversion"/>
  </si>
  <si>
    <t>Qos策略匹配优先级测试</t>
    <phoneticPr fontId="1" type="noConversion"/>
  </si>
  <si>
    <t>调整方式</t>
    <phoneticPr fontId="1" type="noConversion"/>
  </si>
  <si>
    <t>验证带宽策略优先级调整到${调整方式}的匹配功能</t>
    <phoneticPr fontId="1" type="noConversion"/>
  </si>
  <si>
    <t>1、网元正常启动
2、在网元上选取任意两个接口（记为port1，port2）配置二层转发或者路由转发</t>
    <phoneticPr fontId="1" type="noConversion"/>
  </si>
  <si>
    <t>匹配优先级</t>
    <phoneticPr fontId="1" type="noConversion"/>
  </si>
  <si>
    <t>验证带宽策略顺序匹配功能</t>
    <phoneticPr fontId="1" type="noConversion"/>
  </si>
  <si>
    <t>匹配优先级=顺序匹配</t>
    <phoneticPr fontId="1" type="noConversion"/>
  </si>
  <si>
    <t>匹配优先级=顺序匹配</t>
    <phoneticPr fontId="1" type="noConversion"/>
  </si>
  <si>
    <t>【check1】上行流量按照通道上行最大带宽通过，下行流量按照下行流量的最大带宽通过。
【check2】流量不受影响带宽通道的最大带宽限制。</t>
    <phoneticPr fontId="1" type="noConversion"/>
  </si>
  <si>
    <t>【check1】上下行流量按照C1引用的带宽通道的最大带宽通过。
【check2】上下行流量按照C2引用的带宽通道的最大带宽通过。
【check3】上下行流量按照C3引用的带宽通道的最大带宽通过。
【check4】流量不受影响带宽通道的最大带宽限制。</t>
    <phoneticPr fontId="1" type="noConversion"/>
  </si>
  <si>
    <t>1、在网元上创建三个对象其中C1包含C2，C2包含C3。同时配置三条带宽通道，三条带宽通道的最大带宽均不相同。
2、在port1和port2上配置三条带宽策略，分别引用C1,C2和C3。其中带宽策略C1在最前面，C2在中间，C3在最后.
3、在Port1和Port2之间双向发送匹配C3的流量流量，流量大于通道的最大带宽，观察流量。【check1】
4、不停止流量禁用C1策略，观察流量。【check2】
5、不停止流量禁用C2策略，观察流量。【check3】
6、不停止流量禁用C3策略，观察流量。【check4】</t>
    <phoneticPr fontId="1" type="noConversion"/>
  </si>
  <si>
    <t>数据名称=总带宽;有效值=10,20000,10-20000间任意10的整数倍;无效值=9,20001,空,超长字符串,其他任意非法字符串,非数字</t>
    <phoneticPr fontId="1" type="noConversion"/>
  </si>
  <si>
    <t>数据名称=ID;有效值=1,存在的任意ID;无效值=空,0,不存在的ID,其他任意非法字符串
数据名称=接口;有效值=任意物理接口,任意聚合口;无效值=管理口,子接口,bvi口,隧道口,聚合口的成员口,任意不存在的接口名称,空
数据名称=总带宽;有效值=10,20000,10-20000间任意10的整数倍;无效值=9,20001,空,超长字符串,其他任意非法字符串,非数字
数据名称=繁忙阈值;有效值=20,90,20-90间任意10的整数倍;无效值=10,100,繁忙阈值小于空闲阈值,繁忙阈值等于空闲阈值,20-90间任意非10的整数倍,空,非数字
数据名称=空闲阈值;有效值=10,80,10-80间任意10的整数倍;无效值=0,90,空闲阈值大于繁忙阈值,空闲阈值等于于繁忙阈值,10-80间任意非10的整数倍,空,非数字</t>
    <phoneticPr fontId="1" type="noConversion"/>
  </si>
  <si>
    <t>1、使用/api/v1/qosintf接口添加接口带宽时，配置接口为任意物理接口，其他参数为任意有效值,查询接口带宽配置【check1】
2、使用/api/v1/qosintf接口添加接口带宽时，配置接口为任意聚合口，其他参数为任意有效值,查询接口带宽配置【check1】
3、添加接口带宽时，配置接口为管理口，其他参数为任意有效值,查询接口带宽配置【check2】
4、添加接口带宽时，配置接口为子接口，其他参数为任意有效值,查询接口带宽配置【check2】
5、添加接口带宽时，配置接口为bvi口，其他参数为任意有效值,查询接口带宽配置【check2】
6、添加接口带宽时，配置接口为隧道口，其他参数为任意有效值,查询接口带宽配置【check2】
7、添加接口带宽时，配置接口为聚合口的成员口，其他参数为任意有效值,查询接口带宽配置【check2】
8、添加接口带宽时，配置接口为任意不存在的接口名称，其他参数为任意有效值,查询接口带宽配置【check2】
9、添加接口带宽时，配置接口为空，其他参数为任意有效值,查询接口带宽配置【check2】</t>
    <phoneticPr fontId="1" type="noConversion"/>
  </si>
  <si>
    <t>1、使用/api/v1/qosintf接口添加接口带宽时，配置总带宽为10，其他参数为任意有效值,查询接口带宽配置【check1】
2、使用/api/v1/qosintf接口添加接口带宽时，配置总带宽为20000，其他参数为任意有效值,查询接口带宽配置【check1】
3、使用/api/v1/qosintf接口添加接口带宽时，配置总带宽为10-20000间任意10的整数倍，其他参数为任意有效值,查询接口带宽配置【check1】
4、添加接口带宽时，配置总带宽为9，其他参数为任意有效值,查询接口带宽配置【check2】
5、添加接口带宽时，配置总带宽为20001，其他参数为任意有效值,查询接口带宽配置【check2】
6、添加接口带宽时，配置总带宽为空，其他参数为任意有效值,查询接口带宽配置【check2】
7、添加接口带宽时，配置总带宽为超长字符串，其他参数为任意有效值,查询接口带宽配置【check2】
8、添加接口带宽时，配置总带宽为其他任意非法字符串，其他参数为任意有效值,查询接口带宽配置【check2】
9、添加接口带宽时，配置总带宽为非数字，其他参数为任意有效值,查询接口带宽配置【check2】</t>
    <phoneticPr fontId="1" type="noConversion"/>
  </si>
  <si>
    <t>1、使用/api/v1/qosintf接口修改接口带宽时，配置总带宽为10，其他参数为任意有效值,查询接口带宽配置【check1】
2、使用/api/v1/qosintf接口修改接口带宽时，配置总带宽为20000，其他参数为任意有效值,查询接口带宽配置【check1】
3、使用/api/v1/qosintf接口修改接口带宽时，配置总带宽为10-20000间任意10的整数倍，其他参数为任意有效值,查询接口带宽配置【check1】
4、修改接口带宽时，配置总带宽为9，其他参数为任意有效值,查询接口带宽配置【check2】
5、修改接口带宽时，配置总带宽为20001，其他参数为任意有效值,查询接口带宽配置【check2】
6、修改接口带宽时，配置总带宽为空，其他参数为任意有效值,查询接口带宽配置【check2】
7、修改接口带宽时，配置总带宽为超长字符串，其他参数为任意有效值,查询接口带宽配置【check2】
8、修改接口带宽时，配置总带宽为其他任意非法字符串，其他参数为任意有效值,查询接口带宽配置【check2】
9、修改接口带宽时，配置总带宽为非数字，其他参数为任意有效值,查询接口带宽配置【check2】</t>
    <phoneticPr fontId="1" type="noConversion"/>
  </si>
  <si>
    <t>冲突策略、冗余策略、隐藏策略、可合并策略、空策略、过期策略、忽略策略、禁用策略和未命中策略</t>
  </si>
  <si>
    <t>测试数据=冲突策略,冗余策略,隐藏策略,可合并策略,空策略,过期策略,忽略策略,禁用策略,未命中策略</t>
  </si>
  <si>
    <t>ACL.conf.analy.004</t>
  </si>
  <si>
    <t>数据名称=冲突策略,冗余策略,隐藏策略,可合并策略,空策略,过期策略,忽略策略,禁用策略,未命中策略</t>
    <phoneticPr fontId="1" type="noConversion"/>
  </si>
  <si>
    <t>【check1】添加成功
【check2】配置成功
【check3】查询结果返回${数据名称}与配置的相同</t>
    <phoneticPr fontId="1" type="noConversion"/>
  </si>
  <si>
    <t>带宽策略分析测试</t>
    <phoneticPr fontId="1" type="noConversion"/>
  </si>
  <si>
    <t>带宽策略分析测试</t>
    <phoneticPr fontId="1" type="noConversion"/>
  </si>
  <si>
    <t>Qos.conf.analyze</t>
    <phoneticPr fontId="1" type="noConversion"/>
  </si>
  <si>
    <t>验证带宽策略${数据名称}分析功能</t>
    <phoneticPr fontId="1" type="noConversion"/>
  </si>
  <si>
    <t>1、在网元上添加多个带宽策略形成${数据名称}【check1】
2、打开策略分析开关，其余值为默认值【check2】
3、查看策略分析结果。【check3】</t>
    <phoneticPr fontId="1" type="noConversion"/>
  </si>
  <si>
    <t>独占通道保障带宽测试</t>
    <phoneticPr fontId="1" type="noConversion"/>
  </si>
  <si>
    <t>入接口到出接口</t>
    <phoneticPr fontId="1" type="noConversion"/>
  </si>
  <si>
    <t>出接口到入接口</t>
    <phoneticPr fontId="1" type="noConversion"/>
  </si>
  <si>
    <t>方向</t>
    <phoneticPr fontId="1" type="noConversion"/>
  </si>
  <si>
    <t>方向=入接口到出接口,出接口到入接口</t>
    <phoneticPr fontId="1" type="noConversion"/>
  </si>
  <si>
    <t>方向=入接口到出接口</t>
    <phoneticPr fontId="1" type="noConversion"/>
  </si>
  <si>
    <t>方向=出接口到入接口</t>
    <phoneticPr fontId="1" type="noConversion"/>
  </si>
  <si>
    <t>方向</t>
    <phoneticPr fontId="1" type="noConversion"/>
  </si>
  <si>
    <t>【check1】该流通过的流量大于等于带宽策略引用通道的保障带宽。
【check2】从Port1到Port2的流量不再被保障</t>
    <phoneticPr fontId="1" type="noConversion"/>
  </si>
  <si>
    <t>1、网元正常启动
2、在网元上选取任意三个接口（记为port1，port2）配置二层转发或者路由转发，其中Port1存在一跳单臂转发的路由</t>
    <phoneticPr fontId="1" type="noConversion"/>
  </si>
  <si>
    <t>1、网元正常启动
2、在网元上选取任意三个接口（记为port1，port2，port3）配置二层转发或者路由转发</t>
    <phoneticPr fontId="1" type="noConversion"/>
  </si>
  <si>
    <t>【check1】该流通过的流量大于等于带宽策略引用通道的保障带宽。
【check2】Port1上单臂转发的流量不再被保障</t>
    <phoneticPr fontId="1" type="noConversion"/>
  </si>
  <si>
    <t>共享通道保障带宽测试</t>
    <phoneticPr fontId="1" type="noConversion"/>
  </si>
  <si>
    <t>Qos.cir.share.forward.intfs</t>
  </si>
  <si>
    <t>Qos.cir.share.forward.intfs</t>
    <phoneticPr fontId="1" type="noConversion"/>
  </si>
  <si>
    <t>Qos.cir.share.forward.intf</t>
  </si>
  <si>
    <t>Qos.cir.share.forward.intf</t>
    <phoneticPr fontId="1" type="noConversion"/>
  </si>
  <si>
    <t>Qos.cir.share.reverse.intfs</t>
  </si>
  <si>
    <t>Qos.cir.share.reverse.intf</t>
  </si>
  <si>
    <t>验证共享通道不同接口间${方向}方向带宽保障功能</t>
  </si>
  <si>
    <t>验证共享通道单臂路由${方向}方向带宽保障功能</t>
  </si>
  <si>
    <t>方向=出接口到入接口</t>
    <phoneticPr fontId="1" type="noConversion"/>
  </si>
  <si>
    <t>方向=出接口到入接口</t>
    <phoneticPr fontId="1" type="noConversion"/>
  </si>
  <si>
    <t>方向=入接口到出接口</t>
    <phoneticPr fontId="1" type="noConversion"/>
  </si>
  <si>
    <t>方向=入接口到出接口</t>
    <phoneticPr fontId="1" type="noConversion"/>
  </si>
  <si>
    <t>【check1】这些流量之和大于等于带宽策略引用通道的保障带宽。
【check2】从Port1到Port2的流量不再被保障</t>
    <phoneticPr fontId="1" type="noConversion"/>
  </si>
  <si>
    <t>【check1】这些流量之和大于等于带宽策略引用通道的保障带宽。
【check2】Port1上单臂转发的流量不再被保障</t>
    <phoneticPr fontId="1" type="noConversion"/>
  </si>
  <si>
    <t>独占和共享带宽共存时保障带宽测试</t>
    <phoneticPr fontId="1" type="noConversion"/>
  </si>
  <si>
    <t>独占和共享带宽共存时保障带宽测试</t>
    <phoneticPr fontId="1" type="noConversion"/>
  </si>
  <si>
    <t>1、在port1（出入接口均为Port1）上配置带宽策略，匹配任意参数，引用Qos独占通道保障带宽大于接口带宽的50%。
2、从Port2向Port1发送线速带宽的背景流量。
3、向Port1发送线速带宽的流量形成单臂转发，流量正向匹配带宽策略，观察流量通过情况。【check1】
4、不停止流量，禁用带宽策略，观察流量。【check2】</t>
  </si>
  <si>
    <t>1、在port1（出入接口均为Port1）上配置带宽策略，匹配任意参数，引用Qos独占通道保障带宽大于接口带宽的50%。
2、从Port2向Port1发送线速带宽的背景流量。
3、向Port1发送线速带宽的流量形成单臂转发，流量反向匹配带宽策略，观察流量通过情况。【check2】
4、不停止流量，在Port1发送正向匹配带宽策略的流量，形成单臂转发。观察流量。【check1】
5、不停止流量，禁用带宽策略，观察流量。【check2】</t>
  </si>
  <si>
    <t>1、在port1（出入接口均为Port1）上至少配置3条带宽策略，匹配任意参数，三条策略都引用同一共享带宽通道，带宽通道的保障带宽大于接口带宽的50%。
2、从Port2向Port1发送线速带宽的背景流量。
3、向Port1发送至少三条流量，流量之和为接口线速并形成单臂转发，流量反向匹配带宽策略，观察流量通过情况。【check2】
4、不停止流量，在Port1发送正向匹配带宽策略的流量，形成单臂转发。观察流量。【check1】
5、不停止流量，禁用带宽策略，观察流量。【check2】</t>
    <phoneticPr fontId="1" type="noConversion"/>
  </si>
  <si>
    <t>1、在port1（出入接口均为Port1）上至少配置3条带宽策略，匹配任意参数，三条策略都引用同一共享带宽通道，带宽通道的保障带宽大于接口带宽的50%。
2、从Port2向Port1发送线速带宽的背景流量。
3、向Port1发送至少三条流量，流量之和为接口线速并形成单臂转发，流量正向匹配带宽策略，观察流量通过情况。【check1】
4、不停止流量，禁用带宽策略，观察流量。【check2】</t>
    <phoneticPr fontId="1" type="noConversion"/>
  </si>
  <si>
    <t>验证共享通道不同接口间${方向}方向带宽保障功能</t>
    <phoneticPr fontId="1" type="noConversion"/>
  </si>
  <si>
    <t>Qos.cir.share.intfs</t>
    <phoneticPr fontId="1" type="noConversion"/>
  </si>
  <si>
    <t>验证共享通道多接口匹配功能</t>
    <phoneticPr fontId="1" type="noConversion"/>
  </si>
  <si>
    <t>匹配=接口</t>
    <phoneticPr fontId="1" type="noConversion"/>
  </si>
  <si>
    <t>1、网元正常启动
2、在网元上选取任意四个接口（记为port1，port2，port3，port4）配置二层转发或者路由转发</t>
    <phoneticPr fontId="1" type="noConversion"/>
  </si>
  <si>
    <t>1、在port1（入）和port2（出）上配置至少三条带宽策略，匹配任意参数，三条策略都引用同一共享带宽通道，带宽通道的保障带宽大于接口带宽的50%。
2、从Port3向Port2发送线速带宽的背景流量。
3、从Port1向Port2发送至少三条流，流量之和为接口线速，流量正向匹配带宽策略，观察流量通过情况。【check1】
4、不停止流量，禁用带宽策略，观察流量。【check2】</t>
    <phoneticPr fontId="1" type="noConversion"/>
  </si>
  <si>
    <t>1、在port1（入）和port2（出）上配置带宽策略，匹配任意参数，引用Qos独占通道保障带宽大于接口带宽的50%。
2、从Port3向Port2发送线速带宽的背景流量。
3、从Port1向Port2发送线速带宽的流量，流量正向匹配带宽策略，观察流量通过情况。【check1】
4、不停止流量，禁用带宽策略，观察流量。【check2】</t>
  </si>
  <si>
    <t>1、在port1（入）和port2（出）上配置带宽策略，匹配任意参数，引用Qos独占通道保障带宽大于接口带宽的50%。
2、从Port3向Port2发送线速带宽的背景流量。
3、从Port2向Port1发送线速带宽的流量，流量反向匹配带宽策略，观察流量通过情况。（此时无正向会话，必要时可以清除会话）【check2】
4、不停止流量，从Port1向Port2发送正向匹配带宽策略的流量，观察流量。（此时无正向会话，必要时可以清除会话）【check1】
5、不停止流量，禁用带宽策略，观察流量。【check3】</t>
  </si>
  <si>
    <t>1、在port1（入）和port2（出）上配置至少三条带宽策略，匹配任意参数，三条策略都引用同一共享带宽通道，带宽通道的保障带宽大于接口带宽的50%。
2、从Port3向Port2发送线速带宽的背景流量。
3、从Port2向Port1至少发送3条流，流量之和为接口线速，流量反向匹配带宽策略，观察流量通过情况。（此时无正向会话，必要时可以清除会话）【check2】
4、不停止流量，从Port1向Port2发送正向匹配带宽策略的流量，观察流量。（此时无正向会话，必要时可以清除会话）【check1】
5、不停止流量，禁用带宽策略，观察流量。【check3】</t>
  </si>
  <si>
    <t>【check1】所有流量之和大于等于通道chl1的保障带宽。
【check2】所有流量不再有带宽保障</t>
    <phoneticPr fontId="1" type="noConversion"/>
  </si>
  <si>
    <t>1、在设备上配置共享通道chl1，并配置通道保障带宽
2、在port1（入）和port2（出）上配置带宽策略P1，匹配任意参数，引用chl1。在port2（入）和port2（出）上配置带宽策略P2，匹配任意参数，引用chl1。在port1（入）和port3（出）上配置带宽策略P3，匹配任意参数，引用chl1。
2、从Port4（10GE口或者多个GE口）向Port2和Port1发送线速带宽的背景流量占满Port1和Port2的出口带宽。
3、从Port1向Port2之间双向满流量发送匹配P1和P2的流量，Port1和Port3之间双向满流量发送匹配P3的流量，观察流量通过情况。【check1】
4、不停止流量，禁用带宽策略，观察流量。【check2】</t>
    <phoneticPr fontId="1" type="noConversion"/>
  </si>
  <si>
    <t>验证共享通道可以匹配多个接口功能</t>
    <phoneticPr fontId="1" type="noConversion"/>
  </si>
  <si>
    <t>1、网元正常启动
2、在网元上选取任意三个接口（记为port1，port2，port3）配置二层转发或者路由转发
3、在设备上配置2条共享带宽，两条独占带宽</t>
    <phoneticPr fontId="1" type="noConversion"/>
  </si>
  <si>
    <t>1、配置一条带宽策略P1，入接口为Port1出接口为Port2，匹配任意参数，引用独占通道chl1。配置一条带宽策略P2，入接口为Port2出接口为Port1，匹配任意参数，引用独占通道chl2。
2、配置两条带宽策略P3和P4，入接口为Port1出接口为Port2，匹配任意参数，引用相同的共享通道chl3。配置两条带宽策略P5和P6，入接口为Port2出接口为Port1，匹配任意参数，引用相同的共享通道chl4。
3、在Port3（10GE接口或者多个接口）与Port1与Port2之间发送背景流量，占满Port1和Port2的出口带宽
4、在Port1和Port2之间双向发送匹配P1、P2、P3、P4、P5、P6的流量。流量之和为接口线速，观察流量通过情况。【check1】【check2】【check3】
5、不停止流量，禁用带宽策略，观察流量。【check4】</t>
    <phoneticPr fontId="1" type="noConversion"/>
  </si>
  <si>
    <t>Qos.cir.share.sole.intf</t>
    <phoneticPr fontId="1" type="noConversion"/>
  </si>
  <si>
    <t>验证不同接口业务共享通道和独占通道共存时的保障带宽</t>
    <phoneticPr fontId="1" type="noConversion"/>
  </si>
  <si>
    <t>验证不同接口业务共享通道和独占通道共存时的保障带宽</t>
    <phoneticPr fontId="1" type="noConversion"/>
  </si>
  <si>
    <t>验证单臂路由共享通道和独占通道共存时的保障带宽</t>
    <phoneticPr fontId="1" type="noConversion"/>
  </si>
  <si>
    <t>方向=接口间业务</t>
    <phoneticPr fontId="1" type="noConversion"/>
  </si>
  <si>
    <t>方向=单臂路由</t>
    <phoneticPr fontId="1" type="noConversion"/>
  </si>
  <si>
    <t>Qos.cir.share.sole.intfs</t>
    <phoneticPr fontId="1" type="noConversion"/>
  </si>
  <si>
    <t>Qos.cir.share.sole.intfs</t>
    <phoneticPr fontId="1" type="noConversion"/>
  </si>
  <si>
    <t>Qos.cir.share.sole.intf</t>
    <phoneticPr fontId="1" type="noConversion"/>
  </si>
  <si>
    <t>1、网元正常启动
2、在网元上选取任意三个接口（记为port1，port2）配置二层转发或者路由转发，其中Port1存在一跳单臂转发的路由</t>
    <phoneticPr fontId="1" type="noConversion"/>
  </si>
  <si>
    <t>1、配置一条带宽策略P1和P2，出入接口为Port1，匹配任意参数，分别引用独占通道chl1和chl2。
2、配置两条带宽策略P3和P4，出入接口为Port1，匹配任意参数，引用相同的共享通道chl3。配置两条带宽策略P5和P6，出入接口为Port1，匹配任意参数，引用相同的共享通道chl4。
3、在Port2与Port1之间发送背景流量，占满Port1的出口带宽
4、在Port1上双向发送匹配P1、P2、P3、P4、P5、P6的流量形成单臂转发。流量之和为接口线速，观察流量通过情况。【check1】【check2】【check3】
5、不停止流量，禁用带宽策略，观察流量。【check4】</t>
    <phoneticPr fontId="1" type="noConversion"/>
  </si>
  <si>
    <t>【check1】匹配P1和P2的上下行流量大于等于各自引用通道的保障带宽
【check2】P3和P4的上下行流量之和大于等于chl3的上下行保障带宽
【check3】P5和P6的上下行流量之和大于等于chl4的上下行保障带宽
【check4】所有流量的随机丢弃不再有保障带宽</t>
    <phoneticPr fontId="1" type="noConversion"/>
  </si>
  <si>
    <t>保障带宽定时启停功能测试</t>
    <phoneticPr fontId="1" type="noConversion"/>
  </si>
  <si>
    <t>保障带宽定时启停功能测试</t>
    <phoneticPr fontId="1" type="noConversion"/>
  </si>
  <si>
    <t>Qos.cir.timer</t>
    <phoneticPr fontId="1" type="noConversion"/>
  </si>
  <si>
    <t>启停=定时</t>
    <phoneticPr fontId="1" type="noConversion"/>
  </si>
  <si>
    <t>启停=定时</t>
    <phoneticPr fontId="1" type="noConversion"/>
  </si>
  <si>
    <t>验证带宽策略定时启停带宽保障功能</t>
    <phoneticPr fontId="1" type="noConversion"/>
  </si>
  <si>
    <t>验证带宽策略定时启停带宽保障功能</t>
    <phoneticPr fontId="1" type="noConversion"/>
  </si>
  <si>
    <t>【check1】带宽策略为启用，通过的流量大于等于通道的保障带宽
【check2】带宽策略为禁用，匹配的带宽策略的流量与背景流量公平竞争带宽</t>
    <phoneticPr fontId="1" type="noConversion"/>
  </si>
  <si>
    <t>1、选取任意接口配置带宽策略，匹配时间对象，其他参数任意，并引用共享通道或者独占通道，在通道上配置保障带宽
2、发送背景流量，背景流量占满接口出口带宽
3、在带宽策略引用的两个接口之间双向发送匹配带宽策略的流量。在时间对象生效区间内观察带宽策略和流量。【check1】
4、等待时间对象过期后，观察带宽策略和流量。【check2】</t>
    <phoneticPr fontId="1" type="noConversion"/>
  </si>
  <si>
    <t>保障带宽阈值启停功能测试</t>
    <phoneticPr fontId="1" type="noConversion"/>
  </si>
  <si>
    <t>保障带宽阈值启停功能测试</t>
    <phoneticPr fontId="1" type="noConversion"/>
  </si>
  <si>
    <t>Qos.cir.timer</t>
    <phoneticPr fontId="1" type="noConversion"/>
  </si>
  <si>
    <t>方向=入接口到出接口</t>
    <phoneticPr fontId="1" type="noConversion"/>
  </si>
  <si>
    <t>Qos.cir.pir.threshold</t>
    <phoneticPr fontId="1" type="noConversion"/>
  </si>
  <si>
    <t>1、网元正常启动
2、选取任意三个接口port1，port2，port3</t>
    <phoneticPr fontId="1" type="noConversion"/>
  </si>
  <si>
    <t>验证带宽策略阈值启停带宽保障功能</t>
    <phoneticPr fontId="1" type="noConversion"/>
  </si>
  <si>
    <t>【check1】流量全部通过
【check2】匹配P1的流量通过大于等于cir1小于等于pir1
【check3】匹配P2和P3的流量之和大于等于cir2小于等于pir2</t>
    <phoneticPr fontId="1" type="noConversion"/>
  </si>
  <si>
    <t>启停=入接口到出接口,出接口到入接口</t>
    <phoneticPr fontId="1" type="noConversion"/>
  </si>
  <si>
    <t>方向=入接口到出接口</t>
    <phoneticPr fontId="1" type="noConversion"/>
  </si>
  <si>
    <t>验证带宽策略${方向}阈值启停带宽保障带宽功能</t>
    <phoneticPr fontId="1" type="noConversion"/>
  </si>
  <si>
    <t>方向</t>
    <phoneticPr fontId="1" type="noConversion"/>
  </si>
  <si>
    <t>保障带宽和最大带宽混合使用</t>
    <phoneticPr fontId="1" type="noConversion"/>
  </si>
  <si>
    <t>保障带宽和最大带宽混合使用</t>
    <phoneticPr fontId="1" type="noConversion"/>
  </si>
  <si>
    <t>验证保障带宽和最大带宽混合使用功能</t>
    <phoneticPr fontId="1" type="noConversion"/>
  </si>
  <si>
    <t>1、在port1（入）和port2（出）之间配置带宽策略P1，匹配参数任意，并引用独占通道，在通道上配置保障带宽保障带宽为cir1，最大带宽为pir1
2、在port1（入）和port2（出）之间配置两条带宽策略P2和P3，匹配参数任意，并引用共享通道，在通道上配置保障带宽保障带宽为cir2，最大带宽为pir2
3、配置port2的接口带宽，空闲阈值为80%，繁忙阈值为90%。cir1+cir2&gt;接口带宽的70%，pir1+pir2&lt;接口带宽的75%
4、在port1和port2之间发送匹配p1的流量流量略高于pir1，发送匹配P2和P3的流量，流量之和略高于pir2。三条流量之和小于接口带宽的80%。观察流量。【check1】
5、从port3向port2发送线速的背景流量。观察流量通过情况【check2】
6、停止背景流量，观察流量。【check1】</t>
    <phoneticPr fontId="1" type="noConversion"/>
  </si>
  <si>
    <t>1、在port1（入）和port2（出）之间配置带宽策略P1，匹配参数任意，并引用独占通道，在通道上配置保障带宽保障带宽为cir1，最大带宽为pir1
2、在port1（入）和port2（出）之间配置两条带宽策略P2和P3，匹配参数任意，并引用共享通道，在通道上配置保障带宽保障带宽为cir2，最大带宽为pir2
3、配置port1的接口带宽，空闲阈值为80%，繁忙阈值为90%。cir1+cir2&gt;接口带宽的70%，pir1+pir2&lt;接口带宽的75%
4、在port1和port2之间发送匹配p1的流量流量略高于pir1，发送匹配P2和P3的流量，流量之和略高于pir2。三条流量之和小于接口带宽的80%。观察流量。【check1】
5、从port3向port1发送线速的背景流量。观察流量通过情况【check2】
6、停止背景流量，观察流量。【check1】</t>
    <phoneticPr fontId="1" type="noConversion"/>
  </si>
  <si>
    <t>【check1】匹配P1的流量按照pir1通过。匹配P3和P4的流量之和按照pir3
【check2】匹配P2的流量按照发送的流量通过。匹配P5和P6的流量之和按照发送的流量通过
【check3】所有通道的流量都按照cir到pir之间的带宽通过
【check4】所有通道的流量都按照cir通过</t>
    <phoneticPr fontId="1" type="noConversion"/>
  </si>
  <si>
    <t>验证带宽策略${方向}保障带宽和最大带宽混合使用功能</t>
    <phoneticPr fontId="1" type="noConversion"/>
  </si>
  <si>
    <t>验证带宽策略${方向}保障带宽和最大带宽混合使用功能</t>
    <phoneticPr fontId="1" type="noConversion"/>
  </si>
  <si>
    <t>1、在port1（入）和port2（出）之间配置两条带宽策略P1和P2，匹配参数任意，并引用独占通道，在通道上配置保障带宽保障带宽分别为cir1,Cir2，最大带宽分别为pir1,pir2
2、在port1（入）和port2（出）之间配置四条带宽策略P3、P4、P5、P6，匹配参数任意，P3和P4并引用一个共享通道，P5和P6引用另外一个共享带宽通道，两个通道的保障带宽保障带宽分别为cir3,cir4，最大带宽分别为pir3，pir4。（其中pir1+pir2+pir3+pir4&lt;接口带宽）
3、在port1和port2之间双向同时发送，匹配P1的流量流量高于pir1。匹配P2的流量流量介于cir2和pir2。匹配P3和P4的流量，流量之和高于pir3。匹配P5和P6的流量，流量之和介于cir4和pir4之间。观察流量。【check1】【check2】
4、从Port3向Port2发现接口线速的背景流量，观察流量。【check3】
5、不停止流量，配置port2接口带宽=cir1+cir2+cir3+cir4，观察流量通过情况。【check4】</t>
    <phoneticPr fontId="1" type="noConversion"/>
  </si>
  <si>
    <t>1、在port1（入）和port2（出）之间配置两条带宽策略P1和P2，匹配参数任意，并引用独占通道，在通道上配置保障带宽保障带宽分别为cir1,Cir2，最大带宽分别为pir1,pir2
2、在port1（入）和port2（出）之间配置四条带宽策略P3、P4、P5、P6，匹配参数任意，P3和P4并引用一个共享通道，P5和P6引用另外一个共享带宽通道，两个通道的保障带宽保障带宽分别为cir3,cir4，最大带宽分别为pir3，pir4。（其中pir1+pir2+pir3+pir4&lt;接口带宽）
3、在port1和port2之间双向同时发送，匹配P1的流量流量高于pir1。匹配P2的流量流量介于cir2和pir2。匹配P3和P4的流量，流量之和高于pir3。匹配P5和P6的流量，流量之和介于cir4和pir4之间。观察流量。【check1】【check2】
4、从Port3向Port1发现接口线速的背景流量，观察流量。【check3】
5、不停止流量，配置port1接口带宽=cir1+cir2+cir3+cir4，观察流量通过情况。【check4】</t>
    <phoneticPr fontId="1" type="noConversion"/>
  </si>
  <si>
    <r>
      <t>物理接口、</t>
    </r>
    <r>
      <rPr>
        <strike/>
        <sz val="11"/>
        <color theme="1"/>
        <rFont val="宋体"/>
        <family val="3"/>
        <charset val="134"/>
        <scheme val="minor"/>
      </rPr>
      <t>子接口、bvi接口、</t>
    </r>
    <r>
      <rPr>
        <sz val="11"/>
        <color theme="1"/>
        <rFont val="宋体"/>
        <family val="3"/>
        <charset val="134"/>
        <scheme val="minor"/>
      </rPr>
      <t>聚合口、</t>
    </r>
    <r>
      <rPr>
        <strike/>
        <sz val="11"/>
        <color theme="1"/>
        <rFont val="宋体"/>
        <family val="3"/>
        <charset val="134"/>
        <scheme val="minor"/>
      </rPr>
      <t>隧道接口（封装和净荷报文计算）</t>
    </r>
    <phoneticPr fontId="1" type="noConversion"/>
  </si>
  <si>
    <r>
      <t>ARP、ND、PPPoE、DHCP、DNS、管理报文</t>
    </r>
    <r>
      <rPr>
        <strike/>
        <sz val="11"/>
        <color rgb="FFFF0000"/>
        <rFont val="宋体"/>
        <family val="3"/>
        <charset val="134"/>
        <scheme val="minor"/>
      </rPr>
      <t>（不支持）</t>
    </r>
    <phoneticPr fontId="1" type="noConversion"/>
  </si>
  <si>
    <t>交换、路由、接口对、二层（带IP和不带IP）、接口对、IPv4</t>
    <phoneticPr fontId="1" type="noConversion"/>
  </si>
  <si>
    <t>不同模式下下接口的匹配和限速</t>
    <phoneticPr fontId="1" type="noConversion"/>
  </si>
  <si>
    <t>不同模式下下接口的匹配和限速</t>
    <phoneticPr fontId="1" type="noConversion"/>
  </si>
  <si>
    <t>验证接口工作在${接口模式}时的保障带宽和最大带宽限制功能</t>
    <phoneticPr fontId="1" type="noConversion"/>
  </si>
  <si>
    <t>接口模式=路由,路由PPPoE,交换,接口对</t>
    <phoneticPr fontId="1" type="noConversion"/>
  </si>
  <si>
    <t>验证接口工作在${接口模式}时的保障带宽和最大带宽限制功能</t>
    <phoneticPr fontId="1" type="noConversion"/>
  </si>
  <si>
    <t>【check1】上下行流量按照带宽通道的最大带宽通过
【check2】上行通过流量大于等保障带宽
【check3】下行通过流量大于等保障带宽</t>
    <phoneticPr fontId="1" type="noConversion"/>
  </si>
  <si>
    <t>不同接口类型的带宽限制功能</t>
    <phoneticPr fontId="1" type="noConversion"/>
  </si>
  <si>
    <t>不同接口类型的带宽限制功能</t>
    <phoneticPr fontId="1" type="noConversion"/>
  </si>
  <si>
    <t>验证${接口类型}的保障带宽和最大带宽功能</t>
    <phoneticPr fontId="1" type="noConversion"/>
  </si>
  <si>
    <t>接口类型</t>
    <phoneticPr fontId="1" type="noConversion"/>
  </si>
  <si>
    <t>接口类型=物理接口,聚合接口</t>
    <phoneticPr fontId="1" type="noConversion"/>
  </si>
  <si>
    <t>验证${接口类型}的保障带宽和最大带宽功能</t>
    <phoneticPr fontId="1" type="noConversion"/>
  </si>
  <si>
    <t>Qos.cir.pir.intfType</t>
    <phoneticPr fontId="1" type="noConversion"/>
  </si>
  <si>
    <t>Qos.cir.pir.intfType</t>
    <phoneticPr fontId="1" type="noConversion"/>
  </si>
  <si>
    <t>Qos.cir.pir.intfMode</t>
    <phoneticPr fontId="1" type="noConversion"/>
  </si>
  <si>
    <t>Qos.cir.pir.intfMode</t>
    <phoneticPr fontId="1" type="noConversion"/>
  </si>
  <si>
    <t>丢弃报文不占用带宽</t>
    <phoneticPr fontId="1" type="noConversion"/>
  </si>
  <si>
    <t>丢弃报文不占用带宽</t>
    <phoneticPr fontId="1" type="noConversion"/>
  </si>
  <si>
    <r>
      <t>上行拥塞测试、下行拥塞测试</t>
    </r>
    <r>
      <rPr>
        <strike/>
        <sz val="11"/>
        <color rgb="FFFF0000"/>
        <rFont val="宋体"/>
        <family val="3"/>
        <charset val="134"/>
        <scheme val="minor"/>
      </rPr>
      <t>(已覆盖)</t>
    </r>
    <phoneticPr fontId="1" type="noConversion"/>
  </si>
  <si>
    <t>Qos.cir.pir.drop</t>
    <phoneticPr fontId="1" type="noConversion"/>
  </si>
  <si>
    <t>Qos.cir.pir.drop</t>
    <phoneticPr fontId="1" type="noConversion"/>
  </si>
  <si>
    <t>验证${策略}丢弃的报文不计算接口带宽</t>
    <phoneticPr fontId="1" type="noConversion"/>
  </si>
  <si>
    <t>策略</t>
    <phoneticPr fontId="1" type="noConversion"/>
  </si>
  <si>
    <t>策略=黑名单,安全策略</t>
    <phoneticPr fontId="1" type="noConversion"/>
  </si>
  <si>
    <t>1、选取任意${接口类型}，并配置业务
2、在接口上配置接口带宽并配置带宽策略，引用带宽通过配置保障带宽和最大带宽
3、在接口双向发送匹配带宽策略且大于最大带宽的流量，观察流量。【check1】
4、从其他接口向带宽策略出接口发送线速的背景流量。观察流量【check2】
5、从其他接口向带宽策略入接口发送线速的背景流量。观察流量【check2】</t>
    <phoneticPr fontId="1" type="noConversion"/>
  </si>
  <si>
    <t>1、选取任意物理口或者聚合口，配置接口工作在${接口模式}，并配置业务
2、在接口上配置接口带宽并配置带宽策略，引用带宽通过配置保障带宽和最大带宽
3、在接口双向发送匹配带宽策略且大于最大带宽的流量，观察流量。【check1】
4、从其他接口向带宽策略出接口发送线速的背景流量。观察流量【check2】
5、从其他接口向带宽策略入接口发送线速的背景流量。观察流量【check2】</t>
    <phoneticPr fontId="1" type="noConversion"/>
  </si>
  <si>
    <t>策略=黑名单,安全策略</t>
    <phoneticPr fontId="1" type="noConversion"/>
  </si>
  <si>
    <t>带宽保障配置顺序测试</t>
    <phoneticPr fontId="1" type="noConversion"/>
  </si>
  <si>
    <t>先配接口带宽、先配策略和通道</t>
    <phoneticPr fontId="1" type="noConversion"/>
  </si>
  <si>
    <t>验证独占通道不同接口间${方向}方向带宽限制功能</t>
  </si>
  <si>
    <t>验证独占通道单臂路由${方向}方向带宽限制功能</t>
  </si>
  <si>
    <t>最小值，最大值</t>
    <phoneticPr fontId="1" type="noConversion"/>
  </si>
  <si>
    <t>Qos.precision</t>
    <phoneticPr fontId="1" type="noConversion"/>
  </si>
  <si>
    <t>精度</t>
    <phoneticPr fontId="1" type="noConversion"/>
  </si>
  <si>
    <t>验证保障带宽和最大带宽的精度</t>
    <phoneticPr fontId="1" type="noConversion"/>
  </si>
  <si>
    <t>【check1】误差小于10%</t>
    <phoneticPr fontId="1" type="noConversion"/>
  </si>
  <si>
    <t>带宽=保障带宽,最大带宽</t>
    <phoneticPr fontId="1" type="noConversion"/>
  </si>
  <si>
    <t>验证${带宽}的精度</t>
    <phoneticPr fontId="1" type="noConversion"/>
  </si>
  <si>
    <t>带宽限制精度测试</t>
    <phoneticPr fontId="1" type="noConversion"/>
  </si>
  <si>
    <t>带宽限制精度测试</t>
    <phoneticPr fontId="1" type="noConversion"/>
  </si>
  <si>
    <t>Qos.cir.pir.order</t>
    <phoneticPr fontId="1" type="noConversion"/>
  </si>
  <si>
    <t>验证${策略}丢弃的报文不计算接口带宽</t>
    <phoneticPr fontId="1" type="noConversion"/>
  </si>
  <si>
    <t>配置顺序</t>
    <phoneticPr fontId="1" type="noConversion"/>
  </si>
  <si>
    <t>顺序=先配带宽策略,先配置接口带宽</t>
    <phoneticPr fontId="1" type="noConversion"/>
  </si>
  <si>
    <t>Qos.cir.pir.order1</t>
    <phoneticPr fontId="1" type="noConversion"/>
  </si>
  <si>
    <t>验证配置带宽策略后再配置接口带宽后保障带宽和带宽限制功能</t>
    <phoneticPr fontId="1" type="noConversion"/>
  </si>
  <si>
    <t>顺序=先配带宽策略</t>
    <phoneticPr fontId="1" type="noConversion"/>
  </si>
  <si>
    <t>【check1】上下行流量按照带宽通道的最大带宽通过
【check2】上行通过流量大于等保障带宽
【check3】下行通过流量大于等保障带宽</t>
    <phoneticPr fontId="1" type="noConversion"/>
  </si>
  <si>
    <t>Qos.cir.pir.order2</t>
    <phoneticPr fontId="1" type="noConversion"/>
  </si>
  <si>
    <t>验证配置接口带宽后再配置带宽策略后保障带宽和带宽限制功能</t>
    <phoneticPr fontId="1" type="noConversion"/>
  </si>
  <si>
    <t>顺序=先配置接口带宽</t>
    <phoneticPr fontId="1" type="noConversion"/>
  </si>
  <si>
    <t>1、在port1（入）和port2（出）上配置带宽策略，匹配任意参数，引用Qos独占通道最大带宽小于接口带宽
2、从Port1向Port2发送线速带宽的流量，流量正向匹配带宽策略，观察流量通过情况。【check1】
3、不停止流量，禁用带宽策略，观察流量。【check2】</t>
    <phoneticPr fontId="1" type="noConversion"/>
  </si>
  <si>
    <t>1、在port1（出入接口均为Port1）上配置带宽策略，匹配任意参数，引用Qos独占通道最大带宽小于接口带宽
2、向Port1发送线速带宽的流量形成单臂转发，流量正向匹配带宽策略，观察流量通过情况。【check1】
3、不停止流量，禁用带宽策略，观察流量。【check2】</t>
    <phoneticPr fontId="1" type="noConversion"/>
  </si>
  <si>
    <t>【check1】该流通过的流量等于带宽策略引用通道的最大带宽。
【check2】从Port1到Port2的流量不被限制</t>
  </si>
  <si>
    <t>【check1】该流通过的流量等于带宽策略引用通道的最大带宽。
【check2】Port1上单臂转发的流量不被限制</t>
  </si>
  <si>
    <t>1、在port1（入）和port2（出）上配置带宽策略，匹配任意参数，引用Qos独占通道最大带宽小于接口带宽
2、从Port2向Port1发送线速带宽的流量，流量反向匹配带宽策略，观察流量通过情况。（此时无正向会话，必要时可以清除会话）【check2】
3、不停止流量，从Port1向Port2发送正向匹配带宽策略的流量，观察流量。（此时无正向会话，必要时可以清除会话）【check1】
4、不停止流量，禁用带宽策略，观察流量。【check3】</t>
    <phoneticPr fontId="1" type="noConversion"/>
  </si>
  <si>
    <t>1、在port1（出入接口均为Port1）上配置带宽策略，匹配任意参数，引用Qos独占通道最大带宽小于接口带宽
2、向Port1发送线速带宽的流量形成单臂转发，流量反向匹配带宽策略，观察流量通过情况。【check2】
3、不停止流量，在Port1发送正向匹配带宽策略的流量，形成单臂转发。观察流量。【check1】
4、不停止流量，禁用带宽策略，观察流量。【check2】</t>
    <phoneticPr fontId="1" type="noConversion"/>
  </si>
  <si>
    <t>1、在port1（入）和port2（出）上配置至少三条带宽策略，匹配任意参数，三条策略都引用同一共享带宽通道，带宽通道的最大带宽小于接口带宽。
2、从Port1向Port2发送至少三条流，流量之和为接口线速，流量正向匹配带宽策略，观察流量通过情况。【check1】
3、不停止流量，禁用带宽策略，观察流量。【check2】</t>
    <phoneticPr fontId="1" type="noConversion"/>
  </si>
  <si>
    <t>1、在port1（出入接口均为Port1）上至少配置3条带宽策略，匹配任意参数，三条策略都引用同一共享带宽通道，带宽通道的最大带宽小于接口带宽。
2、向Port1发送至少三条流量，流量之和为接口线速并形成单臂转发，流量正向匹配带宽策略，观察流量通过情况。【check1】
3、不停止流量，禁用带宽策略，观察流量。【check2】</t>
    <phoneticPr fontId="1" type="noConversion"/>
  </si>
  <si>
    <t>1、在port1（入）和port2（出）上配置至少三条带宽策略，匹配任意参数，三条策略都引用同一共享带宽通道，带宽通道的最大带宽小于接口带宽。
2、从Port2向Port1至少发送3条流，流量之和为接口线速，流量反向匹配带宽策略，观察流量通过情况。（此时无正向会话，必要时可以清除会话）【check2】
3、不停止流量，从Port1向Port2发送正向匹配带宽策略的流量，观察流量。（此时无正向会话，必要时可以清除会话）【check1】
4、不停止流量，禁用带宽策略，观察流量。【check3】</t>
    <phoneticPr fontId="1" type="noConversion"/>
  </si>
  <si>
    <t>1、在port1（出入接口均为Port1）上至少配置3条带宽策略，匹配任意参数，三条策略都引用同一共享带宽通道，带宽通道的最大带宽小于接口带宽。
2、向Port1发送至少三条流量，流量之和为接口线速并形成单臂转发，流量反向匹配带宽策略，观察流量通过情况。【check2】
3、不停止流量，在Port1发送正向匹配带宽策略的流量，形成单臂转发。观察流量。【check1】
4、不停止流量，禁用带宽策略，观察流量。【check2】</t>
    <phoneticPr fontId="1" type="noConversion"/>
  </si>
  <si>
    <t>Qos.pir.sole.forward.intfs</t>
  </si>
  <si>
    <t>Qos.pir.sole.forward.intf</t>
  </si>
  <si>
    <t>Qos.pir.sole.reverse.intfs</t>
  </si>
  <si>
    <t>Qos.pir.sole.reverse.intf</t>
  </si>
  <si>
    <t>独占和共享带宽共存时带宽限制测试</t>
    <phoneticPr fontId="1" type="noConversion"/>
  </si>
  <si>
    <t>Qos.pir.share.sole.intfs</t>
  </si>
  <si>
    <t>Qos.pir.share.sole.intf</t>
  </si>
  <si>
    <t>验证不同接口业务共享通道和独占通道共存时的最大带宽限制</t>
  </si>
  <si>
    <t>验证单臂路由共享通道和独占通道共存时的最大带宽限制</t>
  </si>
  <si>
    <t>1、配置一条带宽策略P1和P2，出入接口为Port1，匹配任意参数，分别引用独占通道chl1和chl2。
2、配置两条带宽策略P3和P4，出入接口为Port1，匹配任意参数，引用相同的共享通道chl3。配置两条带宽策略P5和P6，出入接口为Port1，匹配任意参数，引用相同的共享通道chl4。所有通道的最大带宽之和小于接口带宽
3、在Port1上双向发送匹配P1、P2、P3、P4、P5、P6的流量形成单臂转发。流量之和为接口线速，观察流量通过情况。【check1】【check2】【check3】
4、不停止流量，禁用带宽策略，观察流量。【check4】</t>
    <phoneticPr fontId="1" type="noConversion"/>
  </si>
  <si>
    <t>【check1】匹配P1和P2的上下行流量大于等于各自引用通道的最大带宽
【check2】P3和P4的上下行流量之和大于等于chl3的上下行最大带宽
【check3】P5和P6的上下行流量之和大于等于chl4的上下行最大带宽
【check4】所有流量不再被限制，按照发送的流量通过</t>
    <phoneticPr fontId="1" type="noConversion"/>
  </si>
  <si>
    <t>【check1】匹配P1和P2的上下行流量大于等于各自引用通道的最大带宽
【check2】P3和P4的上下行流量之和大于等于chl3的上下行最大带宽
【check3】P5和P6的上下行流量之和大于等于chl4的上下行最大带宽
【check4】所有流量不再被限制,按照发送的流量通过</t>
    <phoneticPr fontId="1" type="noConversion"/>
  </si>
  <si>
    <t>带宽限制定时启停功能测试</t>
    <phoneticPr fontId="1" type="noConversion"/>
  </si>
  <si>
    <t>1、配置一条带宽策略P1，入接口为Port1出接口为Port2，匹配任意参数，引用独占通道chl1。配置一条带宽策略P2，入接口为Port2出接口为Port1，匹配任意参数，引用独占通道chl2。
2、配置两条带宽策略P3和P4，入接口为Port1出接口为Port2，匹配任意参数，引用相同的共享通道chl3。配置两条带宽策略P5和P6，入接口为Port2出接口为Port1，匹配任意参数，引用相同的共享通道chl4。所有通道的最大带宽之和小于接口带宽
3、在Port1和Port2之间双向发送匹配P1、P2、P3、P4、P5、P6的流量。流量之和为接口线速，观察流量通过情况。【check1】【check2】【check3】
4、不停止流量，禁用带宽策略，观察流量。【check4】</t>
    <phoneticPr fontId="1" type="noConversion"/>
  </si>
  <si>
    <t>1、选取任意接口配置带宽策略，匹配时间对象，其他参数任意，并引用共享通道或者独占通道，在通道上配置最大带宽，最大带宽小于接口带宽
2、在带宽策略引用的两个接口之间双向发送匹配带宽策略的流量。在时间对象生效区间内观察带宽策略和流量。【check1】
3、等待时间对象过期后，观察带宽策略和流量。【check2】</t>
    <phoneticPr fontId="1" type="noConversion"/>
  </si>
  <si>
    <t>【check1】带宽策略为启用，通过的流量大于等于通道的最大带宽
【check2】带宽策略为禁用，匹配的带宽策略的流量不受限制</t>
    <phoneticPr fontId="1" type="noConversion"/>
  </si>
  <si>
    <t>验证带宽策略定时启停带宽限制功能</t>
  </si>
  <si>
    <r>
      <t>上行、下行</t>
    </r>
    <r>
      <rPr>
        <strike/>
        <sz val="11"/>
        <color rgb="FFFF0000"/>
        <rFont val="宋体"/>
        <family val="3"/>
        <charset val="134"/>
        <scheme val="minor"/>
      </rPr>
      <t>（在带宽保障中已覆盖）</t>
    </r>
    <phoneticPr fontId="1" type="noConversion"/>
  </si>
  <si>
    <t>Qos.pir.timer</t>
  </si>
  <si>
    <t>独占通道带宽限制测试</t>
  </si>
  <si>
    <t>验证独占通道不同接口间${方向}方向总额限制功能</t>
  </si>
  <si>
    <t>验证独占通道单臂路由${方向}方向总额限制功能</t>
  </si>
  <si>
    <t>验证共享通道不同接口间${方向}方向总额限制功能</t>
  </si>
  <si>
    <t>验证共享通道单臂路由${方向}方向总额限制功能</t>
  </si>
  <si>
    <t>【check1】所有流量之和等于通道chl1的最大带宽。
【check2】所有流量不被总额限制</t>
  </si>
  <si>
    <t>【check1】该流通过的流量等于带宽策略引用通道的最大带宽。
【check2】从Port1到Port2的流量不被限制</t>
    <phoneticPr fontId="1" type="noConversion"/>
  </si>
  <si>
    <t>【check1】该流通过的流量超过总额限制后会被丢弃。
【check2】从Port1到Port2的流量不被限制</t>
  </si>
  <si>
    <t>【check1】该流通过的流量超过总额限制后会被丢弃。
【check2】Port1上单臂转发的流量不被限制</t>
  </si>
  <si>
    <t>1、在port1（入）和port2（出）上配置带宽策略，匹配任意参数，引用Qos独占通道配置总额限制
2、从Port2向Port1发送线速带宽的流量，流量反向匹配带宽策略，观察流量通过情况。（此时无正向会话，必要时可以清除会话）【check2】
3、不停止流量，从Port1向Port2发送正向匹配带宽策略的流量，观察流量。（此时无正向会话，必要时可以清除会话）【check1】
4、不停止流量，禁用带宽策略，观察流量。【check3】</t>
  </si>
  <si>
    <t>1、在port1（出入接口均为Port1）上配置带宽策略，匹配任意参数，引用Qos独占通道配置总额限制
2、向Port1发送线速带宽的流量形成单臂转发，流量反向匹配带宽策略，观察流量通过情况。【check2】
3、不停止流量，在Port1发送正向匹配带宽策略的流量，形成单臂转发。观察流量。【check1】
4、不停止流量，禁用带宽策略，观察流量。【check2】</t>
  </si>
  <si>
    <t>1、在port1（入）和port2（出）上配置至少三条带宽策略，匹配任意参数，三条策略都引用同一共享带宽通道，引用Qos独占通道配置总额限制
2、从Port1向Port2发送至少三条流，流量之和为接口线速，流量正向匹配带宽策略，观察流量通过情况。【check1】
3、不停止流量，禁用带宽策略，观察流量。【check2】</t>
  </si>
  <si>
    <t>1、在port1（出入接口均为Port1）上至少配置3条带宽策略，匹配任意参数，三条策略都引用同一共享带宽通道，引用Qos独占通道配置总额限制
2、向Port1发送至少三条流量，流量之和为接口线速并形成单臂转发，流量正向匹配带宽策略，观察流量通过情况。【check1】
3、不停止流量，禁用带宽策略，观察流量。【check2】</t>
  </si>
  <si>
    <t>1、在port1（入）和port2（出）上配置至少三条带宽策略，匹配任意参数，三条策略都引用同一共享带宽通道，引用Qos独占通道配置总额限制
2、从Port2向Port1至少发送3条流，流量之和为接口线速，流量反向匹配带宽策略，观察流量通过情况。（此时无正向会话，必要时可以清除会话）【check2】
3、不停止流量，从Port1向Port2发送正向匹配带宽策略的流量，观察流量。（此时无正向会话，必要时可以清除会话）【check1】
4、不停止流量，禁用带宽策略，观察流量。【check3】</t>
  </si>
  <si>
    <t>1、在port1（出入接口均为Port1）上至少配置3条带宽策略，匹配任意参数，三条策略都引用同一共享带宽通道，引用Qos独占通道配置总额限制
2、向Port1发送至少三条流量，流量之和为接口线速并形成单臂转发，流量反向匹配带宽策略，观察流量通过情况。【check2】
3、不停止流量，在Port1发送正向匹配带宽策略的流量，形成单臂转发。观察流量。【check1】
4、不停止流量，禁用带宽策略，观察流量。【check2】</t>
  </si>
  <si>
    <t>【check1】这些流量之和超过通道总额限制后被丢弃。
【check2】从Port1到Port2的流量不被限制</t>
  </si>
  <si>
    <t>【check1】这些流量之和超过通道总额限制后被丢弃。
【check2】Port1上单臂转发的流量不被限制</t>
  </si>
  <si>
    <t>1、在设备上配置共享通道chl1，并配置通道总额限制
2、在port1（入）和port2（出）上配置带宽策略P1，匹配任意参数，引用chl1。在port2（入）和port2（出）上配置带宽策略P2，匹配任意参数，引用chl1。在port1（入）和port3（出）上配置带宽策略P3，匹配任意参数，引用chl1。
3、从Port1向Port2之间双向满流量发送匹配P1和P2的流量，Port1和Port3之间双向满流量发送匹配P3的流量，观察流量通过情况。【check1】
4、不停止流量，禁用带宽策略，观察流量。【check2】</t>
  </si>
  <si>
    <t>1、在设备上配置共享通道chl1，并配置通道最大带宽
2、在port1（入）和port2（出）上配置带宽策略P1，匹配任意参数，引用chl1。在port2（入）和port2（出）上配置带宽策略P2，匹配任意参数，引用chl1。在port1（入）和port3（出）上配置带宽策略P3，匹配任意参数，引用chl1。
3、从Port1向Port2之间双向满流量发送匹配P1和P2的流量，Port1和Port3之间双向满流量发送匹配P3的流量，观察流量通过情况。【check1】
4、不停止流量，禁用带宽策略，观察流量。【check2】</t>
    <phoneticPr fontId="1" type="noConversion"/>
  </si>
  <si>
    <t>【check1】这些流量之和等于带宽策略引用通道的最大带宽。
【check2】从Port1到Port2的流量不被限制</t>
  </si>
  <si>
    <t>【check1】这些流量之和等于带宽策略引用通道的最大带宽。
【check2】Port1上单臂转发的流量不被限制</t>
  </si>
  <si>
    <t>【check1】所有流量之和等于通道chl1的最大带宽。
【check2】所有流量不被带宽限制</t>
    <phoneticPr fontId="1" type="noConversion"/>
  </si>
  <si>
    <t>逻辑口与物理口嵌套匹配后的总额限制和总额限制测试</t>
    <phoneticPr fontId="1" type="noConversion"/>
  </si>
  <si>
    <r>
      <t>bvi口与bvi的成员口、隧道口与物理口</t>
    </r>
    <r>
      <rPr>
        <strike/>
        <sz val="11"/>
        <color rgb="FFFF0000"/>
        <rFont val="宋体"/>
        <family val="3"/>
        <charset val="134"/>
        <scheme val="minor"/>
      </rPr>
      <t>（不支持逻辑口）</t>
    </r>
    <phoneticPr fontId="1" type="noConversion"/>
  </si>
  <si>
    <t>总额限制定时启停功能测试</t>
  </si>
  <si>
    <t>验证带宽策略定时启停总额限制功能</t>
  </si>
  <si>
    <t>1、配置一条带宽策略P1，入接口为Port1出接口为Port2，匹配任意参数，引用独占通道chl1。配置一条带宽策略P2，入接口为Port2出接口为Port1，匹配任意参数，引用独占通道chl2。通道上配置总额限制
2、配置两条带宽策略P3和P4，入接口为Port1出接口为Port2，匹配任意参数，引用相同的共享通道chl3。配置两条带宽策略P5和P6，入接口为Port2出接口为Port1，匹配任意参数，引用相同的共享通道chl4。通道上配置总额限制
3、在Port1和Port2之间双向发送匹配P1、P2、P3、P4、P5、P6的流量。流量之和为接口线速，观察流量通过情况。【check1】【check2】【check3】
4、不停止流量，禁用带宽策略，观察流量。【check4】</t>
    <phoneticPr fontId="1" type="noConversion"/>
  </si>
  <si>
    <t>1、配置一条带宽策略P1和P2，出入接口为Port1，匹配任意参数，分别引用独占通道chl1和chl2。通道上配置总额限制
2、配置两条带宽策略P3和P4，出入接口为Port1，匹配任意参数，引用相同的共享通道chl3。配置两条带宽策略P5和P6，出入接口为Port1，匹配任意参数，引用相同的共享通道chl4。通道上配置总额限制
3、在Port1上双向发送匹配P1、P2、P3、P4、P5、P6的流量形成单臂转发。流量之和为接口线速，观察流量通过情况。【check1】【check2】【check3】
4、不停止流量，禁用带宽策略，观察流量。【check4】</t>
    <phoneticPr fontId="1" type="noConversion"/>
  </si>
  <si>
    <t>【check1】配置成功，查询配置参与与实际配置参数一致。配置到最大数量后再添加Qos通道报错
【check2】配置成功，通道的引用计数与引用该通道的qos策略数量相同
【check3】删除失败，查询qos通道和Qos策略正常
【check4】配置成功
【check5】删除成功</t>
    <phoneticPr fontId="1" type="noConversion"/>
  </si>
  <si>
    <t>【check1】配置成功，查询配置参与与实际配置参数一致。配置到最大数量后再添加Qos通道报错
【check2】配置成功
【check3】配置失败</t>
    <phoneticPr fontId="1" type="noConversion"/>
  </si>
  <si>
    <t>【check1】匹配P1的流量超过chl1的总额后被丢弃，
【check2】匹配P2的流量超过chl2的总额后被丢弃，
【check2】P3和P4的上下行流量之超过chl3的总额后被丢弃
【check3】P5和P6的上下行流量之超过chl4的总额后被丢弃
【check4】所有流量不再被限制，按照发送的流量通过</t>
    <phoneticPr fontId="1" type="noConversion"/>
  </si>
  <si>
    <t>【check1】带宽策略为启用，通过的流量超过总额后被丢弃
【check2】带宽策略为禁用，匹配的带宽策略的流量不受限制</t>
    <phoneticPr fontId="1" type="noConversion"/>
  </si>
  <si>
    <t>1、选取任意接口配置带宽策略，匹配时间对象，其他参数任意，并引用共享通道或者独占通道，在通道上配置总额限制
2、在带宽策略引用的两个接口之间双向发送匹配带宽策略的流量。在时间对象生效区间内观察带宽策略和流量。【check1】
3、等待时间对象过期后，观察带宽策略和流量。【check2】</t>
    <phoneticPr fontId="1" type="noConversion"/>
  </si>
  <si>
    <t>接口带宽限制功能</t>
    <phoneticPr fontId="1" type="noConversion"/>
  </si>
  <si>
    <t>物理接口,聚合接口</t>
    <phoneticPr fontId="1" type="noConversion"/>
  </si>
  <si>
    <t>接口带宽限制功能</t>
    <phoneticPr fontId="1" type="noConversion"/>
  </si>
  <si>
    <t>验证${接口类型}的接口带宽限制</t>
    <phoneticPr fontId="1" type="noConversion"/>
  </si>
  <si>
    <t>验证${接口类型}的保障带宽和最大带宽功能</t>
    <phoneticPr fontId="1" type="noConversion"/>
  </si>
  <si>
    <t>【check1】上下行流量和背景流量之和等于接口带宽</t>
    <phoneticPr fontId="1" type="noConversion"/>
  </si>
  <si>
    <t>1、选取任意${接口类型}，并配置业务
2、在接口上配置接口带宽并配置带宽策略，引用带宽通道不限速。
3、配置port1和port2的接口带宽，接口带宽小于接口的线速
4、在接口双向发送匹配带宽策略的流量，流量大小为线速，观察流量。【check1】
5、从其他接口向带宽策略出接口发送线速的背景流量。观察流量【check1】
6、从其他接口向带宽策略入接口发送线速的背景流量。观察流量【check1】</t>
    <phoneticPr fontId="1" type="noConversion"/>
  </si>
  <si>
    <t>Qos.pir.intf</t>
    <phoneticPr fontId="1" type="noConversion"/>
  </si>
  <si>
    <t>总额限制阈值启停功能测试</t>
    <phoneticPr fontId="1" type="noConversion"/>
  </si>
  <si>
    <t>【check1】流量全部通过
【check2】匹配P1的流量通过超过通道的总额限制后被丢弃
【check3】匹配P2和P3的流量之和超过通道的总额限制后被丢弃
【check4】流量被丢弃</t>
    <phoneticPr fontId="1" type="noConversion"/>
  </si>
  <si>
    <t>1、在port1（入）和port2（出）之间配置带宽策略P1，匹配参数任意，并引用独占通道，并配置总额限制。在port1（入）和port2（出）之间配置两条带宽策略P2和P3，匹配参数任意，并引用共享通道，并配置总额限制。配置port2的接口带宽，空闲阈值和繁忙阈值
2、在port1和port2之间发送匹配p1的流量流量和匹配P2和P3的流量，流量之和小于接口带宽的空闲阈值。观察流量。【check1】
3、从port3向port2发送的背景流量，背景流量加业务流量大于接口带宽的空闲阈值小于接口带宽的繁忙阈值。观察流量通过情况【check1】
4、增大背景流量使背景流量加业务流量大于接口带宽的繁忙阈值。观察流量。【check2】
5、减少背景流量使背景流量加业务流量大于接口带宽的空闲阈值且小于繁忙阈值。观察流量。【check4】
6、减少背景流量，使业务流量加背景流量小于接口带宽的空闲阈值，观察流量。【check1】</t>
    <phoneticPr fontId="1" type="noConversion"/>
  </si>
  <si>
    <t>1、在port1（入）和port2（出）之间配置带宽策略P1，匹配参数任意，并引用独占通道，并配置总额限制。在port1（入）和port2（出）之间配置两条带宽策略P2和P3，匹配参数任意，并引用共享通道，并配置总额限制。配置port2的接口带宽，空闲阈值和繁忙阈值
2、在port1和port2之间发送匹配p1的流量流量和匹配P2和P3的流量，流量之和小于接口带宽的空闲阈值。观察流量。【check1】
3、从port3向port1发送的背景流量，背景流量加业务流量大于接口带宽的空闲阈值小于接口带宽的繁忙阈值。观察流量通过情况【check1】
4、增大背景流量使背景流量加业务流量大于接口带宽的繁忙阈值。观察流量。【check2】
5、减少背景流量使背景流量加业务流量大于接口带宽的空闲阈值且小于繁忙阈值。观察流量。【check4】
6、减少背景流量，使业务流量加背景流量小于接口带宽的空闲阈值，观察流量。【check1】</t>
    <phoneticPr fontId="1" type="noConversion"/>
  </si>
  <si>
    <t>Qos.total.sole.forward.intfs</t>
  </si>
  <si>
    <t>Qos.total.sole.forward.intf</t>
  </si>
  <si>
    <t>Qos.total.sole.reverse.intfs</t>
  </si>
  <si>
    <t>Qos.total.sole.reverse.intf</t>
  </si>
  <si>
    <t>Qos.total.share.forward.intfs</t>
  </si>
  <si>
    <t>Qos.total.share.forward.intf</t>
  </si>
  <si>
    <t>Qos.total.share.reverse.intfs</t>
  </si>
  <si>
    <t>Qos.total.share.reverse.intf</t>
  </si>
  <si>
    <t>Qos.total.share.intfs</t>
  </si>
  <si>
    <t>Qos.total.timer</t>
  </si>
  <si>
    <t>Qos.total.clear</t>
    <phoneticPr fontId="1" type="noConversion"/>
  </si>
  <si>
    <t>总额限制清除测试</t>
    <phoneticPr fontId="1" type="noConversion"/>
  </si>
  <si>
    <t>Qos.total.clear</t>
    <phoneticPr fontId="1" type="noConversion"/>
  </si>
  <si>
    <t>验证带宽策略${操作}后的总额限制功能</t>
    <phoneticPr fontId="1" type="noConversion"/>
  </si>
  <si>
    <t>操作=启停带宽策略,定时停止后再开启,阈值停止后再开启,清除会话,会话老化</t>
    <phoneticPr fontId="1" type="noConversion"/>
  </si>
  <si>
    <t>操作=启停带宽策略,定时停止后再开启,阈值停止后再开启,清除会话,会话老化</t>
    <phoneticPr fontId="1" type="noConversion"/>
  </si>
  <si>
    <t>验证带宽策略${操作}后的总额限制重新计算功能</t>
    <phoneticPr fontId="1" type="noConversion"/>
  </si>
  <si>
    <t>验证带宽策略${操作}后的总额限制不重新计算功能</t>
    <phoneticPr fontId="1" type="noConversion"/>
  </si>
  <si>
    <t>1、选取任意接口配置带宽策略，匹配参数任意，并引用共享通道或者独占通道，在通道上配置总额限制
2、在带宽策略引用的两个接口之间双向发送匹配带宽策略的流量。在时间对象生效区间内观察带宽策略和流量。【check1】
3、${操作}，观察带宽策略和流量。【check2】</t>
    <phoneticPr fontId="1" type="noConversion"/>
  </si>
  <si>
    <t>【check1】带宽策略为启用，通过的流量超过总额后被丢弃
【check2】总额限制重新累计到限制值后丢弃</t>
    <phoneticPr fontId="1" type="noConversion"/>
  </si>
  <si>
    <t>【check1】带宽策略为启用，通过的流量超过总额后被丢弃
【check2】总额限制不会清除，流量仍然被丢弃</t>
    <phoneticPr fontId="1" type="noConversion"/>
  </si>
  <si>
    <t>Qos.cir.pir.mix</t>
    <phoneticPr fontId="1" type="noConversion"/>
  </si>
  <si>
    <t>Qos.cir.pir.mix.up</t>
    <phoneticPr fontId="1" type="noConversion"/>
  </si>
  <si>
    <t>Qos.cir.pir.mix.down</t>
    <phoneticPr fontId="1" type="noConversion"/>
  </si>
  <si>
    <t>Qos.precision</t>
    <phoneticPr fontId="1" type="noConversion"/>
  </si>
  <si>
    <t>Qos.total.threshold.down</t>
    <phoneticPr fontId="1" type="noConversion"/>
  </si>
  <si>
    <t>Qos.total.threshold.up</t>
    <phoneticPr fontId="1" type="noConversion"/>
  </si>
  <si>
    <t>Qos.cir.pir.threshold.up</t>
    <phoneticPr fontId="1" type="noConversion"/>
  </si>
  <si>
    <t>Qos.cir.pir.threshold.down</t>
    <phoneticPr fontId="1" type="noConversion"/>
  </si>
  <si>
    <t>总额限制精度测试</t>
    <phoneticPr fontId="1" type="noConversion"/>
  </si>
  <si>
    <t>Qos.total.not.clear</t>
    <phoneticPr fontId="1" type="noConversion"/>
  </si>
  <si>
    <t>Qos.total.precision</t>
    <phoneticPr fontId="1" type="noConversion"/>
  </si>
  <si>
    <t>验证总额限制的精度</t>
    <phoneticPr fontId="1" type="noConversion"/>
  </si>
  <si>
    <t>限制=总额限制</t>
    <phoneticPr fontId="1" type="noConversion"/>
  </si>
  <si>
    <t>1、配置带宽策略和业务，并配置总额限制的精度
2、验证${限制}为最小值，观察流量通过情况【check1】
3、验证${限制}为典型值，观察流量通过情况【check1】
4、验证${限制}为最大值，观察流量通过情况【check1】</t>
    <phoneticPr fontId="1" type="noConversion"/>
  </si>
  <si>
    <t>1、配置带宽策略和业务
2、验证${带宽}为最小值的精度，观察流量通过情况【check1】
3、验证${带宽}为接口带宽50%的精度，观察流量通过情况【check1】
4、验证${带宽}为接口带宽线速的精度，观察流量通过情况【check1】</t>
    <phoneticPr fontId="1" type="noConversion"/>
  </si>
  <si>
    <t>验证独占通道不同接口间${方向}方向总额限制功能</t>
    <phoneticPr fontId="1" type="noConversion"/>
  </si>
  <si>
    <t>1、在port1（入）和port2（出）上配置带宽策略，匹配任意参数，引用Qos独占通道配置总额限制
2、从Port1向Port2发送线速带宽的流量，流量正向匹配带宽策略，观察流量通过情况。【check1】
3、不停止流量，禁用带宽策略，观察流量。【check2】</t>
    <phoneticPr fontId="1" type="noConversion"/>
  </si>
  <si>
    <t>1、在port1（出入接口均为Port1）上配置带宽策略，匹配任意参数，引用Qos独占通道配置总额限制
2、向Port1发送线速带宽的流量形成单臂转发，流量正向匹配带宽策略，观察流量通过情况。【check1】
3、不停止流量，禁用带宽策略，观察流量。【check2】</t>
    <phoneticPr fontId="1" type="noConversion"/>
  </si>
  <si>
    <t>1、在port1（入）和port2（出）上配置带宽策略，匹配任意参数，引用Qos独占通道配置连接总数限制
2、从Port1向Port2发送线速带宽的流量，流量正向匹配带宽策略，观察流量通过情况。【check1】
3、不停止流量，禁用带宽策略，观察流量。【check2】</t>
  </si>
  <si>
    <t>1、在port1（出入接口均为Port1）上配置带宽策略，匹配任意参数，引用Qos独占通道配置连接总数限制
2、向Port1发送线速带宽的流量形成单臂转发，流量正向匹配带宽策略，观察流量通过情况。【check1】
3、不停止流量，禁用带宽策略，观察流量。【check2】</t>
  </si>
  <si>
    <t>1、在port1（入）和port2（出）上配置带宽策略，匹配任意参数，引用Qos独占通道配置连接总数限制
2、从Port2向Port1发送线速带宽的流量，流量反向匹配带宽策略，观察流量通过情况。（此时无正向会话，必要时可以清除会话）【check2】
3、不停止流量，从Port1向Port2发送正向匹配带宽策略的流量，观察流量。（此时无正向会话，必要时可以清除会话）【check1】
4、不停止流量，禁用带宽策略，观察流量。【check3】</t>
  </si>
  <si>
    <t>1、在port1（出入接口均为Port1）上配置带宽策略，匹配任意参数，引用Qos独占通道配置连接总数限制
2、向Port1发送线速带宽的流量形成单臂转发，流量反向匹配带宽策略，观察流量通过情况。【check2】
3、不停止流量，在Port1发送正向匹配带宽策略的流量，形成单臂转发。观察流量。【check1】
4、不停止流量，禁用带宽策略，观察流量。【check2】</t>
  </si>
  <si>
    <t>共享通道连接总数限制测试</t>
  </si>
  <si>
    <t>验证共享通道不同接口间${方向}方向连接总数限制功能</t>
  </si>
  <si>
    <t>验证共享通道单臂路由${方向}方向连接总数限制功能</t>
  </si>
  <si>
    <t>1、在port1（入）和port2（出）上配置至少三条带宽策略，匹配任意参数，三条策略都引用同一共享带宽通道，引用Qos独占通道配置连接总数限制
2、从Port1向Port2发送至少三条流，流量之和为接口线速，流量正向匹配带宽策略，观察流量通过情况。【check1】
3、不停止流量，禁用带宽策略，观察流量。【check2】</t>
  </si>
  <si>
    <t>1、在port1（出入接口均为Port1）上至少配置3条带宽策略，匹配任意参数，三条策略都引用同一共享带宽通道，引用Qos独占通道配置连接总数限制
2、向Port1发送至少三条流量，流量之和为接口线速并形成单臂转发，流量正向匹配带宽策略，观察流量通过情况。【check1】
3、不停止流量，禁用带宽策略，观察流量。【check2】</t>
  </si>
  <si>
    <t>1、在port1（入）和port2（出）上配置至少三条带宽策略，匹配任意参数，三条策略都引用同一共享带宽通道，引用Qos独占通道配置连接总数限制
2、从Port2向Port1至少发送3条流，流量之和为接口线速，流量反向匹配带宽策略，观察流量通过情况。（此时无正向会话，必要时可以清除会话）【check2】
3、不停止流量，从Port1向Port2发送正向匹配带宽策略的流量，观察流量。（此时无正向会话，必要时可以清除会话）【check1】
4、不停止流量，禁用带宽策略，观察流量。【check3】</t>
  </si>
  <si>
    <t>1、在port1（出入接口均为Port1）上至少配置3条带宽策略，匹配任意参数，三条策略都引用同一共享带宽通道，引用Qos独占通道配置连接总数限制
2、向Port1发送至少三条流量，流量之和为接口线速并形成单臂转发，流量反向匹配带宽策略，观察流量通过情况。【check2】
3、不停止流量，在Port1发送正向匹配带宽策略的流量，形成单臂转发。观察流量。【check1】
4、不停止流量，禁用带宽策略，观察流量。【check2】</t>
  </si>
  <si>
    <t>1、在设备上配置共享通道chl1，并配置通道连接总数限制
2、在port1（入）和port2（出）上配置带宽策略P1，匹配任意参数，引用chl1。在port2（入）和port2（出）上配置带宽策略P2，匹配任意参数，引用chl1。在port1（入）和port3（出）上配置带宽策略P3，匹配任意参数，引用chl1。
3、从Port1向Port2之间双向满流量发送匹配P1和P2的流量，Port1和Port3之间双向满流量发送匹配P3的流量，观察流量通过情况。【check1】
4、不停止流量，禁用带宽策略，观察流量。【check2】</t>
  </si>
  <si>
    <t>【check1】所有流量之和等于通道chl1的最大带宽。
【check2】所有流量不被连接总数限制</t>
  </si>
  <si>
    <t>独占和共享带宽共存时连接总数限制测试</t>
  </si>
  <si>
    <t>验证不同接口业务共享通道和独占通道共存时的最大连接总数限制</t>
  </si>
  <si>
    <t>验证单臂路由共享通道和独占通道共存时的最大连接总数限制</t>
  </si>
  <si>
    <t>1、配置一条带宽策略P1，入接口为Port1出接口为Port2，匹配任意参数，引用独占通道chl1。配置一条带宽策略P2，入接口为Port2出接口为Port1，匹配任意参数，引用独占通道chl2。通道上配置连接总数限制
2、配置两条带宽策略P3和P4，入接口为Port1出接口为Port2，匹配任意参数，引用相同的共享通道chl3。配置两条带宽策略P5和P6，入接口为Port2出接口为Port1，匹配任意参数，引用相同的共享通道chl4。通道上配置连接总数限制
3、在Port1和Port2之间双向发送匹配P1、P2、P3、P4、P5、P6的流量。流量之和为接口线速，观察流量通过情况。【check1】【check2】【check3】
4、不停止流量，禁用带宽策略，观察流量。【check4】</t>
  </si>
  <si>
    <t>1、配置一条带宽策略P1和P2，出入接口为Port1，匹配任意参数，分别引用独占通道chl1和chl2。通道上配置连接总数限制
2、配置两条带宽策略P3和P4，出入接口为Port1，匹配任意参数，引用相同的共享通道chl3。配置两条带宽策略P5和P6，出入接口为Port1，匹配任意参数，引用相同的共享通道chl4。通道上配置连接总数限制
3、在Port1上双向发送匹配P1、P2、P3、P4、P5、P6的流量形成单臂转发。流量之和为接口线速，观察流量通过情况。【check1】【check2】【check3】
4、不停止流量，禁用带宽策略，观察流量。【check4】</t>
  </si>
  <si>
    <t>连接总数限制定时启停功能测试</t>
  </si>
  <si>
    <t>验证带宽策略定时启停连接总数限制功能</t>
  </si>
  <si>
    <t>1、选取任意接口配置带宽策略，匹配时间对象，其他参数任意，并引用共享通道或者独占通道，在通道上配置连接总数限制
2、在带宽策略引用的两个接口之间双向发送匹配带宽策略的流量。在时间对象生效区间内观察带宽策略和流量。【check1】
3、等待时间对象过期后，观察带宽策略和流量。【check2】</t>
  </si>
  <si>
    <t>连接总数限制阈值启停功能测试</t>
  </si>
  <si>
    <t>1、在port1（入）和port2（出）之间配置带宽策略P1，匹配参数任意，并引用独占通道，并配置连接总数限制。在port1（入）和port2（出）之间配置两条带宽策略P2和P3，匹配参数任意，并引用共享通道，并配置连接总数限制。配置port2的接口带宽，空闲阈值和繁忙阈值
2、在port1和port2之间发送匹配p1的流量流量和匹配P2和P3的流量，流量之和小于接口带宽的空闲阈值。观察流量。【check1】
3、从port3向port2发送的背景流量，背景流量加业务流量大于接口带宽的空闲阈值小于接口带宽的繁忙阈值。观察流量通过情况【check1】
4、增大背景流量使背景流量加业务流量大于接口带宽的繁忙阈值。观察流量。【check2】
5、减少背景流量使背景流量加业务流量大于接口带宽的空闲阈值且小于繁忙阈值。观察流量。【check4】
6、减少背景流量，使业务流量加背景流量小于接口带宽的空闲阈值，观察流量。【check1】</t>
  </si>
  <si>
    <t>【check1】流量全部通过
【check2】匹配P1的流量通过超过通道的连接总数限制后被丢弃
【check3】匹配P2和P3的流量之和超过通道的连接总数限制后被丢弃
【check4】流量被丢弃</t>
  </si>
  <si>
    <t>1、在port1（入）和port2（出）之间配置带宽策略P1，匹配参数任意，并引用独占通道，并配置连接总数限制。在port1（入）和port2（出）之间配置两条带宽策略P2和P3，匹配参数任意，并引用共享通道，并配置连接总数限制。配置port2的接口带宽，空闲阈值和繁忙阈值
2、在port1和port2之间发送匹配p1的流量流量和匹配P2和P3的流量，流量之和小于接口带宽的空闲阈值。观察流量。【check1】
3、从port3向port1发送的背景流量，背景流量加业务流量大于接口带宽的空闲阈值小于接口带宽的繁忙阈值。观察流量通过情况【check1】
4、增大背景流量使背景流量加业务流量大于接口带宽的繁忙阈值。观察流量。【check2】
5、减少背景流量使背景流量加业务流量大于接口带宽的空闲阈值且小于繁忙阈值。观察流量。【check4】
6、减少背景流量，使业务流量加背景流量小于接口带宽的空闲阈值，观察流量。【check1】</t>
  </si>
  <si>
    <t>【check1】该流通过的流量超过连接总数限制后会被丢弃。
【check2】从Port1到Port2的连接总数不被限制</t>
  </si>
  <si>
    <t>【check1】该流通过的流量超过连接总数限制后会被丢弃。
【check2】Port1上单臂转发的连接总数不被限制</t>
  </si>
  <si>
    <t>【check1】这些流量之和超过通道连接总数限制后被丢弃。
【check2】从Port1到Port2的连接总数不被限制</t>
  </si>
  <si>
    <t>【check1】这些流量之和超过通道连接总数限制后被丢弃。
【check2】Port1上单臂转发的连接总数不被限制</t>
  </si>
  <si>
    <t>独占通道新建连接速率限制测试</t>
  </si>
  <si>
    <t>验证独占通道不同接口间${方向}方向新建连接速率限制功能</t>
  </si>
  <si>
    <t>验证独占通道单臂路由${方向}方向新建连接速率限制功能</t>
  </si>
  <si>
    <t>1、在port1（入）和port2（出）上配置带宽策略，匹配任意参数，引用Qos独占通道配置新建连接速率限制
2、从Port1向Port2发送线速带宽的流量，流量正向匹配带宽策略，观察流量通过情况。【check1】
3、不停止流量，禁用带宽策略，观察流量。【check2】</t>
  </si>
  <si>
    <t>1、在port1（出入接口均为Port1）上配置带宽策略，匹配任意参数，引用Qos独占通道配置新建连接速率限制
2、向Port1发送线速带宽的流量形成单臂转发，流量正向匹配带宽策略，观察流量通过情况。【check1】
3、不停止流量，禁用带宽策略，观察流量。【check2】</t>
  </si>
  <si>
    <t>1、在port1（入）和port2（出）上配置带宽策略，匹配任意参数，引用Qos独占通道配置新建连接速率限制
2、从Port2向Port1发送线速带宽的流量，流量反向匹配带宽策略，观察流量通过情况。（此时无正向会话，必要时可以清除会话）【check2】
3、不停止流量，从Port1向Port2发送正向匹配带宽策略的流量，观察流量。（此时无正向会话，必要时可以清除会话）【check1】
4、不停止流量，禁用带宽策略，观察流量。【check3】</t>
  </si>
  <si>
    <t>1、在port1（出入接口均为Port1）上配置带宽策略，匹配任意参数，引用Qos独占通道配置新建连接速率限制
2、向Port1发送线速带宽的流量形成单臂转发，流量反向匹配带宽策略，观察流量通过情况。【check2】
3、不停止流量，在Port1发送正向匹配带宽策略的流量，形成单臂转发。观察流量。【check1】
4、不停止流量，禁用带宽策略，观察流量。【check2】</t>
  </si>
  <si>
    <t>1、在port1（入）和port2（出）上配置至少三条带宽策略，匹配任意参数，三条策略都引用同一共享带宽通道，引用Qos独占通道配置新建连接速率限制
2、从Port1向Port2发送至少三条流，流量之和为接口线速，流量正向匹配带宽策略，观察流量通过情况。【check1】
3、不停止流量，禁用带宽策略，观察流量。【check2】</t>
  </si>
  <si>
    <t>1、在port1（出入接口均为Port1）上至少配置3条带宽策略，匹配任意参数，三条策略都引用同一共享带宽通道，引用Qos独占通道配置新建连接速率限制
2、向Port1发送至少三条流量，流量之和为接口线速并形成单臂转发，流量正向匹配带宽策略，观察流量通过情况。【check1】
3、不停止流量，禁用带宽策略，观察流量。【check2】</t>
  </si>
  <si>
    <t>1、在port1（入）和port2（出）上配置至少三条带宽策略，匹配任意参数，三条策略都引用同一共享带宽通道，引用Qos独占通道配置新建连接速率限制
2、从Port2向Port1至少发送3条流，流量之和为接口线速，流量反向匹配带宽策略，观察流量通过情况。（此时无正向会话，必要时可以清除会话）【check2】
3、不停止流量，从Port1向Port2发送正向匹配带宽策略的流量，观察流量。（此时无正向会话，必要时可以清除会话）【check1】
4、不停止流量，禁用带宽策略，观察流量。【check3】</t>
  </si>
  <si>
    <t>1、在port1（出入接口均为Port1）上至少配置3条带宽策略，匹配任意参数，三条策略都引用同一共享带宽通道，引用Qos独占通道配置新建连接速率限制
2、向Port1发送至少三条流量，流量之和为接口线速并形成单臂转发，流量反向匹配带宽策略，观察流量通过情况。【check2】
3、不停止流量，在Port1发送正向匹配带宽策略的流量，形成单臂转发。观察流量。【check1】
4、不停止流量，禁用带宽策略，观察流量。【check2】</t>
  </si>
  <si>
    <t>1、在设备上配置共享通道chl1，并配置通道新建连接速率限制
2、在port1（入）和port2（出）上配置带宽策略P1，匹配任意参数，引用chl1。在port2（入）和port2（出）上配置带宽策略P2，匹配任意参数，引用chl1。在port1（入）和port3（出）上配置带宽策略P3，匹配任意参数，引用chl1。
3、从Port1向Port2之间双向满流量发送匹配P1和P2的流量，Port1和Port3之间双向满流量发送匹配P3的流量，观察流量通过情况。【check1】
4、不停止流量，禁用带宽策略，观察流量。【check2】</t>
  </si>
  <si>
    <t>【check1】所有流量之和等于通道chl1的最大带宽。
【check2】所有流量不被新建连接速率限制</t>
  </si>
  <si>
    <t>独占和共享带宽共存时新建连接速率限制测试</t>
  </si>
  <si>
    <t>验证不同接口业务共享通道和独占通道共存时的最大新建连接速率限制</t>
  </si>
  <si>
    <t>验证单臂路由共享通道和独占通道共存时的最大新建连接速率限制</t>
  </si>
  <si>
    <t>1、配置一条带宽策略P1，入接口为Port1出接口为Port2，匹配任意参数，引用独占通道chl1。配置一条带宽策略P2，入接口为Port2出接口为Port1，匹配任意参数，引用独占通道chl2。通道上配置新建连接速率限制
2、配置两条带宽策略P3和P4，入接口为Port1出接口为Port2，匹配任意参数，引用相同的共享通道chl3。配置两条带宽策略P5和P6，入接口为Port2出接口为Port1，匹配任意参数，引用相同的共享通道chl4。通道上配置新建连接速率限制
3、在Port1和Port2之间双向发送匹配P1、P2、P3、P4、P5、P6的流量。流量之和为接口线速，观察流量通过情况。【check1】【check2】【check3】
4、不停止流量，禁用带宽策略，观察流量。【check4】</t>
  </si>
  <si>
    <t>1、配置一条带宽策略P1和P2，出入接口为Port1，匹配任意参数，分别引用独占通道chl1和chl2。通道上配置新建连接速率限制
2、配置两条带宽策略P3和P4，出入接口为Port1，匹配任意参数，引用相同的共享通道chl3。配置两条带宽策略P5和P6，出入接口为Port1，匹配任意参数，引用相同的共享通道chl4。通道上配置新建连接速率限制
3、在Port1上双向发送匹配P1、P2、P3、P4、P5、P6的流量形成单臂转发。流量之和为接口线速，观察流量通过情况。【check1】【check2】【check3】
4、不停止流量，禁用带宽策略，观察流量。【check4】</t>
  </si>
  <si>
    <t>新建连接速率限制定时启停功能测试</t>
  </si>
  <si>
    <t>验证带宽策略定时启停新建连接速率限制功能</t>
  </si>
  <si>
    <t>1、选取任意接口配置带宽策略，匹配时间对象，其他参数任意，并引用共享通道或者独占通道，在通道上配置新建连接速率限制
2、在带宽策略引用的两个接口之间双向发送匹配带宽策略的流量。在时间对象生效区间内观察带宽策略和流量。【check1】
3、等待时间对象过期后，观察带宽策略和流量。【check2】</t>
  </si>
  <si>
    <t>新建连接速率限制阈值启停功能测试</t>
  </si>
  <si>
    <t>1、在port1（入）和port2（出）之间配置带宽策略P1，匹配参数任意，并引用独占通道，并配置新建连接速率限制。在port1（入）和port2（出）之间配置两条带宽策略P2和P3，匹配参数任意，并引用共享通道，并配置新建连接速率限制。配置port2的接口带宽，空闲阈值和繁忙阈值
2、在port1和port2之间发送匹配p1的流量流量和匹配P2和P3的流量，流量之和小于接口带宽的空闲阈值。观察流量。【check1】
3、从port3向port2发送的背景流量，背景流量加业务流量大于接口带宽的空闲阈值小于接口带宽的繁忙阈值。观察流量通过情况【check1】
4、增大背景流量使背景流量加业务流量大于接口带宽的繁忙阈值。观察流量。【check2】
5、减少背景流量使背景流量加业务流量大于接口带宽的空闲阈值且小于繁忙阈值。观察流量。【check4】
6、减少背景流量，使业务流量加背景流量小于接口带宽的空闲阈值，观察流量。【check1】</t>
  </si>
  <si>
    <t>【check1】流量全部通过
【check2】匹配P1的流量通过超过通道的新建连接速率限制后被丢弃
【check3】匹配P2和P3的流量之和超过通道的新建连接速率限制后被丢弃
【check4】流量被丢弃</t>
  </si>
  <si>
    <t>1、在port1（入）和port2（出）之间配置带宽策略P1，匹配参数任意，并引用独占通道，并配置新建连接速率限制。在port1（入）和port2（出）之间配置两条带宽策略P2和P3，匹配参数任意，并引用共享通道，并配置新建连接速率限制。配置port2的接口带宽，空闲阈值和繁忙阈值
2、在port1和port2之间发送匹配p1的流量流量和匹配P2和P3的流量，流量之和小于接口带宽的空闲阈值。观察流量。【check1】
3、从port3向port1发送的背景流量，背景流量加业务流量大于接口带宽的空闲阈值小于接口带宽的繁忙阈值。观察流量通过情况【check1】
4、增大背景流量使背景流量加业务流量大于接口带宽的繁忙阈值。观察流量。【check2】
5、减少背景流量使背景流量加业务流量大于接口带宽的空闲阈值且小于繁忙阈值。观察流量。【check4】
6、减少背景流量，使业务流量加背景流量小于接口带宽的空闲阈值，观察流量。【check1】</t>
  </si>
  <si>
    <t>【check1】该流通过的流量超过新建连接速率限制后会被丢弃。
【check2】从Port1到Port2的新建连接速率不被限制</t>
  </si>
  <si>
    <t>【check1】该流通过的流量超过新建连接速率限制后会被丢弃。
【check2】Port1上单臂转发的新建连接速率不被限制</t>
  </si>
  <si>
    <t>【check1】这些流量之和超过通道新建连接速率限制后被丢弃。
【check2】从Port1到Port2的新建连接速率不被限制</t>
  </si>
  <si>
    <t>【check1】这些流量之和超过通道新建连接速率限制后被丢弃。
【check2】Port1上单臂转发的新建连接速率不被限制</t>
  </si>
  <si>
    <t>Qos.con.new.sole.forward.intfs</t>
  </si>
  <si>
    <t>Qos.con.new.sole.forward.intf</t>
  </si>
  <si>
    <t>Qos.con.new.sole.reverse.intfs</t>
  </si>
  <si>
    <t>Qos.con.new.sole.reverse.intf</t>
  </si>
  <si>
    <t>Qos.con.new.share.sole.intfs</t>
  </si>
  <si>
    <t>Qos.con.new.share.sole.intf</t>
  </si>
  <si>
    <t>Qos.con.new.timer</t>
  </si>
  <si>
    <t>Qos.con.new.threshold.up</t>
  </si>
  <si>
    <t>Qos.con.new.threshold.down</t>
  </si>
  <si>
    <t>Qos.con.share.forward.intfs</t>
  </si>
  <si>
    <t>Qos.con.share.forward.intf</t>
  </si>
  <si>
    <t>Qos.con.share.reverse.intfs</t>
  </si>
  <si>
    <t>Qos.con.share.reverse.intf</t>
  </si>
  <si>
    <t>Qos.con.share.intfs</t>
  </si>
  <si>
    <t>Qos.con.share.sole.intfs</t>
  </si>
  <si>
    <t>Qos.con.share.sole.intf</t>
  </si>
  <si>
    <t>Qos.con.timer</t>
  </si>
  <si>
    <t>Qos.con.threshold.up</t>
  </si>
  <si>
    <t>Qos.con.threshold.down</t>
  </si>
  <si>
    <t>连接类型限制</t>
    <phoneticPr fontId="1" type="noConversion"/>
  </si>
  <si>
    <t>半连接、全连接</t>
    <phoneticPr fontId="1" type="noConversion"/>
  </si>
  <si>
    <t>Qos.con.type</t>
    <phoneticPr fontId="1" type="noConversion"/>
  </si>
  <si>
    <t>Qos.con.type</t>
    <phoneticPr fontId="1" type="noConversion"/>
  </si>
  <si>
    <t>连接类型=半连接,全连接</t>
    <phoneticPr fontId="1" type="noConversion"/>
  </si>
  <si>
    <t>连接类型=半连接,全连接</t>
    <phoneticPr fontId="1" type="noConversion"/>
  </si>
  <si>
    <t>连接类型=半连接,全连接</t>
    <phoneticPr fontId="1" type="noConversion"/>
  </si>
  <si>
    <t>验证${连接类型}的连接总数限制</t>
    <phoneticPr fontId="1" type="noConversion"/>
  </si>
  <si>
    <t>验证${连接类型}的连接总数限制</t>
    <phoneticPr fontId="1" type="noConversion"/>
  </si>
  <si>
    <t>【check1】不超过连接总数的的报文能够通过，超过连接总数的报文丢弃
【check2】设备上能够建立的连接与配置的参数相同</t>
    <phoneticPr fontId="1" type="noConversion"/>
  </si>
  <si>
    <t>1、选取任意接口配置带宽策略，匹配参数任意，并引用共享通道或者独占通道，在通道上配置连接总数限制
2、从带宽策略的入接口到出接口发送匹配带宽策略的${连接类型}的流量，观察流量和连接总数【check1】【check2】
3、从带宽策略的出接口到入接口发送匹配带宽策略的${连接类型}的流量，观察流量和连接总数【check1】【check2】
4、双向发送匹配带宽策略的${连接类型}的流量，观察流量和连接总数【check1】【check2】</t>
    <phoneticPr fontId="1" type="noConversion"/>
  </si>
  <si>
    <t>不同连接类型新建连接速率限制</t>
    <phoneticPr fontId="1" type="noConversion"/>
  </si>
  <si>
    <t>验证${连接类型}的新建连接速度限制</t>
    <phoneticPr fontId="1" type="noConversion"/>
  </si>
  <si>
    <t>Qos.con.new.type</t>
    <phoneticPr fontId="1" type="noConversion"/>
  </si>
  <si>
    <t>验证${连接类型}的新建连接速度限制</t>
    <phoneticPr fontId="1" type="noConversion"/>
  </si>
  <si>
    <t>1、选取任意接口配置带宽策略，匹配参数任意，并引用共享通道或者独占通道，在通道上配置新建连接速度限制
2、从带宽策略的入接口到出接口发送匹配带宽策略的${连接类型}的流量，观察流量和连接总数【check1】【check2】
3、从带宽策略的出接口到入接口发送匹配带宽策略的${连接类型}的流量，观察流量和连接总数【check1】【check2】
4、双向发送匹配带宽策略的${连接类型}的流量，观察流量和连接总数【check1】【check2】</t>
  </si>
  <si>
    <t>【check1】不超过新建连接速度限制的的报文能够通过，超过新建连接速度限制的报文丢弃
【check2】设备上连接总数的变化与新建连接速率相同</t>
    <phoneticPr fontId="1" type="noConversion"/>
  </si>
  <si>
    <t>带宽管理混合使用</t>
    <phoneticPr fontId="1" type="noConversion"/>
  </si>
  <si>
    <t>带宽管理混合使用</t>
    <phoneticPr fontId="1" type="noConversion"/>
  </si>
  <si>
    <t>Qos.cir.pir.con.type</t>
    <phoneticPr fontId="1" type="noConversion"/>
  </si>
  <si>
    <t>连接类型=保障带宽,最大带宽,连接限制,新建连接</t>
    <phoneticPr fontId="1" type="noConversion"/>
  </si>
  <si>
    <t>连接类型=保障带宽,最大带宽,连接限制,新建连接</t>
    <phoneticPr fontId="1" type="noConversion"/>
  </si>
  <si>
    <t>连接类型=保障带宽,最大带宽,连接限制,新建连接</t>
    <phoneticPr fontId="1" type="noConversion"/>
  </si>
  <si>
    <t>Qos.cir.pir.con.type</t>
    <phoneticPr fontId="1" type="noConversion"/>
  </si>
  <si>
    <t>验证带宽保障、带宽限制、连接限制混合使用</t>
    <phoneticPr fontId="1" type="noConversion"/>
  </si>
  <si>
    <t>验证带宽保障、带宽限制、连接限制混合使用</t>
    <phoneticPr fontId="1" type="noConversion"/>
  </si>
  <si>
    <t>1、选取任意接口配置带宽策略，匹配参数任意，并引用共享通道或者独占通道，在通道上配置保障带宽、最大带宽、连接总数限制和新建速率限制
2、双向发送流量，流量大于通道最大带宽时，发起新建连接，观察流量和连接【check1】
3、连接数量达到最大值后，流量小于保障带宽。发送新的五元组的流量，观察流量和连接【check2】
4、发送线速的背景流量时，发起新建连接。【check3】</t>
    <phoneticPr fontId="1" type="noConversion"/>
  </si>
  <si>
    <t>【check1】流量按照最大带宽通过，并且不能建立连接
【check2】连接不能建立成功，且流量不能通过
【check3】连接总数能达到最大连接数量限制，新建连接速率能达到配置值。</t>
    <phoneticPr fontId="1" type="noConversion"/>
  </si>
  <si>
    <t>不同模式下下接口的匹配和连接限制</t>
    <phoneticPr fontId="1" type="noConversion"/>
  </si>
  <si>
    <t>不同接口类型的连接限制功能</t>
    <phoneticPr fontId="1" type="noConversion"/>
  </si>
  <si>
    <t>Qos.con.intfMode</t>
    <phoneticPr fontId="1" type="noConversion"/>
  </si>
  <si>
    <t>Qos.con.intfType</t>
    <phoneticPr fontId="1" type="noConversion"/>
  </si>
  <si>
    <t>验证接口工作在${接口模式}时的新建连接和连接总数限制功能</t>
    <phoneticPr fontId="1" type="noConversion"/>
  </si>
  <si>
    <t>验证${接口类型}的新建连接和连接总数限制功能</t>
    <phoneticPr fontId="1" type="noConversion"/>
  </si>
  <si>
    <t>1、选取任意物理口或者聚合口，配置接口工作在${接口模式}，并配置业务
2、在接口上配置接口带宽并配置带宽策略，引用带宽通过配置连接总数限制和新建连接速度限制
3、在设备上发起大量连接。【check1】</t>
    <phoneticPr fontId="1" type="noConversion"/>
  </si>
  <si>
    <t>【check1】新建连接速度与配置值相同
【check2】连接总数达到配置值后不能再建立连接</t>
    <phoneticPr fontId="1" type="noConversion"/>
  </si>
  <si>
    <t>【check1】新建连接速度与配置值相同
【check2】连接总数达到配置值后不能再建立连接</t>
    <phoneticPr fontId="1" type="noConversion"/>
  </si>
  <si>
    <t>1、选取任意${接口类型}，并配置业务
2、在接口上配置接口带宽并配置带宽策略，引用带宽通过配置连接总数限制和新建连接速度限制
3、在设备上发起大量连接。【check1】</t>
    <phoneticPr fontId="1" type="noConversion"/>
  </si>
  <si>
    <t>Qos升级测试</t>
    <phoneticPr fontId="1" type="noConversion"/>
  </si>
  <si>
    <t>1、网元正常启动
2、配置默认转发策略为允许</t>
  </si>
  <si>
    <t>qos.dfs.update</t>
    <phoneticPr fontId="1" type="noConversion"/>
  </si>
  <si>
    <t>验证带宽管理升级测试</t>
    <phoneticPr fontId="1" type="noConversion"/>
  </si>
  <si>
    <t>升级</t>
    <phoneticPr fontId="1" type="noConversion"/>
  </si>
  <si>
    <t>升级</t>
    <phoneticPr fontId="1" type="noConversion"/>
  </si>
  <si>
    <t>【check1】带宽管理的保障带宽，最大带宽，带宽总额，连接总数和新建连接数量与配置值相同。
【check2】升级前后配置相同，且设备无异常</t>
    <phoneticPr fontId="1" type="noConversion"/>
  </si>
  <si>
    <t>1、配置物理接口和聚合口上的接口带宽，配置独占通道和共享通道，配置匹配物理接口和物理接口的带宽策略
2、发送背景流量的同时向设备发送匹配带宽策略的流量，观察报文流量【check1】
2、对设备进行升级。升级后观察配置【check2】
3、发送背景流量，同时向设备发送匹配带宽策略的流量，观察报文流量【check1】
4、发送流量同时，在设备增删和修改带宽策略，通道，接口带宽。【check1】</t>
    <phoneticPr fontId="1" type="noConversion"/>
  </si>
  <si>
    <t>升级=配置,业务</t>
    <phoneticPr fontId="1" type="noConversion"/>
  </si>
  <si>
    <r>
      <t>子接口、bvi口、聚合口、隧道口</t>
    </r>
    <r>
      <rPr>
        <strike/>
        <sz val="11"/>
        <color rgb="FFFF0000"/>
        <rFont val="宋体"/>
        <family val="3"/>
        <charset val="134"/>
        <scheme val="minor"/>
      </rPr>
      <t>（不支持）</t>
    </r>
    <phoneticPr fontId="1" type="noConversion"/>
  </si>
  <si>
    <t>Qos可靠性测试</t>
    <phoneticPr fontId="1" type="noConversion"/>
  </si>
  <si>
    <t>Qos可靠性测试</t>
    <phoneticPr fontId="1" type="noConversion"/>
  </si>
  <si>
    <t>snat,dnat</t>
    <phoneticPr fontId="1" type="noConversion"/>
  </si>
  <si>
    <t>Qos.dfr.operate</t>
    <phoneticPr fontId="1" type="noConversion"/>
  </si>
  <si>
    <t>操作</t>
    <phoneticPr fontId="1" type="noConversion"/>
  </si>
  <si>
    <t>策略启停、接口带宽、带宽策略、通道配置增删修改、接口Updown、反复修改阈值、反复调整优先级</t>
    <phoneticPr fontId="1" type="noConversion"/>
  </si>
  <si>
    <t>验证带宽管理功能在${操作}后功能正常</t>
    <phoneticPr fontId="1" type="noConversion"/>
  </si>
  <si>
    <t>验证带宽管理功能在${操作}后功能正常</t>
    <phoneticPr fontId="1" type="noConversion"/>
  </si>
  <si>
    <t>【check1】保障带宽、最大带宽、带宽总额、连接总数、新建连接速度限制正常</t>
    <phoneticPr fontId="1" type="noConversion"/>
  </si>
  <si>
    <t>1、选取任意物理口或者聚合口，配置带宽策略和通道，并配置业务
2、在设备发送背景流量的同时发起大量的连接，观察流量和连接。【check1】
3、不停止流量${操作}，观察流量和连接。【check1】</t>
    <phoneticPr fontId="1" type="noConversion"/>
  </si>
  <si>
    <t>Qos配置恢复测试</t>
    <phoneticPr fontId="1" type="noConversion"/>
  </si>
  <si>
    <t>Qos配置恢复测试</t>
    <phoneticPr fontId="1" type="noConversion"/>
  </si>
  <si>
    <t>1、配置物理接口和聚合口上的接口带宽，配置独占通道和共享通道，配置匹配物理接口和物理接口的带宽策略
2、发送背景流量的同时向设备发送匹配带宽策略的流量，观察报文流量【check1】
3、对设备进行配置导出。【check2】
4、在设备修改任意带宽管理配置。
4、将步骤2导出的配置导入设备中【check3】【check1】
5、在设备修改任意带宽管理配置。【check1】</t>
    <phoneticPr fontId="1" type="noConversion"/>
  </si>
  <si>
    <t>操作</t>
    <phoneticPr fontId="1" type="noConversion"/>
  </si>
  <si>
    <t>操作=配置导入导出</t>
    <phoneticPr fontId="1" type="noConversion"/>
  </si>
  <si>
    <t>操作=配置导入导出</t>
    <phoneticPr fontId="1" type="noConversion"/>
  </si>
  <si>
    <t>操作=反复启停带宽策略,反复修改接口带宽和阈值,反复修改和增删带宽策略,反复修改引用、修改和增删带宽通道,反复启用禁用接口,反复拔插接口网线或光纤,反复调整带宽策略优先级,反复命令复位重启,反复掉电重启</t>
    <phoneticPr fontId="1" type="noConversion"/>
  </si>
  <si>
    <t>操作=反复启停带宽策略,反复修改接口带宽和阈值,反复修改和增删带宽策略,反复修改引用、修改和增删带宽通道,反复启用禁用接口,反复拔插接口网线或光纤,反复调整带宽策略优先级,反复命令复位重启,反复掉电重启</t>
    <phoneticPr fontId="1" type="noConversion"/>
  </si>
  <si>
    <t>Qos.dfr.operate</t>
    <phoneticPr fontId="1" type="noConversion"/>
  </si>
  <si>
    <t>Qos.dfr.recover</t>
    <phoneticPr fontId="1" type="noConversion"/>
  </si>
  <si>
    <t>Qos.dfr.recover</t>
    <phoneticPr fontId="1" type="noConversion"/>
  </si>
  <si>
    <t>Qos控制会话测试</t>
    <phoneticPr fontId="1" type="noConversion"/>
  </si>
  <si>
    <t>Qos主备切换测试</t>
    <phoneticPr fontId="1" type="noConversion"/>
  </si>
  <si>
    <t>Qos主备切换测试</t>
    <phoneticPr fontId="1" type="noConversion"/>
  </si>
  <si>
    <t>操作</t>
    <phoneticPr fontId="1" type="noConversion"/>
  </si>
  <si>
    <t>Qos.dfr.ha.syn</t>
  </si>
  <si>
    <t>Qos.dfr.ha.syn</t>
    <phoneticPr fontId="1" type="noConversion"/>
  </si>
  <si>
    <t>Qos.dfr.ha.switch</t>
  </si>
  <si>
    <t>Qos.dfr.ha.switch</t>
    <phoneticPr fontId="1" type="noConversion"/>
  </si>
  <si>
    <t>带宽管理主备业务切换和回切测试</t>
    <phoneticPr fontId="1" type="noConversion"/>
  </si>
  <si>
    <t>操作=切换,回切</t>
    <phoneticPr fontId="1" type="noConversion"/>
  </si>
  <si>
    <t>带宽管理主备同步测试</t>
    <phoneticPr fontId="1" type="noConversion"/>
  </si>
  <si>
    <t>带宽管理主备同步测试</t>
    <phoneticPr fontId="1" type="noConversion"/>
  </si>
  <si>
    <t>带宽管理主备业务切换和回切测试</t>
    <phoneticPr fontId="1" type="noConversion"/>
  </si>
  <si>
    <t>操作=配置同步</t>
    <phoneticPr fontId="1" type="noConversion"/>
  </si>
  <si>
    <t>操作=切换,回切</t>
    <phoneticPr fontId="1" type="noConversion"/>
  </si>
  <si>
    <t>【check1】保障带宽、最大带宽、带宽总额、连接总数、新建连接速度限制正常
【check2】主备设备间配置正常同步</t>
    <phoneticPr fontId="1" type="noConversion"/>
  </si>
  <si>
    <t>1、选取任意物理口或者聚合口，配置接口带宽，带宽通道和带宽策略，并配置业务
2、配置HA
3、在设备发送背景流量的同时发起大量的连接，观察流量和连接。【check1】【check2】
4、触发主备切换，
5、在备升主的设备上修改带宽管理的配置。【check1】【check2】
6、触发主备回切。【check1】</t>
    <phoneticPr fontId="1" type="noConversion"/>
  </si>
  <si>
    <t>Qos.dfr.session</t>
    <phoneticPr fontId="1" type="noConversion"/>
  </si>
  <si>
    <t>Qos.dfr.session</t>
    <phoneticPr fontId="1" type="noConversion"/>
  </si>
  <si>
    <t>操作=带宽限制,总额限制,连接限制</t>
    <phoneticPr fontId="1" type="noConversion"/>
  </si>
  <si>
    <t>验证带宽管理${操作}会话信息限制正确</t>
    <phoneticPr fontId="1" type="noConversion"/>
  </si>
  <si>
    <t>验证带宽管理${操作}会话信息限制正确</t>
    <phoneticPr fontId="1" type="noConversion"/>
  </si>
  <si>
    <t>【check1】带宽管理通过的流量，会话显示正常
【check1】${操作}丢弃的流量，会话显示正常</t>
    <phoneticPr fontId="1" type="noConversion"/>
  </si>
  <si>
    <t xml:space="preserve">1、配置物理接口和聚合口上的接口带宽，配置独占通道和共享通道，配置匹配物理接口和物理接口的带宽策略
2、发送背景流量的同时向设备发送匹配带宽策略的流量，观察报文流量【check1】
3、发送流量使${操作}导致流量丢弃
</t>
    <phoneticPr fontId="1" type="noConversion"/>
  </si>
  <si>
    <t>操作=带宽限制,总额限制,连接限制</t>
    <phoneticPr fontId="1" type="noConversion"/>
  </si>
  <si>
    <t>Qos配置会话控制</t>
    <phoneticPr fontId="1" type="noConversion"/>
  </si>
  <si>
    <t>验证带宽管理${NAT}耦合功能正常</t>
    <phoneticPr fontId="1" type="noConversion"/>
  </si>
  <si>
    <t>验证带宽管理${NAT}耦合功能正常</t>
    <phoneticPr fontId="1" type="noConversion"/>
  </si>
  <si>
    <t>Qos.dfr.nat</t>
    <phoneticPr fontId="1" type="noConversion"/>
  </si>
  <si>
    <t>Qos.dfr.nat</t>
    <phoneticPr fontId="1" type="noConversion"/>
  </si>
  <si>
    <t>NAT=SNAT,DNAT</t>
    <phoneticPr fontId="1" type="noConversion"/>
  </si>
  <si>
    <t>【check1】保障带宽、最大带宽、带宽总额、连接总数、新建连接速度限制正常</t>
    <phoneticPr fontId="1" type="noConversion"/>
  </si>
  <si>
    <t>1、在设备上配置${NAT}
2、配置物理接口或聚合口上的接口带宽，配置独占通道和共享通道，配置匹配物理接口和物理接口的带宽策略。带宽策略引用${NAT}所在的接口
3、发送背景流量的同时向设备发送匹配带宽策略的流量，观察报文流量【check1】</t>
    <phoneticPr fontId="1" type="noConversion"/>
  </si>
  <si>
    <t>Qos与Nat耦合</t>
    <phoneticPr fontId="1" type="noConversion"/>
  </si>
  <si>
    <t>Qos与Nat耦合</t>
    <phoneticPr fontId="1" type="noConversion"/>
  </si>
  <si>
    <t>Qos性能测试</t>
    <phoneticPr fontId="1" type="noConversion"/>
  </si>
  <si>
    <t>Qos.dfr.per</t>
    <phoneticPr fontId="1" type="noConversion"/>
  </si>
  <si>
    <t>操作=大吞吐量,大会话量</t>
    <phoneticPr fontId="1" type="noConversion"/>
  </si>
  <si>
    <t>操作=大吞吐量,大会话量</t>
    <phoneticPr fontId="1" type="noConversion"/>
  </si>
  <si>
    <t>验证带宽管理在${操作}的性能</t>
    <phoneticPr fontId="1" type="noConversion"/>
  </si>
  <si>
    <t>验证带宽管理在${操作}的性能</t>
    <phoneticPr fontId="1" type="noConversion"/>
  </si>
  <si>
    <t>【check1】保障带宽、最大带宽、带宽总额、连接总数、新建连接速度限制正常
【check2】观察设备的整机吞吐量下降值</t>
    <phoneticPr fontId="1" type="noConversion"/>
  </si>
  <si>
    <t>【check1】保障带宽、最大带宽、带宽总额、连接总数、新建连接速度限制正常
【check2】配置导出成功，检查配置文件符合规范
【check3】配置导入成功，设备的配置如导入的配置完全相同</t>
    <phoneticPr fontId="1" type="noConversion"/>
  </si>
  <si>
    <t>容量=通道,带宽策略</t>
    <phoneticPr fontId="1" type="noConversion"/>
  </si>
  <si>
    <t>容量=通道,带宽策略</t>
    <phoneticPr fontId="1" type="noConversion"/>
  </si>
  <si>
    <t>1、选取任意物理口或者聚合口，并配置业务
2、在接口上配置接口带宽并配置带宽策略，引用带宽通过配置保障带宽和最大带框。同时配置${策略}将带宽策略中部分流进行丢弃。
3、在接口双向发送匹配带宽策略且大于最大带宽的流量（不包含被${策略}丢弃的流），同时发送大于pir的被${策略}丢弃的流，观察流量。【check1】
4、从其他接口向带宽策略出接口发送线速的背景流量。观察流量【check2】
5、从其他接口向带宽策略入接口发送线速的背景流量。观察流量【check2】</t>
    <phoneticPr fontId="1" type="noConversion"/>
  </si>
  <si>
    <t>1、选取任意物理口或者聚合口，并配置业务
2、在接口上配置接口带宽并配置带宽策略，引用带宽通过配置保障带宽和最大带宽。再配置接口带宽
3、在接口双向发送匹配带宽策略且大于最大带宽的流量，观察流量。【check1】
4、从其他接口向带宽策略出接口发送线速的背景流量。观察流量【check2】
5、从其他接口向带宽策略入接口发送线速的背景流量。观察流量【check2】</t>
    <phoneticPr fontId="1" type="noConversion"/>
  </si>
  <si>
    <t>1、选取任意物理口或者聚合口，并配置业务
2、配置接口带宽后，再接口上配置接口带宽并配置带宽策略，引用带宽通过配置保障带宽和最大带宽
3、在接口双向发送匹配带宽策略且大于最大带宽的流量，观察流量。【check1】
4、从其他接口向带宽策略出接口发送线速的背景流量。观察流量【check2】
5、从其他接口向带宽策略入接口发送线速的背景流量。观察流量【check2】</t>
    <phoneticPr fontId="1" type="noConversion"/>
  </si>
  <si>
    <t>调整方式=策略最前,指定ID之前,指定ID之后,策略最后</t>
    <phoneticPr fontId="1" type="noConversion"/>
  </si>
  <si>
    <t>1、网元上配置超过10个带宽通道，通道的上下行最大带宽都不相同
2、在port1和port2上配置超过10条带宽策略，引用步骤1中配置的${调整方式}，他参数均为any，引用Qos通道的上下行限制最大带宽。
3、在Port1和Port2之间双向发送五元组变化的流量，流量大于通道的最大带宽，观察流量。【check1】
4、不停止流量修改带宽策略，使其不再匹配该流量，观察流量。【check2】</t>
    <phoneticPr fontId="1" type="noConversion"/>
  </si>
  <si>
    <t>流量策略</t>
  </si>
  <si>
    <t>【check1】上行流量按照通道上行最大带宽通过，下行流量按照下行流量的最大带宽通过。
【check2】流量不受影响带宽通道的最大带宽限制。</t>
  </si>
  <si>
    <t>Qos.match.1pnc.indff.ptc0</t>
  </si>
  <si>
    <t>1、在网元上选取任意两个以上的接口（记为port1，port2，port3）配置二层转发或者路由转发
2、在Port1（入接口）和Port2（出接口）上配置带宽策略，带宽策略匹配源地址和目的地址其他参数均为any，引用Qos通道的上下行限制最大带宽。
3、在Port1和Port2之间双向发送同时匹配源地址和目的地址，流量大于通道的最大带宽，观察流量。【check1】
4、在Port3与Port1之间双向发送大于通道最大带宽的流量。【check2】
5、在Port1与Port2之间双向发送仅匹配源地址不匹配目的地址的流量，流量大于通道最大带宽的流量。【check2】
6、在Port1与Port2之间双向发送仅匹配目的地址不匹配源地址的流量，流量大于通道最大带宽的流量。【check2】</t>
  </si>
  <si>
    <t>Qos.match.1pnc.indff.ptc1</t>
  </si>
  <si>
    <t>Qos.match.1pnc.outdff.ptc0</t>
  </si>
  <si>
    <t>验证单条带宽策略不同出口同时匹配源地址和服务组功能</t>
  </si>
  <si>
    <t>Qos.match.1pnc.outdff.ptc1</t>
  </si>
  <si>
    <t>1、在网元上选取任意两个以上的接口（记为port1，port2，port3）配置二层转发或者路由转发
2、在Port1（入接口）和Port2（出接口）上配置带宽策略，带宽策略匹配源地址和服务组其他参数均为any，引用Qos通道的上下行限制最大带宽。
3、在Port1和Port2之间双向发送同时匹配源地址和服务组，流量大于通道的最大带宽，观察流量。【check1】
4、在Port3与Port2之间双向发送大于通道最大带宽的流量。【check2】
5、在Port1与Port2之间双向发送仅匹配源地址不匹配服务组的流量，流量大于通道最大带宽的流量。【check2】
6、在Port1与Port2之间双向发送仅匹配服务组不匹配源地址的流量，流量大于通道最大带宽的流量。【check2】</t>
  </si>
  <si>
    <t>验证单条带宽策略单臂路由同时匹配源地址组和服务功能</t>
  </si>
  <si>
    <t>Qos.match.1pnc.inout.ptc0</t>
  </si>
  <si>
    <t>1、在网元上选取任意两个以上的接口（记为port1，port2）配置Port1形成单臂路由转发，Port1和Port2之间形成路由转发
2、在Port1（出入接口相同）上配置带宽策略，带宽策略匹配源地址组和服务其他参数均为any，引用Qos通道的上下行限制最大带宽。
3、在Port1的单臂路由上双向发送同时匹配源地址组和服务，流量大于通道的最大带宽，观察流量。【check1】
4、在Port2与Port1之间双向发送大于通道最大带宽的流量。【check2】
5、在Port1单臂路由上双向发送仅匹配源地址组不匹配服务的流量，流量大于通道最大带宽的流量。【check2】
6、在Port1单臂路由上双向发送仅匹配服务不匹配源地址组的流量，流量大于通道最大带宽的流量。【check2】</t>
  </si>
  <si>
    <t>验证单条带宽策略单臂路由同时匹配目的地址和服务组功能</t>
  </si>
  <si>
    <t>Qos.match.1pnc.inout.ptc1</t>
  </si>
  <si>
    <t>1、在网元上选取任意两个以上的接口（记为port1，port2）配置Port1形成单臂路由转发，Port1和Port2之间形成路由转发
2、在Port1（出入接口相同）上配置带宽策略，带宽策略匹配目的地址和服务组其他参数均为any，引用Qos通道的上下行限制最大带宽。
3、在Port1的单臂路由上双向发送同时匹配目的地址和服务组，流量大于通道的最大带宽，观察流量。【check1】
4、在Port2与Port1之间双向发送大于通道最大带宽的流量。【check2】
5、在Port1单臂路由上双向发送仅匹配目的地址不匹配服务组的流量，流量大于通道最大带宽的流量。【check2】
6、在Port1单臂路由上双向发送仅匹配服务组不匹配目的地址的流量，流量大于通道最大带宽的流量。【check2】</t>
  </si>
  <si>
    <t>验证单条带宽策略不同入口同时匹配源地址、目的地址、服务组和时间对象功能</t>
  </si>
  <si>
    <t>Qos.match.1pnc.all.ptc0</t>
  </si>
  <si>
    <t>1、在网元上选取任意两个以上的接口（记为port1，port2，port3）配置二层转发或者路由转发
2、在Port1（入接口）和Port2（出接口）上配置带宽策略，带宽策略匹配源地址、目的地址、服务组和时间对象，引用Qos通道的上下行限制最大带宽。
3、在Port1和Port2之间双向发送同时所有条件，流量大于通道的最大带宽，观察流量。【check1】
4、在Port1与Port2之间双向发送仅不匹配源地址，其他条件均匹配的流量，流量大于通道最大带宽的流量。【check2】
5、在Port1与Port2之间双向发送仅不匹配目的地址，其他条件均匹配的流量，流量大于通道最大带宽的流量。【check2】
6、在Port1与Port2之间双向发送仅不匹配服务组，其他条件均匹配的流量，流量大于通道最大带宽的流量。【check2】
7、在Port1与Port2之间双向发送仅不匹配时间对象，其他条件均匹配的流量，流量大于通道最大带宽的流量。【check2】</t>
  </si>
  <si>
    <t>验证单条带宽策略不同入口同时匹配源地址组、目的地址组、服务和时间对象功能</t>
  </si>
  <si>
    <t>Qos.match.1pnc.all.ptc1</t>
  </si>
  <si>
    <t>1、在网元上选取任意两个以上的接口（记为port1，port2，port3）配置二层转发或者路由转发
2、在Port1（入接口）和Port2（出接口）上配置带宽策略，带宽策略匹配源地址组、目的地址组、服务和时间对象，引用Qos通道的上下行限制最大带宽。
3、在Port1和Port2之间双向发送同时所有条件，流量大于通道的最大带宽，观察流量。【check1】
4、在Port1与Port2之间双向发送仅不匹配源地址组，其他条件均匹配的流量，流量大于通道最大带宽的流量。【check2】
5、在Port1与Port2之间双向发送仅不匹配目的地址组，其他条件均匹配的流量，流量大于通道最大带宽的流量。【check2】
6、在Port1与Port2之间双向发送仅不匹配服务，其他条件均匹配的流量，流量大于通道最大带宽的流量。【check2】
7、在Port1与Port2之间双向发送仅不匹配时间对象，其他条件均匹配的流量，流量大于通道最大带宽的流量。【check2】</t>
  </si>
  <si>
    <t>Qos.match.np1c.contain.pre.ptc0</t>
  </si>
  <si>
    <t>1、网元正常启动
2、在网元上选取任意两个接口（记为port1，port2）配置二层转发或者路由转发</t>
  </si>
  <si>
    <t>1、在设备上配置两个对象分别为源地址和源地址组别记为C1和C2，C1和C2均为网段，其中C1包含C2。再配置两个带宽通道，上下行最大带宽不相同。
2、在Port1（入接口）和Port2（出接口）上配置两条带宽策略，分别匹配C1和C2，其中匹配C2的优先级高于C1，其他参数均为any，分别引用两个不同的带宽通道。
3、在Port1和Port2之间双向发送同时匹配C1和C2的流量，流量带宽大于两个通道的最大带宽，观察流量。【check1】
4、在Port1和Port2之间双向发送匹配C1但不匹配C2的流量，流量带宽大于两个通道的最大带宽，观察流量。【check2】</t>
  </si>
  <si>
    <t>【check1】上下行流量按照C2引用的带宽通道的限速通过
【check2】上下行流量按照C1引用的带宽通道的限速通过</t>
  </si>
  <si>
    <t>验证多条带宽策略单条件匹配目的地址和目的地址组低优先级策略包含高优先级策略的匹配功能</t>
  </si>
  <si>
    <t>Qos.match.np1c.contain.pre.ptc1</t>
  </si>
  <si>
    <t>1、在设备上配置两个对象分别为目的地址和目的地址组别记为C1和C2，C1和C2一个为网段另一个为范围，其中C1包含C2。再配置两个带宽通道，上下行最大带宽不相同。
2、在Port1（入接口）和Port2（出接口）上配置两条带宽策略，分别匹配C1和C2，其中匹配C2的优先级高于C1，其他参数均为any，分别引用两个不同的带宽通道。
3、在Port1和Port2之间双向发送同时匹配C1和C2的流量，流量带宽大于两个通道的最大带宽，观察流量。【check1】
4、在Port1和Port2之间双向发送匹配C1但不匹配C2的流量，流量带宽大于两个通道的最大带宽，观察流量。【check2】</t>
  </si>
  <si>
    <t>验证多条带宽策略单条件匹配服务和服务组低优先级策略包含高优先级策略的匹配功能</t>
  </si>
  <si>
    <t>Qos.match.np1c.contain.pre.ptc2</t>
  </si>
  <si>
    <t>1、在设备上配置两个对象分别为服务和服务组别记为C1和C2，C1和C2两者均为范围，其中C1包含C2。再配置两个带宽通道，上下行最大带宽不相同。
2、在Port1（入接口）和Port2（出接口）上配置两条带宽策略，分别匹配C1和C2，其中匹配C2的优先级高于C1，其他参数均为any，分别引用两个不同的带宽通道。
3、在Port1和Port2之间双向发送同时匹配C1和C2的流量，流量带宽大于两个通道的最大带宽，观察流量。【check1】
4、在Port1和Port2之间双向发送匹配C1但不匹配C2的流量，流量带宽大于两个通道的最大带宽，观察流量。【check2】</t>
  </si>
  <si>
    <t>验证多条带宽策略单条件匹配源地址或源地址组高优先级策略包含低优先级策略的匹配功能</t>
  </si>
  <si>
    <t>Qos.match.np1c.pre.contain.ptc0</t>
  </si>
  <si>
    <t>1、在设备上配置两个对象分别为源地址或源地址组别记为C1和C2，C1和C2均为网段，其中C1包含C2。再配置两个带宽通道，上下行最大带宽不相同。
2、在Port1（入接口）和Port2（出接口）上配置两条带宽策略，分别匹配C1和C2，其中匹配C1的优先级高于C2，其他参数均为any，分别引用两个不同的带宽通道。
3、在Port1和Port2之间双向发送同时匹配C1和C2的流量，流量带宽大于两个通道的最大带宽，观察流量。【check1】
4、在Port1和Port2之间双向发送匹配C1但不匹配C2的流量，流量带宽大于两个通道的最大带宽，观察流量。【check2】</t>
  </si>
  <si>
    <t>【check1】上下行流量按照C1引用的带宽通道的限速通过</t>
  </si>
  <si>
    <t>验证多条带宽策略单条件匹配目的地址或目的地址组高优先级策略包含低优先级策略的匹配功能</t>
  </si>
  <si>
    <t>Qos.match.np1c.pre.contain.ptc1</t>
  </si>
  <si>
    <t>1、在设备上配置两个对象分别为目的地址或目的地址组别记为C1和C2，C1和C2均为网段，其中C1包含C2。再配置两个带宽通道，上下行最大带宽不相同。
2、在Port1（入接口）和Port2（出接口）上配置两条带宽策略，分别匹配C1和C2，其中匹配C1的优先级高于C2，其他参数均为any，分别引用两个不同的带宽通道。
3、在Port1和Port2之间双向发送同时匹配C1和C2的流量，流量带宽大于两个通道的最大带宽，观察流量。【check1】
4、在Port1和Port2之间双向发送匹配C1但不匹配C2的流量，流量带宽大于两个通道的最大带宽，观察流量。【check2】</t>
  </si>
  <si>
    <t>验证多条带宽策略单条件匹配服务和服务组高优先级策略包含低优先级策略的匹配功能</t>
  </si>
  <si>
    <t>Qos.match.np1c.pre.contain.ptc2</t>
  </si>
  <si>
    <t>1、在设备上配置两个对象分别为服务和服务组别记为C1和C2，C1和C2均为网段，其中C1包含C2。再配置两个带宽通道，上下行最大带宽不相同。
2、在Port1（入接口）和Port2（出接口）上配置两条带宽策略，分别匹配C1和C2，其中匹配C1的优先级高于C2，其他参数均为any，分别引用两个不同的带宽通道。
3、在Port1和Port2之间双向发送同时匹配C1和C2的流量，流量带宽大于两个通道的最大带宽，观察流量。【check1】
4、在Port1和Port2之间双向发送匹配C1但不匹配C2的流量，流量带宽大于两个通道的最大带宽，观察流量。【check2】</t>
  </si>
  <si>
    <t>验证多条带宽策略单条件匹配源地址和源地址组存在交叉关系的匹配功能</t>
  </si>
  <si>
    <t>Qos.match.np1c.cross.ptc0</t>
  </si>
  <si>
    <t>1、在设备上配置两个对象分别为源地址和源地址组别记为C1和C2，C1和C2均为网段，其中C1包含C2。再配置两个带宽通道，上下行最大带宽不相同。
2、在Port1（入接口）和Port2（出接口）上配置两条带宽策略，分别匹配C1和C2，其中匹配C1的优先级高于C2，其他参数均为any，分别引用两个不同的带宽通道。
3、在Port1和Port2之间双向发送同时匹配C1和C2的流量，流量带宽大于两个通道的最大带宽，观察流量。【check1】
4、在Port1和Port2之间双向发送匹配C1但不匹配C2的流量，流量带宽大于两个通道的最大带宽，观察流量。【check1】
5、在Port1和Port2之间双向发送匹配C2但不匹配C1的流量，流量带宽大于两个通道的最大带宽，观察流量。【check2】</t>
  </si>
  <si>
    <t>【check1】上下行流量按照C1引用的带宽通道的限速通过
【check2】上下行流量按照C2引用的带宽通道的限速通过</t>
  </si>
  <si>
    <t>验证多条带宽策略单条件匹配目的地址和目的地址组存在交叉关系的匹配功能</t>
  </si>
  <si>
    <t>Qos.match.np1c.cross.ptc1</t>
  </si>
  <si>
    <t>1、在设备上配置两个对象分别为目的地址和目的地址组别记为C1和C2，C1和C2均为网段，其中C1包含C2。再配置两个带宽通道，上下行最大带宽不相同。
2、在Port1（入接口）和Port2（出接口）上配置两条带宽策略，分别匹配C1和C2，其中匹配C1的优先级高于C2，其他参数均为any，分别引用两个不同的带宽通道。
3、在Port1和Port2之间双向发送同时匹配C1和C2的流量，流量带宽大于两个通道的最大带宽，观察流量。【check1】
4、在Port1和Port2之间双向发送匹配C1但不匹配C2的流量，流量带宽大于两个通道的最大带宽，观察流量。【check1】
5、在Port1和Port2之间双向发送匹配C2但不匹配C1的流量，流量带宽大于两个通道的最大带宽，观察流量。【check2】</t>
  </si>
  <si>
    <t>验证多条带宽策略单条件匹配服务和服务组存在交叉关系的匹配功能</t>
  </si>
  <si>
    <t>Qos.match.np1c.cross.ptc2</t>
  </si>
  <si>
    <t>1、在设备上配置两个对象分别为服务和服务组别记为C1和C2，C1和C2均为网段，其中C1包含C2。再配置两个带宽通道，上下行最大带宽不相同。
2、在Port1（入接口）和Port2（出接口）上配置两条带宽策略，分别匹配C1和C2，其中匹配C1的优先级高于C2，其他参数均为any，分别引用两个不同的带宽通道。
3、在Port1和Port2之间双向发送同时匹配C1和C2的流量，流量带宽大于两个通道的最大带宽，观察流量。【check1】
4、在Port1和Port2之间双向发送匹配C1但不匹配C2的流量，流量带宽大于两个通道的最大带宽，观察流量。【check1】
5、在Port1和Port2之间双向发送匹配C2但不匹配C1的流量，流量带宽大于两个通道的最大带宽，观察流量。【check2】</t>
  </si>
  <si>
    <t>验证多条带宽策略单条件匹配相同的源地址或源地址组的处理能力</t>
  </si>
  <si>
    <t>Qos.match.np1c.conflict.0</t>
  </si>
  <si>
    <t>1、在设备上配置对象为源地址或源地址组别记为C1。再配置两个带宽通道，上下行最大带宽不相同。
2、在Port1（入接口）和Port2（出接口）上配置两条带宽策略都匹配对象C1（记为P1和P2），其他参数均为any，分别引用两个不同的带宽通道，其中P1的优先级高于P2。
3、在Port1和Port2之间双向发送同时匹配C1流量，流量带宽大于两个通道的最大带宽，观察流量。【check1】
4、不停止流量，调整P1和P2的优先级使P2的优先级高于P1，观察流量。【check2】</t>
  </si>
  <si>
    <t>【check1】上下行流量按照P1引用的带宽通道的限速通过
【check2】上下行流量按照P2引用的带宽通道的限速通过</t>
  </si>
  <si>
    <t>验证多条带宽策略单条件匹配相同的目的地址或目的地址组的处理能力</t>
  </si>
  <si>
    <t>Qos.match.np1c.conflict.1</t>
  </si>
  <si>
    <t>1、在设备上配置对象为目的地址或目的地址组别记为C1。再配置两个带宽通道，上下行最大带宽不相同。
2、在Port1（入接口）和Port2（出接口）上配置两条带宽策略都匹配对象C1（记为P1和P2），其他参数均为any，分别引用两个不同的带宽通道，其中P1的优先级高于P2。
3、在Port1和Port2之间双向发送同时匹配C1流量，流量带宽大于两个通道的最大带宽，观察流量。【check1】
4、不停止流量，调整P1和P2的优先级使P2的优先级高于P1，观察流量。【check2】</t>
  </si>
  <si>
    <t>验证多条带宽策略单条件匹配相同的服务或服务组的处理能力</t>
  </si>
  <si>
    <t>Qos.match.np1c.conflict.2</t>
  </si>
  <si>
    <t>1、在设备上配置对象为服务或服务组别记为C1。再配置两个带宽通道，上下行最大带宽不相同。
2、在Port1（入接口）和Port2（出接口）上配置两条带宽策略都匹配对象C1（记为P1和P2），其他参数均为any，分别引用两个不同的带宽通道，其中P1的优先级高于P2。
3、在Port1和Port2之间双向发送同时匹配C1流量，流量带宽大于两个通道的最大带宽，观察流量。【check1】
4、不停止流量，调整P1和P2的优先级使P2的优先级高于P1，观察流量。【check2】</t>
  </si>
  <si>
    <t>验证多条带宽策略单条件各自匹配所有条件的匹配功能</t>
  </si>
  <si>
    <t>Qos.match.np1c.none.ptc0</t>
  </si>
  <si>
    <t>1、在设备上配置分别配置多个源地址或源地址组、目的地址或目的地址组、服务或服务组。这些对象均不存在包含或者交叉关系，再配置多个带宽通道，上下行最大带宽均不相同。
2、配置6条以上带宽策略（每种对象类型至少两条）分别引用不同的带宽通道
3、在Port1和Port2之间同时发送6条仅匹配一个条件的流量，观察流量通过情况。【check1】</t>
  </si>
  <si>
    <t>【check1】上下行流量均按照各自引用通道的最大带宽通过</t>
  </si>
  <si>
    <t>验证多条带宽策略同时匹配多个条件存在包含关系时的匹配功能</t>
  </si>
  <si>
    <t>Qos.match.npnc.contain.ptc0</t>
  </si>
  <si>
    <t xml:space="preserve">1、在设备上配置两个同时存在范围和网段的源地址或者原地组其中C1包含C2，一个网段类型和一个范围类型的目的地址或者目的地址组对象C3包含C4，两个服务或者服务组对象其中C5包含C6。再配置两个带宽通道，上下行最大带宽不相同。
2、在Port1（入接口）和Port2（出接口）上配置两条带宽策略，其中策略P1匹配C1C3C5，另外一跳策略P2匹配C2C4C6，其中匹配P2的优先级高于P1，其他参数均为any，分别引用两个不同的带宽通道。
3、在Port1和Port2之间双向发送匹配P1但不匹配P2的流量，流量带宽大于两个通道的最大带宽，观察流量。【check1】
4、在Port1和Port2之间双向发送同时匹配P1和P2的流量，流量带宽大于两个通道的最大带宽，观察流量。【check2】
5、不停止流量调整P1的优先级高于P2，观察流量。【check1】
</t>
  </si>
  <si>
    <t>验证多条带宽策略同时匹配多个条件存在交叉关系时的匹配功能</t>
  </si>
  <si>
    <t>Qos.match.npnc.cross.ptc0</t>
  </si>
  <si>
    <t>1、在设备上配置两个源地址或者原地组对象C1和C2存在交叉关系，两个目的地址或者目的地址组对象C3和C4存在交叉关系，两个服务或者服务组对象其中C5和C6存在交叉关系。再配置两个带宽通道，上下行最大带宽不相同。
2、在Port1（入接口）和Port2（出接口）上配置两条带宽策略，其中策略P1匹配C1C3C5，另外一跳策略P2匹配C2C4C6，其中匹配P2的优先级高于P1，其他参数均为any，分别引用两个不同的带宽通道。
3、在Port1和Port2之间双向发送匹配P1但不匹配P2的流量，流量带宽大于两个通道的最大带宽，观察流量。【check1】
4、在Port1和Port2之间双向发送匹配P2不匹配P1的流量，流量带宽大于两个通道的最大带宽，观察流量。【check2】
5、在Port1和Port2之间双向发送同时匹配P1和P2的流量，流量带宽大于两个通道的最大带宽，观察流量。【check2】
6、不停止流量调整P1的优先级高于P2，观察流量。【check1】</t>
  </si>
  <si>
    <t>Qos.match.object.put.0</t>
  </si>
  <si>
    <t>Qos.match.object.put.1</t>
  </si>
  <si>
    <t>Qos.match.object.put.2</t>
  </si>
  <si>
    <t>Qos.match.object.put.3</t>
  </si>
  <si>
    <t>Qos.match.object.put.4</t>
  </si>
  <si>
    <t>Qos.match.object.put.5</t>
  </si>
  <si>
    <t>Qos.match.object.put.6</t>
  </si>
  <si>
    <t>Qos.match.object.put.7</t>
  </si>
  <si>
    <t>Qos.match.time.put.ptc0</t>
  </si>
  <si>
    <t>【check1】上行流量按照通道上行最大带宽通过，下行流量按照下行流量的最大带宽通过。
【check2】带宽策略被禁用，流量不受影响带宽通道的最大带宽限制。</t>
  </si>
  <si>
    <t>Qos.match.intf.put.0</t>
  </si>
  <si>
    <t>1、网元正常启动
2、在网元上选取任意三个接口（记为port1，port2,port3）配置二层转发或者路由转发</t>
  </si>
  <si>
    <t>Qos.match.intf.put.1</t>
  </si>
  <si>
    <t>Qos.match.cap.0</t>
  </si>
  <si>
    <t>1、配置网元二层或者路由转发
2、配置最大数量的通道，并发送流量【check1】
3、删除部分通道，观察流量【check1】【check2】
4、再次配置最大数量的通道，观察流量【check1】【check3】</t>
  </si>
  <si>
    <t>【check1】带宽管理功能正常
【check2】删除成功
【check3】添加成功</t>
  </si>
  <si>
    <t>Qos.match.cap.1</t>
  </si>
  <si>
    <t>1、在网元上创建三个对象其中C1包含C2，C2包含C3。同时配置三条带宽通道，三条带宽通道的最大带宽均不相同。
2、在port1和port2上配置三条带宽策略，分别引用C1,C2和C3。其中带宽策略C1在最前面，C2在中间，C3在最后.
3、在Port1和Port2之间双向发送匹配C3的流量流量，流量大于通道的最大带宽，观察流量。【check1】
4、不停止流量禁用C1策略，观察流量。【check2】
5、不停止流量禁用C2策略，观察流量。【check3】
6、不停止流量禁用C3策略，观察流量。【check4】</t>
  </si>
  <si>
    <t>【check1】上下行流量按照C1引用的带宽通道的最大带宽通过。
【check2】上下行流量按照C2引用的带宽通道的最大带宽通过。
【check3】上下行流量按照C3引用的带宽通道的最大带宽通过。
【check4】流量不受影响带宽通道的最大带宽限制。</t>
  </si>
  <si>
    <t>1、网元上配置超过10个带宽通道，通道的上下行最大带宽都不相同
2、在port1和port2上配置超过10条带宽策略，引用步骤1中配置的策略最前，他参数均为any，引用Qos通道的上下行限制最大带宽。
3、在Port1和Port2之间双向发送五元组变化的流量，流量大于通道的最大带宽，观察流量。【check1】
4、不停止流量修改带宽策略，使其不再匹配该流量，观察流量。【check2】</t>
  </si>
  <si>
    <t>1、网元上配置超过10个带宽通道，通道的上下行最大带宽都不相同
2、在port1和port2上配置超过10条带宽策略，引用步骤1中配置的指定ID之前，他参数均为any，引用Qos通道的上下行限制最大带宽。
3、在Port1和Port2之间双向发送五元组变化的流量，流量大于通道的最大带宽，观察流量。【check1】
4、不停止流量修改带宽策略，使其不再匹配该流量，观察流量。【check2】</t>
  </si>
  <si>
    <t>1、网元上配置超过10个带宽通道，通道的上下行最大带宽都不相同
2、在port1和port2上配置超过10条带宽策略，引用步骤1中配置的指定ID之后，他参数均为any，引用Qos通道的上下行限制最大带宽。
3、在Port1和Port2之间双向发送五元组变化的流量，流量大于通道的最大带宽，观察流量。【check1】
4、不停止流量修改带宽策略，使其不再匹配该流量，观察流量。【check2】</t>
  </si>
  <si>
    <t>1、网元上配置超过10个带宽通道，通道的上下行最大带宽都不相同
2、在port1和port2上配置超过10条带宽策略，引用步骤1中配置的策略最后，他参数均为any，引用Qos通道的上下行限制最大带宽。
3、在Port1和Port2之间双向发送五元组变化的流量，流量大于通道的最大带宽，观察流量。【check1】
4、不停止流量修改带宽策略，使其不再匹配该流量，观察流量。【check2】</t>
  </si>
  <si>
    <t>验证带宽策略冲突策略分析功能</t>
  </si>
  <si>
    <t>ACL.conf.analy.004.0</t>
  </si>
  <si>
    <t>1、在网元上添加多个带宽策略形成冲突策略【check1】
2、打开策略分析开关，其余值为默认值【check2】
3、查看策略分析结果。【check3】</t>
  </si>
  <si>
    <t>【check1】添加成功
【check2】配置成功
【check3】查询结果返回冲突策略与配置的相同</t>
  </si>
  <si>
    <t>验证带宽策略冗余策略分析功能</t>
  </si>
  <si>
    <t>ACL.conf.analy.004.1</t>
  </si>
  <si>
    <t>1、在网元上添加多个带宽策略形成冗余策略【check1】
2、打开策略分析开关，其余值为默认值【check2】
3、查看策略分析结果。【check3】</t>
  </si>
  <si>
    <t>【check1】添加成功
【check2】配置成功
【check3】查询结果返回冗余策略与配置的相同</t>
  </si>
  <si>
    <t>验证带宽策略隐藏策略分析功能</t>
  </si>
  <si>
    <t>ACL.conf.analy.004.2</t>
  </si>
  <si>
    <t>1、在网元上添加多个带宽策略形成隐藏策略【check1】
2、打开策略分析开关，其余值为默认值【check2】
3、查看策略分析结果。【check3】</t>
  </si>
  <si>
    <t>【check1】添加成功
【check2】配置成功
【check3】查询结果返回隐藏策略与配置的相同</t>
  </si>
  <si>
    <t>验证带宽策略可合并策略分析功能</t>
  </si>
  <si>
    <t>ACL.conf.analy.004.3</t>
  </si>
  <si>
    <t>1、在网元上添加多个带宽策略形成可合并策略【check1】
2、打开策略分析开关，其余值为默认值【check2】
3、查看策略分析结果。【check3】</t>
  </si>
  <si>
    <t>【check1】添加成功
【check2】配置成功
【check3】查询结果返回可合并策略与配置的相同</t>
  </si>
  <si>
    <t>验证带宽策略空策略分析功能</t>
  </si>
  <si>
    <t>ACL.conf.analy.004.4</t>
  </si>
  <si>
    <t>1、在网元上添加多个带宽策略形成空策略【check1】
2、打开策略分析开关，其余值为默认值【check2】
3、查看策略分析结果。【check3】</t>
  </si>
  <si>
    <t>【check1】添加成功
【check2】配置成功
【check3】查询结果返回空策略与配置的相同</t>
  </si>
  <si>
    <t>验证带宽策略过期策略分析功能</t>
  </si>
  <si>
    <t>ACL.conf.analy.004.5</t>
  </si>
  <si>
    <t>1、在网元上添加多个带宽策略形成过期策略【check1】
2、打开策略分析开关，其余值为默认值【check2】
3、查看策略分析结果。【check3】</t>
  </si>
  <si>
    <t>【check1】添加成功
【check2】配置成功
【check3】查询结果返回过期策略与配置的相同</t>
  </si>
  <si>
    <t>验证带宽策略忽略策略分析功能</t>
  </si>
  <si>
    <t>ACL.conf.analy.004.6</t>
  </si>
  <si>
    <t>1、在网元上添加多个带宽策略形成忽略策略【check1】
2、打开策略分析开关，其余值为默认值【check2】
3、查看策略分析结果。【check3】</t>
  </si>
  <si>
    <t>【check1】添加成功
【check2】配置成功
【check3】查询结果返回忽略策略与配置的相同</t>
  </si>
  <si>
    <t>验证带宽策略禁用策略分析功能</t>
  </si>
  <si>
    <t>ACL.conf.analy.004.7</t>
  </si>
  <si>
    <t>1、在网元上添加多个带宽策略形成禁用策略【check1】
2、打开策略分析开关，其余值为默认值【check2】
3、查看策略分析结果。【check3】</t>
  </si>
  <si>
    <t>【check1】添加成功
【check2】配置成功
【check3】查询结果返回禁用策略与配置的相同</t>
  </si>
  <si>
    <t>验证带宽策略未命中策略分析功能</t>
  </si>
  <si>
    <t>ACL.conf.analy.004.8</t>
  </si>
  <si>
    <t>1、在网元上添加多个带宽策略形成未命中策略【check1】
2、打开策略分析开关，其余值为默认值【check2】
3、查看策略分析结果。【check3】</t>
  </si>
  <si>
    <t>【check1】添加成功
【check2】配置成功
【check3】查询结果返回未命中策略与配置的相同</t>
  </si>
  <si>
    <t>流量限制</t>
  </si>
  <si>
    <t>1、网元正常启动
2、在网元上选取任意三个接口（记为port1，port2，port3）配置二层转发或者路由转发</t>
  </si>
  <si>
    <t>【check1】该流通过的流量大于等于带宽策略引用通道的保障带宽。
【check2】从Port1到Port2的流量不再被保障</t>
  </si>
  <si>
    <t>1、网元正常启动
2、在网元上选取任意三个接口（记为port1，port2）配置二层转发或者路由转发，其中Port1存在一跳单臂转发的路由</t>
  </si>
  <si>
    <t>【check1】该流通过的流量大于等于带宽策略引用通道的保障带宽。
【check2】Port1上单臂转发的流量不再被保障</t>
  </si>
  <si>
    <t>验证共享通道不同接口间入接口到出接口方向带宽保障功能</t>
  </si>
  <si>
    <t>Qos.cir.share.forward.intfs.ptc0</t>
  </si>
  <si>
    <t>1、在port1（入）和port2（出）上配置至少三条带宽策略，匹配任意参数，三条策略都引用同一共享带宽通道，带宽通道的保障带宽大于接口带宽的50%。
2、从Port3向Port2发送线速带宽的背景流量。
3、从Port1向Port2发送至少三条流，流量之和为接口线速，流量正向匹配带宽策略，观察流量通过情况。【check1】
4、不停止流量，禁用带宽策略，观察流量。【check2】</t>
  </si>
  <si>
    <t>【check1】这些流量之和大于等于带宽策略引用通道的保障带宽。
【check2】从Port1到Port2的流量不再被保障</t>
  </si>
  <si>
    <t>验证共享通道单臂路由入接口到出接口方向带宽保障功能</t>
  </si>
  <si>
    <t>Qos.cir.share.forward.intf.ptc0</t>
  </si>
  <si>
    <t>1、在port1（出入接口均为Port1）上至少配置3条带宽策略，匹配任意参数，三条策略都引用同一共享带宽通道，带宽通道的保障带宽大于接口带宽的50%。
2、从Port2向Port1发送线速带宽的背景流量。
3、向Port1发送至少三条流量，流量之和为接口线速并形成单臂转发，流量正向匹配带宽策略，观察流量通过情况。【check1】
4、不停止流量，禁用带宽策略，观察流量。【check2】</t>
  </si>
  <si>
    <t>【check1】这些流量之和大于等于带宽策略引用通道的保障带宽。
【check2】Port1上单臂转发的流量不再被保障</t>
  </si>
  <si>
    <t>验证共享通道不同接口间出接口到入接口方向带宽保障功能</t>
  </si>
  <si>
    <t>Qos.cir.share.reverse.intfs.ptc0</t>
  </si>
  <si>
    <t>验证共享通道单臂路由出接口到入接口方向带宽保障功能</t>
  </si>
  <si>
    <t>Qos.cir.share.reverse.intf.ptc0</t>
  </si>
  <si>
    <t>1、在port1（出入接口均为Port1）上至少配置3条带宽策略，匹配任意参数，三条策略都引用同一共享带宽通道，带宽通道的保障带宽大于接口带宽的50%。
2、从Port2向Port1发送线速带宽的背景流量。
3、向Port1发送至少三条流量，流量之和为接口线速并形成单臂转发，流量反向匹配带宽策略，观察流量通过情况。【check2】
4、不停止流量，在Port1发送正向匹配带宽策略的流量，形成单臂转发。观察流量。【check1】
5、不停止流量，禁用带宽策略，观察流量。【check2】</t>
  </si>
  <si>
    <t>验证共享通道可以匹配多个接口功能</t>
  </si>
  <si>
    <t>Qos.cir.share.intfs.ptc0</t>
  </si>
  <si>
    <t>1、网元正常启动
2、在网元上选取任意四个接口（记为port1，port2，port3，port4）配置二层转发或者路由转发</t>
  </si>
  <si>
    <t>1、在设备上配置共享通道chl1，并配置通道保障带宽
2、在port1（入）和port2（出）上配置带宽策略P1，匹配任意参数，引用chl1。在port2（入）和port2（出）上配置带宽策略P2，匹配任意参数，引用chl1。在port1（入）和port3（出）上配置带宽策略P3，匹配任意参数，引用chl1。
3、从Port4（10GE口或者多个GE口）向Port2和Port1发送线速带宽的背景流量占满Port1和Port2的出口带宽。
4、从Port1向Port2之间双向满流量发送匹配P1和P2的流量，Port1和Port3之间双向满流量发送匹配P3的流量，观察流量通过情况。【check1】
5、不停止流量，禁用带宽策略，观察流量。【check2】</t>
  </si>
  <si>
    <t>【check1】所有流量之和大于等于通道chl1的保障带宽。
【check2】所有流量不再有带宽保障</t>
  </si>
  <si>
    <t>验证不同接口业务共享通道和独占通道共存时的保障带宽</t>
  </si>
  <si>
    <t>Qos.cir.share.sole.intfs.ptc0</t>
  </si>
  <si>
    <t>1、网元正常启动
2、在网元上选取任意三个接口（记为port1，port2，port3）配置二层转发或者路由转发
3、在设备上配置2条共享带宽，两条独占带宽</t>
  </si>
  <si>
    <t>1、配置一条带宽策略P1，入接口为Port1出接口为Port2，匹配任意参数，引用独占通道chl1。配置一条带宽策略P2，入接口为Port2出接口为Port1，匹配任意参数，引用独占通道chl2。
2、配置两条带宽策略P3和P4，入接口为Port1出接口为Port2，匹配任意参数，引用相同的共享通道chl3。配置两条带宽策略P5和P6，入接口为Port2出接口为Port1，匹配任意参数，引用相同的共享通道chl4。
3、在Port3（10GE接口或者多个接口）与Port1与Port2之间发送背景流量，占满Port1和Port2的出口带宽
4、在Port1和Port2之间双向发送匹配P1、P2、P3、P4、P5、P6的流量。流量之和为接口线速，观察流量通过情况。【check1】【check2】【check3】
5、不停止流量，禁用带宽策略，观察流量。【check4】</t>
  </si>
  <si>
    <t>【check1】匹配P1和P2的上下行流量大于等于各自引用通道的保障带宽
【check2】P3和P4的上下行流量之和大于等于chl3的上下行保障带宽
【check3】P5和P6的上下行流量之和大于等于chl4的上下行保障带宽
【check4】所有流量的随机丢弃不再有保障带宽</t>
  </si>
  <si>
    <t>验证单臂路由共享通道和独占通道共存时的保障带宽</t>
  </si>
  <si>
    <t>Qos.cir.share.sole.intf.ptc0</t>
  </si>
  <si>
    <t>1、配置一条带宽策略P1和P2，出入接口为Port1，匹配任意参数，分别引用独占通道chl1和chl2。
2、配置两条带宽策略P3和P4，出入接口为Port1，匹配任意参数，引用相同的共享通道chl3。配置两条带宽策略P5和P6，出入接口为Port1，匹配任意参数，引用相同的共享通道chl4。
3、在Port2与Port1之间发送背景流量，占满Port1的出口带宽
4、在Port1上双向发送匹配P1、P2、P3、P4、P5、P6的流量形成单臂转发。流量之和为接口线速，观察流量通过情况。【check1】【check2】【check3】
5、不停止流量，禁用带宽策略，观察流量。【check4】</t>
  </si>
  <si>
    <t>验证带宽策略定时启停带宽保障功能</t>
  </si>
  <si>
    <t>Qos.cir.timer.ptc0</t>
  </si>
  <si>
    <t>1、选取任意接口配置带宽策略，匹配时间对象，其他参数任意，并引用共享通道或者独占通道，在通道上配置保障带宽
2、发送背景流量，背景流量占满接口出口带宽
3、在带宽策略引用的两个接口之间双向发送匹配带宽策略的流量。在时间对象生效区间内观察带宽策略和流量。【check1】
4、等待时间对象过期后，观察带宽策略和流量。【check2】</t>
  </si>
  <si>
    <t>【check1】带宽策略为启用，通过的流量大于等于通道的保障带宽
【check2】带宽策略为禁用，匹配的带宽策略的流量与背景流量公平竞争带宽</t>
  </si>
  <si>
    <t>验证带宽策略入接口到出接口阈值启停带宽保障带宽功能</t>
  </si>
  <si>
    <t>Qos.cir.pir.threshold.up.ptc0</t>
  </si>
  <si>
    <t>1、网元正常启动
2、选取任意三个接口port1，port2，port3</t>
  </si>
  <si>
    <t>【check1】流量全部通过
【check2】匹配P1的流量通过大于等于cir1小于等于pir1
【check3】匹配P2和P3的流量之和大于等于cir2小于等于pir2</t>
  </si>
  <si>
    <t>验证带宽策略出接口到入接口阈值启停带宽保障带宽功能</t>
  </si>
  <si>
    <t>Qos.cir.pir.threshold.down.ptc0</t>
  </si>
  <si>
    <t>1、在port1（入）和port2（出）之间配置带宽策略P1，匹配参数任意，并引用独占通道，在通道上配置保障带宽保障带宽为cir1，最大带宽为pir1
2、在port1（入）和port2（出）之间配置两条带宽策略P2和P3，匹配参数任意，并引用共享通道，在通道上配置保障带宽保障带宽为cir2，最大带宽为pir2
3、配置port1的接口带宽，空闲阈值为80%，繁忙阈值为90%。cir1+cir2&gt;接口带宽的70%，pir1+pir2&lt;接口带宽的75%
4、在port1和port2之间发送匹配p1的流量流量略高于pir1，发送匹配P2和P3的流量，流量之和略高于pir2。三条流量之和小于接口带宽的80%。观察流量。【check1】
5、从port3向port1发送线速的背景流量。观察流量通过情况【check2】
6、停止背景流量，观察流量。【check1】</t>
  </si>
  <si>
    <t>验证带宽策略入接口到出接口保障带宽和最大带宽混合使用功能</t>
  </si>
  <si>
    <t>Qos.cir.pir.mix.up.ptc0</t>
  </si>
  <si>
    <t>1、在port1（入）和port2（出）之间配置两条带宽策略P1和P2，匹配参数任意，并引用独占通道，在通道上配置保障带宽保障带宽分别为cir1,Cir2，最大带宽分别为pir1,pir2
2、在port1（入）和port2（出）之间配置四条带宽策略P3、P4、P5、P6，匹配参数任意，P3和P4并引用一个共享通道，P5和P6引用另外一个共享带宽通道，两个通道的保障带宽保障带宽分别为cir3,cir4，最大带宽分别为pir3，pir4。（其中pir1+pir2+pir3+pir4&lt;接口带宽）
3、在port1和port2之间双向同时发送，匹配P1的流量流量高于pir1。匹配P2的流量流量介于cir2和pir2。匹配P3和P4的流量，流量之和高于pir3。匹配P5和P6的流量，流量之和介于cir4和pir4之间。观察流量。【check1】【check2】
4、从Port3向Port2发现接口线速的背景流量，观察流量。【check3】
5、不停止流量，配置port2接口带宽=cir1+cir2+cir3+cir4，观察流量通过情况。【check4】</t>
  </si>
  <si>
    <t>【check1】匹配P1的流量按照pir1通过。匹配P3和P4的流量之和按照pir3
【check2】匹配P2的流量按照发送的流量通过。匹配P5和P6的流量之和按照发送的流量通过
【check3】所有通道的流量都按照cir到pir之间的带宽通过
【check4】所有通道的流量都按照cir通过</t>
  </si>
  <si>
    <t>验证带宽策略出接口到入接口保障带宽和最大带宽混合使用功能</t>
  </si>
  <si>
    <t>Qos.cir.pir.mix.down.ptc0</t>
  </si>
  <si>
    <t>1、在port1（入）和port2（出）之间配置两条带宽策略P1和P2，匹配参数任意，并引用独占通道，在通道上配置保障带宽保障带宽分别为cir1,Cir2，最大带宽分别为pir1,pir2
2、在port1（入）和port2（出）之间配置四条带宽策略P3、P4、P5、P6，匹配参数任意，P3和P4并引用一个共享通道，P5和P6引用另外一个共享带宽通道，两个通道的保障带宽保障带宽分别为cir3,cir4，最大带宽分别为pir3，pir4。（其中pir1+pir2+pir3+pir4&lt;接口带宽）
3、在port1和port2之间双向同时发送，匹配P1的流量流量高于pir1。匹配P2的流量流量介于cir2和pir2。匹配P3和P4的流量，流量之和高于pir3。匹配P5和P6的流量，流量之和介于cir4和pir4之间。观察流量。【check1】【check2】
4、从Port3向Port1发现接口线速的背景流量，观察流量。【check3】
5、不停止流量，配置port1接口带宽=cir1+cir2+cir3+cir4，观察流量通过情况。【check4】</t>
  </si>
  <si>
    <t>验证接口工作在路由时的保障带宽和最大带宽限制功能</t>
  </si>
  <si>
    <t>Qos.cir.pir.intfMode.0</t>
  </si>
  <si>
    <t>1、选取任意物理口或者聚合口，配置接口工作在路由，并配置业务
2、在接口上配置接口带宽并配置带宽策略，引用带宽通过配置保障带宽和最大带宽
3、在接口双向发送匹配带宽策略且大于最大带宽的流量，观察流量。【check1】
4、从其他接口向带宽策略出接口发送线速的背景流量。观察流量【check2】
5、从其他接口向带宽策略入接口发送线速的背景流量。观察流量【check2】</t>
  </si>
  <si>
    <t>【check1】上下行流量按照带宽通道的最大带宽通过
【check2】上行通过流量大于等保障带宽
【check3】下行通过流量大于等保障带宽</t>
  </si>
  <si>
    <t>验证接口工作在路由PPPoE时的保障带宽和最大带宽限制功能</t>
  </si>
  <si>
    <t>Qos.cir.pir.intfMode.1</t>
  </si>
  <si>
    <t>1、选取任意物理口或者聚合口，配置接口工作在路由PPPoE，并配置业务
2、在接口上配置接口带宽并配置带宽策略，引用带宽通过配置保障带宽和最大带宽
3、在接口双向发送匹配带宽策略且大于最大带宽的流量，观察流量。【check1】
4、从其他接口向带宽策略出接口发送线速的背景流量。观察流量【check2】
5、从其他接口向带宽策略入接口发送线速的背景流量。观察流量【check2】</t>
  </si>
  <si>
    <t>验证接口工作在交换时的保障带宽和最大带宽限制功能</t>
  </si>
  <si>
    <t>Qos.cir.pir.intfMode.2</t>
  </si>
  <si>
    <t>1、选取任意物理口或者聚合口，配置接口工作在交换，并配置业务
2、在接口上配置接口带宽并配置带宽策略，引用带宽通过配置保障带宽和最大带宽
3、在接口双向发送匹配带宽策略且大于最大带宽的流量，观察流量。【check1】
4、从其他接口向带宽策略出接口发送线速的背景流量。观察流量【check2】
5、从其他接口向带宽策略入接口发送线速的背景流量。观察流量【check2】</t>
  </si>
  <si>
    <t>验证接口工作在接口对时的保障带宽和最大带宽限制功能</t>
  </si>
  <si>
    <t>Qos.cir.pir.intfMode.3</t>
  </si>
  <si>
    <t>1、选取任意物理口或者聚合口，配置接口工作在接口对，并配置业务
2、在接口上配置接口带宽并配置带宽策略，引用带宽通过配置保障带宽和最大带宽
3、在接口双向发送匹配带宽策略且大于最大带宽的流量，观察流量。【check1】
4、从其他接口向带宽策略出接口发送线速的背景流量。观察流量【check2】
5、从其他接口向带宽策略入接口发送线速的背景流量。观察流量【check2】</t>
  </si>
  <si>
    <t>验证物理接口的保障带宽和最大带宽功能</t>
  </si>
  <si>
    <t>Qos.cir.pir.intfType.0</t>
  </si>
  <si>
    <t>1、选取任意物理接口，并配置业务
2、在接口上配置接口带宽并配置带宽策略，引用带宽通过配置保障带宽和最大带宽
3、在接口双向发送匹配带宽策略且大于最大带宽的流量，观察流量。【check1】
4、从其他接口向带宽策略出接口发送线速的背景流量。观察流量【check2】
5、从其他接口向带宽策略入接口发送线速的背景流量。观察流量【check2】</t>
  </si>
  <si>
    <t>验证聚合接口的保障带宽和最大带宽功能</t>
  </si>
  <si>
    <t>Qos.cir.pir.intfType.1</t>
  </si>
  <si>
    <t>1、选取任意聚合接口，并配置业务
2、在接口上配置接口带宽并配置带宽策略，引用带宽通过配置保障带宽和最大带宽
3、在接口双向发送匹配带宽策略且大于最大带宽的流量，观察流量。【check1】
4、从其他接口向带宽策略出接口发送线速的背景流量。观察流量【check2】
5、从其他接口向带宽策略入接口发送线速的背景流量。观察流量【check2】</t>
  </si>
  <si>
    <t>验证黑名单丢弃的报文不计算接口带宽</t>
  </si>
  <si>
    <t>Qos.cir.pir.drop.0</t>
  </si>
  <si>
    <t>1、选取任意物理口或者聚合口，并配置业务
2、在接口上配置接口带宽并配置带宽策略，引用带宽通过配置保障带宽和最大带框。同时配置黑名单将带宽策略中部分流进行丢弃。
3、在接口双向发送匹配带宽策略且大于最大带宽的流量（不包含被黑名单丢弃的流），同时发送大于pir的被黑名单丢弃的流，观察流量。【check1】
4、从其他接口向带宽策略出接口发送线速的背景流量。观察流量【check2】
5、从其他接口向带宽策略入接口发送线速的背景流量。观察流量【check2】</t>
  </si>
  <si>
    <t>验证安全策略丢弃的报文不计算接口带宽</t>
  </si>
  <si>
    <t>Qos.cir.pir.drop.1</t>
  </si>
  <si>
    <t>1、选取任意物理口或者聚合口，并配置业务
2、在接口上配置接口带宽并配置带宽策略，引用带宽通过配置保障带宽和最大带框。同时配置安全策略将带宽策略中部分流进行丢弃。
3、在接口双向发送匹配带宽策略且大于最大带宽的流量（不包含被安全策略丢弃的流），同时发送大于pir的被安全策略丢弃的流，观察流量。【check1】
4、从其他接口向带宽策略出接口发送线速的背景流量。观察流量【check2】
5、从其他接口向带宽策略入接口发送线速的背景流量。观察流量【check2】</t>
  </si>
  <si>
    <t>验证配置带宽策略后再配置接口带宽后保障带宽和带宽限制功能</t>
  </si>
  <si>
    <t>Qos.cir.pir.order1.ptc0</t>
  </si>
  <si>
    <t>1、选取任意物理口或者聚合口，并配置业务
2、在接口上配置接口带宽并配置带宽策略，引用带宽通过配置保障带宽和最大带宽。再配置接口带宽
3、在接口双向发送匹配带宽策略且大于最大带宽的流量，观察流量。【check1】
4、从其他接口向带宽策略出接口发送线速的背景流量。观察流量【check2】
5、从其他接口向带宽策略入接口发送线速的背景流量。观察流量【check2】</t>
  </si>
  <si>
    <t>验证配置接口带宽后再配置带宽策略后保障带宽和带宽限制功能</t>
  </si>
  <si>
    <t>Qos.cir.pir.order2.ptc0</t>
  </si>
  <si>
    <t>1、选取任意物理口或者聚合口，并配置业务
2、配置接口带宽后，再接口上配置接口带宽并配置带宽策略，引用带宽通过配置保障带宽和最大带宽
3、在接口双向发送匹配带宽策略且大于最大带宽的流量，观察流量。【check1】
4、从其他接口向带宽策略出接口发送线速的背景流量。观察流量【check2】
5、从其他接口向带宽策略入接口发送线速的背景流量。观察流量【check2】</t>
  </si>
  <si>
    <t>验证保障带宽的精度</t>
  </si>
  <si>
    <t>Qos.precision.0</t>
  </si>
  <si>
    <t>1、配置带宽策略和业务
2、验证保障带宽为最小值的精度，观察流量通过情况【check1】
3、验证保障带宽为接口带宽50%的精度，观察流量通过情况【check1】
4、验证保障带宽为接口带宽线速的精度，观察流量通过情况【check1】</t>
  </si>
  <si>
    <t>【check1】误差小于10%</t>
  </si>
  <si>
    <t>验证最大带宽的精度</t>
  </si>
  <si>
    <t>Qos.pir.sole.forward.intfs.ptc0</t>
  </si>
  <si>
    <t>Qos.pir.sole.forward.intf.ptc0</t>
  </si>
  <si>
    <t>Qos.pir.sole.reverse.intfs.ptc0</t>
  </si>
  <si>
    <t>验证独占通道单臂路由出接口到入接口方向带宽限制功能</t>
  </si>
  <si>
    <t>Qos.pir.sole.reverse.intf.ptc0</t>
  </si>
  <si>
    <t>1、在port1（出入接口均为Port1）上配置带宽策略，匹配任意参数，引用Qos独占通道最大带宽小于接口带宽
2、向Port1发送线速带宽的流量形成单臂转发，流量反向匹配带宽策略，观察流量通过情况。【check2】
3、不停止流量，在Port1发送正向匹配带宽策略的流量，形成单臂转发。观察流量。【check1】
4、不停止流量，禁用带宽策略，观察流量。【check2】</t>
  </si>
  <si>
    <t>1、在port1（入）和port2（出）上配置至少三条带宽策略，匹配任意参数，三条策略都引用同一共享带宽通道，带宽通道的最大带宽小于接口带宽。
2、从Port1向Port2发送至少三条流，流量之和为接口线速，流量正向匹配带宽策略，观察流量通过情况。【check1】
3、不停止流量，禁用带宽策略，观察流量。【check2】</t>
  </si>
  <si>
    <t>1、在port1（出入接口均为Port1）上至少配置3条带宽策略，匹配任意参数，三条策略都引用同一共享带宽通道，带宽通道的最大带宽小于接口带宽。
2、向Port1发送至少三条流量，流量之和为接口线速并形成单臂转发，流量正向匹配带宽策略，观察流量通过情况。【check1】
3、不停止流量，禁用带宽策略，观察流量。【check2】</t>
  </si>
  <si>
    <t>1、在port1（入）和port2（出）上配置至少三条带宽策略，匹配任意参数，三条策略都引用同一共享带宽通道，带宽通道的最大带宽小于接口带宽。
2、从Port2向Port1至少发送3条流，流量之和为接口线速，流量反向匹配带宽策略，观察流量通过情况。（此时无正向会话，必要时可以清除会话）【check2】
3、不停止流量，从Port1向Port2发送正向匹配带宽策略的流量，观察流量。（此时无正向会话，必要时可以清除会话）【check1】
4、不停止流量，禁用带宽策略，观察流量。【check3】</t>
  </si>
  <si>
    <t>1、在port1（出入接口均为Port1）上至少配置3条带宽策略，匹配任意参数，三条策略都引用同一共享带宽通道，带宽通道的最大带宽小于接口带宽。
2、向Port1发送至少三条流量，流量之和为接口线速并形成单臂转发，流量反向匹配带宽策略，观察流量通过情况。【check2】
3、不停止流量，在Port1发送正向匹配带宽策略的流量，形成单臂转发。观察流量。【check1】
4、不停止流量，禁用带宽策略，观察流量。【check2】</t>
  </si>
  <si>
    <t>【check1】所有流量之和等于通道chl1的最大带宽。
【check2】所有流量不被带宽限制</t>
  </si>
  <si>
    <t>Qos.pir.share.sole.intfs.ptc0</t>
  </si>
  <si>
    <t>1、配置一条带宽策略P1，入接口为Port1出接口为Port2，匹配任意参数，引用独占通道chl1。配置一条带宽策略P2，入接口为Port2出接口为Port1，匹配任意参数，引用独占通道chl2。
2、配置两条带宽策略P3和P4，入接口为Port1出接口为Port2，匹配任意参数，引用相同的共享通道chl3。配置两条带宽策略P5和P6，入接口为Port2出接口为Port1，匹配任意参数，引用相同的共享通道chl4。所有通道的最大带宽之和小于接口带宽
3、在Port1和Port2之间双向发送匹配P1、P2、P3、P4、P5、P6的流量。流量之和为接口线速，观察流量通过情况。【check1】【check2】【check3】
4、不停止流量，禁用带宽策略，观察流量。【check4】</t>
  </si>
  <si>
    <t>【check1】匹配P1和P2的上下行流量大于等于各自引用通道的最大带宽
【check2】P3和P4的上下行流量之和大于等于chl3的上下行最大带宽
【check3】P5和P6的上下行流量之和大于等于chl4的上下行最大带宽
【check4】所有流量不再被限制，按照发送的流量通过</t>
  </si>
  <si>
    <t>Qos.pir.share.sole.intf.ptc0</t>
  </si>
  <si>
    <t>1、配置一条带宽策略P1和P2，出入接口为Port1，匹配任意参数，分别引用独占通道chl1和chl2。
2、配置两条带宽策略P3和P4，出入接口为Port1，匹配任意参数，引用相同的共享通道chl3。配置两条带宽策略P5和P6，出入接口为Port1，匹配任意参数，引用相同的共享通道chl4。所有通道的最大带宽之和小于接口带宽
3、在Port1上双向发送匹配P1、P2、P3、P4、P5、P6的流量形成单臂转发。流量之和为接口线速，观察流量通过情况。【check1】【check2】【check3】
4、不停止流量，禁用带宽策略，观察流量。【check4】</t>
  </si>
  <si>
    <t>【check1】匹配P1和P2的上下行流量大于等于各自引用通道的最大带宽
【check2】P3和P4的上下行流量之和大于等于chl3的上下行最大带宽
【check3】P5和P6的上下行流量之和大于等于chl4的上下行最大带宽
【check4】所有流量不再被限制,按照发送的流量通过</t>
  </si>
  <si>
    <t>Qos.pir.timer.ptc0</t>
  </si>
  <si>
    <t>1、选取任意接口配置带宽策略，匹配时间对象，其他参数任意，并引用共享通道或者独占通道，在通道上配置最大带宽，最大带宽小于接口带宽
2、在带宽策略引用的两个接口之间双向发送匹配带宽策略的流量。在时间对象生效区间内观察带宽策略和流量。【check1】
3、等待时间对象过期后，观察带宽策略和流量。【check2】</t>
  </si>
  <si>
    <t>【check1】带宽策略为启用，通过的流量大于等于通道的最大带宽
【check2】带宽策略为禁用，匹配的带宽策略的流量不受限制</t>
  </si>
  <si>
    <t>Qos.pir.intf.0</t>
  </si>
  <si>
    <t>1、选取任意物理接口，并配置业务
2、在接口上配置接口带宽并配置带宽策略，引用带宽通道不限速。
3、配置port1和port2的接口带宽，接口带宽小于接口的线速
4、在接口双向发送匹配带宽策略的流量，流量大小为线速，观察流量。【check1】
5、从其他接口向带宽策略出接口发送线速的背景流量。观察流量【check1】
6、从其他接口向带宽策略入接口发送线速的背景流量。观察流量【check1】</t>
  </si>
  <si>
    <t>【check1】上下行流量和背景流量之和等于接口带宽</t>
  </si>
  <si>
    <t>Qos.pir.intf.1</t>
  </si>
  <si>
    <t>1、选取任意聚合接口，并配置业务
2、在接口上配置接口带宽并配置带宽策略，引用带宽通道不限速。
3、配置port1和port2的接口带宽，接口带宽小于接口的线速
4、在接口双向发送匹配带宽策略的流量，流量大小为线速，观察流量。【check1】
5、从其他接口向带宽策略出接口发送线速的背景流量。观察流量【check1】
6、从其他接口向带宽策略入接口发送线速的背景流量。观察流量【check1】</t>
  </si>
  <si>
    <t>Qos.total.sole.forward.intfs.ptc0</t>
  </si>
  <si>
    <t>验证独占通道单臂路由入接口到出接口方向总额限制功能</t>
  </si>
  <si>
    <t>Qos.total.sole.forward.intf.ptc0</t>
  </si>
  <si>
    <t>1、在port1（出入接口均为Port1）上配置带宽策略，匹配任意参数，引用Qos独占通道配置总额限制
2、向Port1发送线速带宽的流量形成单臂转发，流量正向匹配带宽策略，观察流量通过情况。【check1】
3、不停止流量，禁用带宽策略，观察流量。【check2】</t>
  </si>
  <si>
    <t>验证独占通道不同接口间出接口到入接口方向总额限制功能</t>
  </si>
  <si>
    <t>Qos.total.sole.reverse.intfs.ptc0</t>
  </si>
  <si>
    <t>验证独占通道单臂路由出接口到入接口方向总额限制功能</t>
  </si>
  <si>
    <t>Qos.total.sole.reverse.intf.ptc0</t>
  </si>
  <si>
    <t>验证共享通道不同接口间入接口到出接口方向总额限制功能</t>
  </si>
  <si>
    <t>Qos.total.share.forward.intfs.ptc0</t>
  </si>
  <si>
    <t>验证共享通道单臂路由入接口到出接口方向总额限制功能</t>
  </si>
  <si>
    <t>Qos.total.share.forward.intf.ptc0</t>
  </si>
  <si>
    <t>验证共享通道不同接口间出接口到入接口方向总额限制功能</t>
  </si>
  <si>
    <t>Qos.total.share.reverse.intfs.ptc0</t>
  </si>
  <si>
    <t>验证共享通道单臂路由出接口到入接口方向总额限制功能</t>
  </si>
  <si>
    <t>Qos.total.share.reverse.intf.ptc0</t>
  </si>
  <si>
    <t>Qos.total.share.intfs.ptc0</t>
  </si>
  <si>
    <t>1、配置一条带宽策略P1，入接口为Port1出接口为Port2，匹配任意参数，引用独占通道chl1。配置一条带宽策略P2，入接口为Port2出接口为Port1，匹配任意参数，引用独占通道chl2。通道上配置总额限制
2、配置两条带宽策略P3和P4，入接口为Port1出接口为Port2，匹配任意参数，引用相同的共享通道chl3。配置两条带宽策略P5和P6，入接口为Port2出接口为Port1，匹配任意参数，引用相同的共享通道chl4。通道上配置总额限制
3、在Port1和Port2之间双向发送匹配P1、P2、P3、P4、P5、P6的流量。流量之和为接口线速，观察流量通过情况。【check1】【check2】【check3】
4、不停止流量，禁用带宽策略，观察流量。【check4】</t>
  </si>
  <si>
    <t>【check1】匹配P1的流量超过chl1的总额后被丢弃，
【check2】匹配P2的流量超过chl2的总额后被丢弃，
【check2】P3和P4的上下行流量之超过chl3的总额后被丢弃
【check3】P5和P6的上下行流量之超过chl4的总额后被丢弃
【check4】所有流量不再被限制，按照发送的流量通过</t>
  </si>
  <si>
    <t>1、配置一条带宽策略P1和P2，出入接口为Port1，匹配任意参数，分别引用独占通道chl1和chl2。通道上配置总额限制
2、配置两条带宽策略P3和P4，出入接口为Port1，匹配任意参数，引用相同的共享通道chl3。配置两条带宽策略P5和P6，出入接口为Port1，匹配任意参数，引用相同的共享通道chl4。通道上配置总额限制
3、在Port1上双向发送匹配P1、P2、P3、P4、P5、P6的流量形成单臂转发。流量之和为接口线速，观察流量通过情况。【check1】【check2】【check3】
4、不停止流量，禁用带宽策略，观察流量。【check4】</t>
  </si>
  <si>
    <t>Qos.total.timer.ptc0</t>
  </si>
  <si>
    <t>1、选取任意接口配置带宽策略，匹配时间对象，其他参数任意，并引用共享通道或者独占通道，在通道上配置总额限制
2、在带宽策略引用的两个接口之间双向发送匹配带宽策略的流量。在时间对象生效区间内观察带宽策略和流量。【check1】
3、等待时间对象过期后，观察带宽策略和流量。【check2】</t>
  </si>
  <si>
    <t>【check1】带宽策略为启用，通过的流量超过总额后被丢弃
【check2】带宽策略为禁用，匹配的带宽策略的流量不受限制</t>
  </si>
  <si>
    <t>Qos.total.threshold.up.ptc0</t>
  </si>
  <si>
    <t>1、在port1（入）和port2（出）之间配置带宽策略P1，匹配参数任意，并引用独占通道，并配置总额限制。在port1（入）和port2（出）之间配置两条带宽策略P2和P3，匹配参数任意，并引用共享通道，并配置总额限制。配置port2的接口带宽，空闲阈值和繁忙阈值
2、在port1和port2之间发送匹配p1的流量流量和匹配P2和P3的流量，流量之和小于接口带宽的空闲阈值。观察流量。【check1】
3、从port3向port2发送的背景流量，背景流量加业务流量大于接口带宽的空闲阈值小于接口带宽的繁忙阈值。观察流量通过情况【check1】
4、增大背景流量使背景流量加业务流量大于接口带宽的繁忙阈值。观察流量。【check2】
5、减少背景流量使背景流量加业务流量大于接口带宽的空闲阈值且小于繁忙阈值。观察流量。【check4】
6、减少背景流量，使业务流量加背景流量小于接口带宽的空闲阈值，观察流量。【check1】</t>
  </si>
  <si>
    <t>【check1】流量全部通过
【check2】匹配P1的流量通过超过通道的总额限制后被丢弃
【check3】匹配P2和P3的流量之和超过通道的总额限制后被丢弃
【check4】流量被丢弃</t>
  </si>
  <si>
    <t>Qos.total.threshold.down.ptc0</t>
  </si>
  <si>
    <t>1、在port1（入）和port2（出）之间配置带宽策略P1，匹配参数任意，并引用独占通道，并配置总额限制。在port1（入）和port2（出）之间配置两条带宽策略P2和P3，匹配参数任意，并引用共享通道，并配置总额限制。配置port2的接口带宽，空闲阈值和繁忙阈值
2、在port1和port2之间发送匹配p1的流量流量和匹配P2和P3的流量，流量之和小于接口带宽的空闲阈值。观察流量。【check1】
3、从port3向port1发送的背景流量，背景流量加业务流量大于接口带宽的空闲阈值小于接口带宽的繁忙阈值。观察流量通过情况【check1】
4、增大背景流量使背景流量加业务流量大于接口带宽的繁忙阈值。观察流量。【check2】
5、减少背景流量使背景流量加业务流量大于接口带宽的空闲阈值且小于繁忙阈值。观察流量。【check4】
6、减少背景流量，使业务流量加背景流量小于接口带宽的空闲阈值，观察流量。【check1】</t>
  </si>
  <si>
    <t>验证带宽策略启停带宽策略后的总额限制重新计算功能</t>
  </si>
  <si>
    <t>Qos.total.clear.0</t>
  </si>
  <si>
    <t>1、选取任意接口配置带宽策略，匹配参数任意，并引用共享通道或者独占通道，在通道上配置总额限制
2、在带宽策略引用的两个接口之间双向发送匹配带宽策略的流量。在时间对象生效区间内观察带宽策略和流量。【check1】
3、启停带宽策略，观察带宽策略和流量。【check2】</t>
  </si>
  <si>
    <t>【check1】带宽策略为启用，通过的流量超过总额后被丢弃
【check2】总额限制重新累计到限制值后丢弃</t>
  </si>
  <si>
    <t>验证带宽策略定时停止后再开启后的总额限制重新计算功能</t>
  </si>
  <si>
    <t>Qos.total.clear.1</t>
  </si>
  <si>
    <t>1、选取任意接口配置带宽策略，匹配参数任意，并引用共享通道或者独占通道，在通道上配置总额限制
2、在带宽策略引用的两个接口之间双向发送匹配带宽策略的流量。在时间对象生效区间内观察带宽策略和流量。【check1】
3、定时停止后再开启，观察带宽策略和流量。【check2】</t>
  </si>
  <si>
    <t>验证带宽策略阈值停止后再开启后的总额限制重新计算功能</t>
  </si>
  <si>
    <t>Qos.total.clear.2</t>
  </si>
  <si>
    <t>1、选取任意接口配置带宽策略，匹配参数任意，并引用共享通道或者独占通道，在通道上配置总额限制
2、在带宽策略引用的两个接口之间双向发送匹配带宽策略的流量。在时间对象生效区间内观察带宽策略和流量。【check1】
3、阈值停止后再开启，观察带宽策略和流量。【check2】</t>
  </si>
  <si>
    <t>验证带宽策略清除会话后的总额限制重新计算功能</t>
  </si>
  <si>
    <t>Qos.total.clear.3</t>
  </si>
  <si>
    <t>1、选取任意接口配置带宽策略，匹配参数任意，并引用共享通道或者独占通道，在通道上配置总额限制
2、在带宽策略引用的两个接口之间双向发送匹配带宽策略的流量。在时间对象生效区间内观察带宽策略和流量。【check1】
3、清除会话，观察带宽策略和流量。【check2】</t>
  </si>
  <si>
    <t>验证带宽策略会话老化后的总额限制重新计算功能</t>
  </si>
  <si>
    <t>Qos.total.clear.4</t>
  </si>
  <si>
    <t>1、选取任意接口配置带宽策略，匹配参数任意，并引用共享通道或者独占通道，在通道上配置总额限制
2、在带宽策略引用的两个接口之间双向发送匹配带宽策略的流量。在时间对象生效区间内观察带宽策略和流量。【check1】
3、会话老化，观察带宽策略和流量。【check2】</t>
  </si>
  <si>
    <t>验证带宽策略清除会话后的总额限制不重新计算功能</t>
  </si>
  <si>
    <t>Qos.total.not.clear.0</t>
  </si>
  <si>
    <t>【check1】带宽策略为启用，通过的流量超过总额后被丢弃
【check2】总额限制不会清除，流量仍然被丢弃</t>
  </si>
  <si>
    <t>验证带宽策略会话老化后的总额限制不重新计算功能</t>
  </si>
  <si>
    <t>Qos.total.not.clear.1</t>
  </si>
  <si>
    <t>验证总额限制的精度</t>
  </si>
  <si>
    <t>Qos.total.precision.ptc0</t>
  </si>
  <si>
    <t>1、配置带宽策略和业务，并配置总额限制的精度
2、验证总额限制为最小值，观察流量通过情况【check1】
3、验证总额限制为典型值，观察流量通过情况【check1】
4、验证总额限制为最大值，观察流量通过情况【check1】</t>
  </si>
  <si>
    <t>连接限制</t>
  </si>
  <si>
    <t>验证共享通道不同接口间入接口到出接口方向连接总数限制功能</t>
  </si>
  <si>
    <t>Qos.con.share.forward.intfs.ptc0</t>
  </si>
  <si>
    <t>验证共享通道单臂路由入接口到出接口方向连接总数限制功能</t>
  </si>
  <si>
    <t>Qos.con.share.forward.intf.ptc0</t>
  </si>
  <si>
    <t>验证共享通道不同接口间出接口到入接口方向连接总数限制功能</t>
  </si>
  <si>
    <t>Qos.con.share.reverse.intfs.ptc0</t>
  </si>
  <si>
    <t>验证共享通道单臂路由出接口到入接口方向连接总数限制功能</t>
  </si>
  <si>
    <t>Qos.con.share.reverse.intf.ptc0</t>
  </si>
  <si>
    <t>Qos.con.share.intfs.ptc0</t>
  </si>
  <si>
    <t>Qos.con.share.sole.intfs.ptc0</t>
  </si>
  <si>
    <t>Qos.con.share.sole.intf.ptc0</t>
  </si>
  <si>
    <t>Qos.con.timer.ptc0</t>
  </si>
  <si>
    <t>Qos.con.threshold.up.ptc0</t>
  </si>
  <si>
    <t>Qos.con.threshold.down.ptc0</t>
  </si>
  <si>
    <t>验证半连接的连接总数限制</t>
  </si>
  <si>
    <t>Qos.con.type.0</t>
  </si>
  <si>
    <t>1、选取任意接口配置带宽策略，匹配参数任意，并引用共享通道或者独占通道，在通道上配置连接总数限制
2、从带宽策略的入接口到出接口发送匹配带宽策略的半连接的流量，观察流量和连接总数【check1】【check2】
3、从带宽策略的出接口到入接口发送匹配带宽策略的半连接的流量，观察流量和连接总数【check1】【check2】
4、双向发送匹配带宽策略的半连接的流量，观察流量和连接总数【check1】【check2】</t>
  </si>
  <si>
    <t>【check1】不超过连接总数的的报文能够通过，超过连接总数的报文丢弃
【check2】设备上能够建立的连接与配置的参数相同</t>
  </si>
  <si>
    <t>验证全连接的连接总数限制</t>
  </si>
  <si>
    <t>Qos.con.type.1</t>
  </si>
  <si>
    <t>1、选取任意接口配置带宽策略，匹配参数任意，并引用共享通道或者独占通道，在通道上配置连接总数限制
2、从带宽策略的入接口到出接口发送匹配带宽策略的全连接的流量，观察流量和连接总数【check1】【check2】
3、从带宽策略的出接口到入接口发送匹配带宽策略的全连接的流量，观察流量和连接总数【check1】【check2】
4、双向发送匹配带宽策略的全连接的流量，观察流量和连接总数【check1】【check2】</t>
  </si>
  <si>
    <t>验证带宽保障、带宽限制、连接限制混合使用</t>
  </si>
  <si>
    <t>Qos.cir.pir.con.type.ptc0</t>
  </si>
  <si>
    <t>1、选取任意接口配置带宽策略，匹配参数任意，并引用共享通道或者独占通道，在通道上配置保障带宽、最大带宽、连接总数限制和新建速率限制
2、双向发送流量，流量大于通道最大带宽时，发起新建连接，观察流量和连接【check1】
3、连接数量达到最大值后，流量小于保障带宽。发送新的五元组的流量，观察流量和连接【check2】
4、发送线速的背景流量时，发起新建连接。【check3】</t>
  </si>
  <si>
    <t>【check1】流量按照最大带宽通过，并且不能建立连接
【check2】连接不能建立成功，且流量不能通过
【check3】连接总数能达到最大连接数量限制，新建连接速率能达到配置值。</t>
  </si>
  <si>
    <t>验证接口工作在路由时的新建连接和连接总数限制功能</t>
  </si>
  <si>
    <t>Qos.con.intfMode.0</t>
  </si>
  <si>
    <t>1、选取任意物理口或者聚合口，配置接口工作在路由，并配置业务
2、在接口上配置接口带宽并配置带宽策略，引用带宽通过配置连接总数限制和新建连接速度限制
3、在设备上发起大量连接。【check1】</t>
  </si>
  <si>
    <t>【check1】新建连接速度与配置值相同
【check2】连接总数达到配置值后不能再建立连接</t>
  </si>
  <si>
    <t>验证接口工作在路由PPPoE时的新建连接和连接总数限制功能</t>
  </si>
  <si>
    <t>Qos.con.intfMode.1</t>
  </si>
  <si>
    <t>1、选取任意物理口或者聚合口，配置接口工作在路由PPPoE，并配置业务
2、在接口上配置接口带宽并配置带宽策略，引用带宽通过配置连接总数限制和新建连接速度限制
3、在设备上发起大量连接。【check1】</t>
  </si>
  <si>
    <t>验证接口工作在交换时的新建连接和连接总数限制功能</t>
  </si>
  <si>
    <t>Qos.con.intfMode.2</t>
  </si>
  <si>
    <t>1、选取任意物理口或者聚合口，配置接口工作在交换，并配置业务
2、在接口上配置接口带宽并配置带宽策略，引用带宽通过配置连接总数限制和新建连接速度限制
3、在设备上发起大量连接。【check1】</t>
  </si>
  <si>
    <t>验证接口工作在接口对时的新建连接和连接总数限制功能</t>
  </si>
  <si>
    <t>Qos.con.intfMode.3</t>
  </si>
  <si>
    <t>1、选取任意物理口或者聚合口，配置接口工作在接口对，并配置业务
2、在接口上配置接口带宽并配置带宽策略，引用带宽通过配置连接总数限制和新建连接速度限制
3、在设备上发起大量连接。【check1】</t>
  </si>
  <si>
    <t>验证物理接口的新建连接和连接总数限制功能</t>
  </si>
  <si>
    <t>Qos.con.intfType.0</t>
  </si>
  <si>
    <t>1、选取任意物理接口，并配置业务
2、在接口上配置接口带宽并配置带宽策略，引用带宽通过配置连接总数限制和新建连接速度限制
3、在设备上发起大量连接。【check1】</t>
  </si>
  <si>
    <t>验证聚合接口的新建连接和连接总数限制功能</t>
  </si>
  <si>
    <t>Qos.con.intfType.1</t>
  </si>
  <si>
    <t>1、选取任意聚合接口，并配置业务
2、在接口上配置接口带宽并配置带宽策略，引用带宽通过配置连接总数限制和新建连接速度限制
3、在设备上发起大量连接。【check1】</t>
  </si>
  <si>
    <t>验证独占通道不同接口间入接口到出接口方向新建连接速率限制功能</t>
  </si>
  <si>
    <t>Qos.con.new.sole.forward.intfs.ptc0</t>
  </si>
  <si>
    <t>验证独占通道单臂路由入接口到出接口方向新建连接速率限制功能</t>
  </si>
  <si>
    <t>Qos.con.new.sole.forward.intf.ptc0</t>
  </si>
  <si>
    <t>验证独占通道不同接口间出接口到入接口方向新建连接速率限制功能</t>
  </si>
  <si>
    <t>Qos.con.new.sole.reverse.intfs.ptc0</t>
  </si>
  <si>
    <t>验证独占通道单臂路由出接口到入接口方向新建连接速率限制功能</t>
  </si>
  <si>
    <t>Qos.con.new.sole.reverse.intf.ptc0</t>
  </si>
  <si>
    <t>Qos.con.new.share.sole.intfs.ptc0</t>
  </si>
  <si>
    <t>Qos.con.new.share.sole.intf.ptc0</t>
  </si>
  <si>
    <t>Qos.con.new.timer.ptc0</t>
  </si>
  <si>
    <t>Qos.con.new.threshold.up.ptc0</t>
  </si>
  <si>
    <t>Qos.con.new.threshold.down.ptc0</t>
  </si>
  <si>
    <t>验证半连接的新建连接速度限制</t>
  </si>
  <si>
    <t>Qos.con.new.type.0</t>
  </si>
  <si>
    <t>1、选取任意接口配置带宽策略，匹配参数任意，并引用共享通道或者独占通道，在通道上配置新建连接速度限制
2、从带宽策略的入接口到出接口发送匹配带宽策略的半连接的流量，观察流量和连接总数【check1】【check2】
3、从带宽策略的出接口到入接口发送匹配带宽策略的半连接的流量，观察流量和连接总数【check1】【check2】
4、双向发送匹配带宽策略的半连接的流量，观察流量和连接总数【check1】【check2】</t>
  </si>
  <si>
    <t>【check1】不超过新建连接速度限制的的报文能够通过，超过新建连接速度限制的报文丢弃
【check2】设备上连接总数的变化与新建连接速率相同</t>
  </si>
  <si>
    <t>验证全连接的新建连接速度限制</t>
  </si>
  <si>
    <t>Qos.con.new.type.1</t>
  </si>
  <si>
    <t>1、选取任意接口配置带宽策略，匹配参数任意，并引用共享通道或者独占通道，在通道上配置新建连接速度限制
2、从带宽策略的入接口到出接口发送匹配带宽策略的全连接的流量，观察流量和连接总数【check1】【check2】
3、从带宽策略的出接口到入接口发送匹配带宽策略的全连接的流量，观察流量和连接总数【check1】【check2】
4、双向发送匹配带宽策略的全连接的流量，观察流量和连接总数【check1】【check2】</t>
  </si>
  <si>
    <t>验证带宽管理升级测试</t>
  </si>
  <si>
    <t>qos.dfs.update.ptc0</t>
  </si>
  <si>
    <t>1、配置物理接口和聚合口上的接口带宽，配置独占通道和共享通道，配置匹配物理接口和物理接口的带宽策略
2、发送背景流量的同时向设备发送匹配带宽策略的流量，观察报文流量【check1】
3、对设备进行升级。升级后观察配置【check2】
4、发送背景流量，同时向设备发送匹配带宽策略的流量，观察报文流量【check1】
5、发送流量同时，在设备增删和修改带宽策略，通道，接口带宽。【check1】</t>
  </si>
  <si>
    <t>【check1】带宽管理的保障带宽，最大带宽，带宽总额，连接总数和新建连接数量与配置值相同。
【check2】升级前后配置相同，且设备无异常</t>
  </si>
  <si>
    <t>验证带宽管理功能在反复启停带宽策略后功能正常</t>
  </si>
  <si>
    <t>Qos.dfr.operate.0</t>
  </si>
  <si>
    <t>1、选取任意物理口或者聚合口，配置带宽策略和通道，并配置业务
2、在设备发送背景流量的同时发起大量的连接，观察流量和连接。【check1】
3、不停止流量反复启停带宽策略，观察流量和连接。【check1】</t>
  </si>
  <si>
    <t>【check1】保障带宽、最大带宽、带宽总额、连接总数、新建连接速度限制正常</t>
  </si>
  <si>
    <t>验证带宽管理功能在反复修改接口带宽和阈值后功能正常</t>
  </si>
  <si>
    <t>Qos.dfr.operate.1</t>
  </si>
  <si>
    <t>1、选取任意物理口或者聚合口，配置带宽策略和通道，并配置业务
2、在设备发送背景流量的同时发起大量的连接，观察流量和连接。【check1】
3、不停止流量反复修改接口带宽和阈值，观察流量和连接。【check1】</t>
  </si>
  <si>
    <t>验证带宽管理功能在反复修改和增删带宽策略后功能正常</t>
  </si>
  <si>
    <t>Qos.dfr.operate.2</t>
  </si>
  <si>
    <t>1、选取任意物理口或者聚合口，配置带宽策略和通道，并配置业务
2、在设备发送背景流量的同时发起大量的连接，观察流量和连接。【check1】
3、不停止流量反复修改和增删带宽策略，观察流量和连接。【check1】</t>
  </si>
  <si>
    <t>Qos.dfr.operate.3</t>
  </si>
  <si>
    <t>验证带宽管理功能在反复启用禁用接口后功能正常</t>
  </si>
  <si>
    <t>Qos.dfr.operate.4</t>
  </si>
  <si>
    <t>1、选取任意物理口或者聚合口，配置带宽策略和通道，并配置业务
2、在设备发送背景流量的同时发起大量的连接，观察流量和连接。【check1】
3、不停止流量反复启用禁用接口，观察流量和连接。【check1】</t>
  </si>
  <si>
    <t>验证带宽管理功能在反复拔插接口网线或光纤后功能正常</t>
  </si>
  <si>
    <t>Qos.dfr.operate.5</t>
  </si>
  <si>
    <t>1、选取任意物理口或者聚合口，配置带宽策略和通道，并配置业务
2、在设备发送背景流量的同时发起大量的连接，观察流量和连接。【check1】
3、不停止流量反复拔插接口网线或光纤，观察流量和连接。【check1】</t>
  </si>
  <si>
    <t>验证带宽管理功能在反复调整带宽策略优先级后功能正常</t>
  </si>
  <si>
    <t>Qos.dfr.operate.6</t>
  </si>
  <si>
    <t>1、选取任意物理口或者聚合口，配置带宽策略和通道，并配置业务
2、在设备发送背景流量的同时发起大量的连接，观察流量和连接。【check1】
3、不停止流量反复调整带宽策略优先级，观察流量和连接。【check1】</t>
  </si>
  <si>
    <t>验证带宽管理功能在反复命令复位重启后功能正常</t>
  </si>
  <si>
    <t>Qos.dfr.operate.7</t>
  </si>
  <si>
    <t>1、选取任意物理口或者聚合口，配置带宽策略和通道，并配置业务
2、在设备发送背景流量的同时发起大量的连接，观察流量和连接。【check1】
3、不停止流量反复命令复位重启，观察流量和连接。【check1】</t>
  </si>
  <si>
    <t>验证带宽管理功能在反复掉电重启后功能正常</t>
  </si>
  <si>
    <t>Qos.dfr.operate.8</t>
  </si>
  <si>
    <t>1、选取任意物理口或者聚合口，配置带宽策略和通道，并配置业务
2、在设备发送背景流量的同时发起大量的连接，观察流量和连接。【check1】
3、不停止流量反复掉电重启，观察流量和连接。【check1】</t>
  </si>
  <si>
    <t>Qos.dfr.recover.ptc0</t>
  </si>
  <si>
    <t>1、配置物理接口和聚合口上的接口带宽，配置独占通道和共享通道，配置匹配物理接口和物理接口的带宽策略
2、发送背景流量的同时向设备发送匹配带宽策略的流量，观察报文流量【check1】
3、对设备进行配置导出。【check2】
4、在设备修改任意带宽管理配置。
5、将步骤2导出的配置导入设备中【check3】【check1】
6、在设备修改任意带宽管理配置。【check1】</t>
  </si>
  <si>
    <t>带宽管理主备同步测试</t>
  </si>
  <si>
    <t>Qos.dfr.ha.syn.ptc0</t>
  </si>
  <si>
    <t>带宽管理主备业务切换和回切测试</t>
  </si>
  <si>
    <t>Qos.dfr.ha.switch.ptc0</t>
  </si>
  <si>
    <t>1、选取任意物理口或者聚合口，配置接口带宽，带宽通道和带宽策略，并配置业务
2、配置HA
3、在设备发送背景流量的同时发起大量的连接，观察流量和连接。【check1】【check2】
4、触发主备切换，
5、在备升主的设备上修改带宽管理的配置。【check1】【check2】
6、触发主备回切。【check1】</t>
  </si>
  <si>
    <t>【check1】保障带宽、最大带宽、带宽总额、连接总数、新建连接速度限制正常
【check2】主备设备间配置正常同步</t>
  </si>
  <si>
    <t>验证带宽管理带宽限制会话信息限制正确</t>
  </si>
  <si>
    <t>Qos.dfr.session.0</t>
  </si>
  <si>
    <t xml:space="preserve">1、配置物理接口和聚合口上的接口带宽，配置独占通道和共享通道，配置匹配物理接口和物理接口的带宽策略
2、发送背景流量的同时向设备发送匹配带宽策略的流量，观察报文流量【check1】
3、发送流量使带宽限制导致流量丢弃
</t>
  </si>
  <si>
    <t>【check1】带宽管理通过的流量，会话显示正常
【check1】带宽限制丢弃的流量，会话显示正常</t>
  </si>
  <si>
    <t>验证带宽管理总额限制会话信息限制正确</t>
  </si>
  <si>
    <t>Qos.dfr.session.1</t>
  </si>
  <si>
    <t xml:space="preserve">1、配置物理接口和聚合口上的接口带宽，配置独占通道和共享通道，配置匹配物理接口和物理接口的带宽策略
2、发送背景流量的同时向设备发送匹配带宽策略的流量，观察报文流量【check1】
3、发送流量使总额限制导致流量丢弃
</t>
  </si>
  <si>
    <t>【check1】带宽管理通过的流量，会话显示正常
【check1】总额限制丢弃的流量，会话显示正常</t>
  </si>
  <si>
    <t>验证带宽管理连接限制会话信息限制正确</t>
  </si>
  <si>
    <t>Qos.dfr.session.2</t>
  </si>
  <si>
    <t xml:space="preserve">1、配置物理接口和聚合口上的接口带宽，配置独占通道和共享通道，配置匹配物理接口和物理接口的带宽策略
2、发送背景流量的同时向设备发送匹配带宽策略的流量，观察报文流量【check1】
3、发送流量使连接限制导致流量丢弃
</t>
  </si>
  <si>
    <t>【check1】带宽管理通过的流量，会话显示正常
【check1】连接限制丢弃的流量，会话显示正常</t>
  </si>
  <si>
    <t>验证带宽管理SNAT耦合功能正常</t>
  </si>
  <si>
    <t>Qos.dfr.nat.0</t>
  </si>
  <si>
    <t>1、在设备上配置SNAT
2、配置物理接口或聚合口上的接口带宽，配置独占通道和共享通道，配置匹配物理接口和物理接口的带宽策略。带宽策略引用SNAT所在的接口
3、发送背景流量的同时向设备发送匹配带宽策略的流量，观察报文流量【check1】</t>
  </si>
  <si>
    <t>验证带宽管理DNAT耦合功能正常</t>
  </si>
  <si>
    <t>Qos.dfr.nat.1</t>
  </si>
  <si>
    <t>1、在设备上配置DNAT
2、配置物理接口或聚合口上的接口带宽，配置独占通道和共享通道，配置匹配物理接口和物理接口的带宽策略。带宽策略引用DNAT所在的接口
3、发送背景流量的同时向设备发送匹配带宽策略的流量，观察报文流量【check1】</t>
  </si>
  <si>
    <t>验证带宽管理在大吞吐量的性能</t>
  </si>
  <si>
    <t>Qos.dfr.per.0</t>
  </si>
  <si>
    <t>1、配置物理接口或聚合口上的接口带宽，配置独占通道和共享通道，配置匹配物理接口和物理接口的带宽策略。
2、在大吞吐量发送背景流量的同时向设备发送匹配带宽策略的流量，观察报文流量【check1】</t>
  </si>
  <si>
    <t>【check1】保障带宽、最大带宽、带宽总额、连接总数、新建连接速度限制正常
【check2】观察设备的整机吞吐量下降值</t>
  </si>
  <si>
    <t>验证带宽管理在大会话量的性能</t>
  </si>
  <si>
    <t>Qos.dfr.per.1</t>
  </si>
  <si>
    <t>1、配置物理接口或聚合口上的接口带宽，配置独占通道和共享通道，配置匹配物理接口和物理接口的带宽策略。
2、在大会话量发送背景流量的同时向设备发送匹配带宽策略的流量，观察报文流量【check1】</t>
  </si>
  <si>
    <t>验证多条带宽策略单条件匹配源地址和源地址组低优先级策略包含高优先级策略的匹配功能</t>
    <phoneticPr fontId="1" type="noConversion"/>
  </si>
  <si>
    <t>1、选取任意接口配置带宽策略，匹配参数任意，并引用共享通道或者独占通道，在通道上配置总额限制
2、在带宽策略引用的两个接口之间双向发送匹配带宽策略的流量。在时间对象生效区间内观察带宽策略和流量。【check1】
3、清除会话，观察带宽策略和流量。【check2】</t>
    <phoneticPr fontId="1" type="noConversion"/>
  </si>
  <si>
    <t>【check1】带宽策略为启用，通过的流量超过总额后被丢弃
【check2】总额限制重新累计到限制值后丢弃</t>
    <phoneticPr fontId="1" type="noConversion"/>
  </si>
  <si>
    <t>验证带宽管理配置导入导出功能</t>
    <phoneticPr fontId="1" type="noConversion"/>
  </si>
  <si>
    <t>验证带宽管理配置导入导出功能</t>
    <phoneticPr fontId="1" type="noConversion"/>
  </si>
  <si>
    <t>1、使用/api/v1/qoschannel接口修改Qos通道时，配置ID为1，其他参数为任意有效值,查询通道配置【check1】
2、使用/api/v1/qoschannel接口修改Qos通道时，配置ID为存在的任意ID，其他参数为任意有效值,查询通道配置【check2】
3、修改Qos通道时，配置ID为空，其他参数为任意有效值,查询通道配置【check2】
4、修改Qos通道时，配置ID为0，其他参数为任意有效值,查询通道配置【check2】
5、修改Qos通道时，配置ID为不存在的ID，其他参数为任意有效值,查询通道配置【check2】
6、修改Qos通道时，配置ID为其他任意非法字符串，其他参数为任意有效值,查询通道配置【check2】</t>
    <phoneticPr fontId="1" type="noConversion"/>
  </si>
  <si>
    <t>1、使用/api/v1/qoschannel接口查询Qos通道，不传入page和size参数【check1】
2、使用/api/v1/qoschannel接口查询Qos通道，传入page和size为0【check1】
3、使用/api/v1/qoschannel接口查询Qos通道，传入page和size为任意非0值【check1】
4、使用/api/v1/qoschannel接口查询Qos通道，传入page和size为最大值【check1】
5、使用/api/v1/qoschannel接口查询Qos通道，传入page和size为任意非数字【check1】</t>
    <phoneticPr fontId="1" type="noConversion"/>
  </si>
  <si>
    <t xml:space="preserve">【check1】返回修改策略失败，其中有效的ID被修改。查看Qos带宽策略配置中不包含在有效ID中的带宽策略不会被修改
【check2】修改成功，Qos带宽策略配置表中配置与修改后的配置相同。
【check3】使用restful查询Qos带宽策略，对应的带宽策略修改成功
【check4】使用etcd查询Qos带宽策略，带宽策略被修改
</t>
    <phoneticPr fontId="1" type="noConversion"/>
  </si>
  <si>
    <t>验证Qos接口带宽与bvi接口的配置限制功能</t>
    <phoneticPr fontId="1" type="noConversion"/>
  </si>
  <si>
    <t>【check1】配置成功，查询qos接口带宽与配置值相同
【check2】配置失败，查询配置不变化</t>
    <phoneticPr fontId="1" type="noConversion"/>
  </si>
  <si>
    <t>【check1】配置成功，查询qos接口带宽与配置值相同
【check2】配置失败，查询配置不变化</t>
    <phoneticPr fontId="1" type="noConversion"/>
  </si>
  <si>
    <t xml:space="preserve">1、在设备上配置bvi接口
2、在bvi成员上配置接口带宽【check1】
3、删除bvi接口【check1】
4、增删成员接口【check1】
5、在Bvi口上配置接口带宽【check2】
</t>
    <phoneticPr fontId="1" type="noConversion"/>
  </si>
  <si>
    <t>【check1】操作成功，restful和etcd查询结果与调整预期值相同
【check2】操作失败，restful和etcd查询结果与调整前相同</t>
    <phoneticPr fontId="1" type="noConversion"/>
  </si>
  <si>
    <t>1、配置的至少两条Qos通道，通道类型为共享通道【check1】
2、配置1条Qos策略引用其中一个通道，配置至少两条策略引用另外一个通道【check2】
3、修改被用的Qos通道。【check3】
4、删除被用的Qos通道。【check3】
5、修改qos策略不再应用其中任意一个Qos后，修改该通道。【check4】
6、删除改通道【check5】</t>
    <phoneticPr fontId="1" type="noConversion"/>
  </si>
  <si>
    <r>
      <t>【check1】配置成功，查询配置参与与实际配置参数一致。</t>
    </r>
    <r>
      <rPr>
        <sz val="11"/>
        <color theme="1"/>
        <rFont val="宋体"/>
        <family val="2"/>
        <charset val="134"/>
        <scheme val="minor"/>
      </rPr>
      <t xml:space="preserve">
【check2】配置成功，通道的引用计数与引用该通道的qos策略数量相同
【check3】删除失败，查询qos通道和Qos策略正常
【check4】配置成功
【check5】删除成功</t>
    </r>
    <phoneticPr fontId="1" type="noConversion"/>
  </si>
  <si>
    <t>【check1】配置成功，查询配置参与与实际配置参数一致。
【check2】配置成功
【check3】配置失败</t>
    <phoneticPr fontId="1" type="noConversion"/>
  </si>
  <si>
    <t>接口</t>
    <phoneticPr fontId="1" type="noConversion"/>
  </si>
  <si>
    <t>验证单条带宽策略不同入口同时匹配${匹配对象1}和${匹配对象2}功能</t>
    <phoneticPr fontId="1" type="noConversion"/>
  </si>
  <si>
    <t>验证单条带宽策略单臂路由同时匹配${匹配对象1}和${匹配对象2}功能</t>
    <phoneticPr fontId="1" type="noConversion"/>
  </si>
  <si>
    <t>验证单条带宽策略单臂路由同时匹配${匹配对象1}和${匹配对象2}功能</t>
    <phoneticPr fontId="1" type="noConversion"/>
  </si>
  <si>
    <t>验证单条带宽策略不同入口同时匹配${匹配对象1}、${匹配对象2}、${匹配对象3}和${匹配对象4}功能</t>
    <phoneticPr fontId="1" type="noConversion"/>
  </si>
  <si>
    <t>验证单条带宽策略不同出口同时匹配${匹配对象1}和${匹配对象2}功能</t>
    <phoneticPr fontId="1" type="noConversion"/>
  </si>
  <si>
    <t>验证单条带宽策略不同入口同时匹配${匹配对象1}和${匹配对象2}功能</t>
    <phoneticPr fontId="1" type="noConversion"/>
  </si>
  <si>
    <t>1、在网元上选取任意两个接口配置二层转发或者路由转发
2、在这两个接口上配置带宽策略，带宽策略匹配${匹配对象}，其他匹配内容全部为any，引用Qos通道的上下行限制最大带宽。
3、在上行发送匹配${匹配对象}的流量，流量大于带宽通道上行最大带宽，观察流量。【check1】
4、在下行方向匹配会话的流量（五元组与上行流量相同，源目的和端口互换）的流量，流量大于带宽通道下行方法的最大带宽，观察流量。【check2】
5、在上行发送仅${匹配对象}不同其他字段均相同的流量，下行同时发送匹配该会话的流量，双向流量大小大于通道最大带宽，观察流量。【check3】</t>
    <phoneticPr fontId="1" type="noConversion"/>
  </si>
  <si>
    <t>匹配对象=入接口和出接口相同</t>
  </si>
  <si>
    <t>匹配对象=入接口和出接口相同</t>
    <phoneticPr fontId="1" type="noConversion"/>
  </si>
  <si>
    <t>入安全域</t>
    <phoneticPr fontId="1" type="noConversion"/>
  </si>
  <si>
    <t>出安全域</t>
    <phoneticPr fontId="1" type="noConversion"/>
  </si>
  <si>
    <t>匹配对象=出入安全域相同</t>
    <phoneticPr fontId="1" type="noConversion"/>
  </si>
  <si>
    <t>匹配对象=出入安全域不相同</t>
    <phoneticPr fontId="1" type="noConversion"/>
  </si>
  <si>
    <t>匹配对象=出入端分别为安全域和接口</t>
  </si>
  <si>
    <t>匹配对象=出入端分别为安全域和接口</t>
    <phoneticPr fontId="1" type="noConversion"/>
  </si>
  <si>
    <t>匹配对象=出入端分别为安全域和安全域包含的接口</t>
  </si>
  <si>
    <t>匹配对象=出入端分别为安全域和安全域包含的接口</t>
    <phoneticPr fontId="1" type="noConversion"/>
  </si>
  <si>
    <t>匹配对象=入接口和出接口不同</t>
  </si>
  <si>
    <t>1、在网元上选取任意两个接口（记为port1，port2）配置路由转发，其中Port1上配置单臂路由转发
2、在port1配置带宽策略（出入接口均为port1），仅匹配接口其他参数均为any，引用Qos通道的上下行限制最大带宽。
3、在Port1上内双向发送流量形成单臂转发，流量大于通道的最大带宽，观察流量。【check1】
4、在Port1与Port2之间双向发送大于通道最大带宽的流量。【check2】</t>
    <phoneticPr fontId="1" type="noConversion"/>
  </si>
  <si>
    <t>匹配对象=出入安全域不同</t>
    <phoneticPr fontId="1" type="noConversion"/>
  </si>
  <si>
    <t>匹配对象=出入安全域相同</t>
    <phoneticPr fontId="1" type="noConversion"/>
  </si>
  <si>
    <t>1、在网元上选取任意两个以上的接口（记为port1，port2，port3）配置二层转发或者路由转发
2、在port1和port2上配置带宽策略，仅匹配接口其他参数均为any，引用Qos通道的上下行限制最大带宽。
3、在Port1和Port2之间双向发送五元组变化的流量，流量大于通道的最大带宽，观察流量。【check1】
4、在Port3与Port1之间双向发送大于通道最大带宽的流量。【check2】
5、在Port3与Port2之间双向发送大于通道最大带宽的流量。【check2】</t>
    <phoneticPr fontId="1" type="noConversion"/>
  </si>
  <si>
    <t>1、在网元上选取任意1个或多个接口创建两个安全域（记为Domain1、Domain2和Domain3，三个域之间不包含相同的接口）并在安全域内的接口上配置二层转发或者路由转发。选取另外的接口配置安全域
2、在Domain1和Domain2上配置带宽策略，仅匹配接口其他参数均为any，引用Qos通道的上下行限制最大带宽。
3、在Domain1和Domain2之间双向发送五元组变化的流量，流量大于通道的最大带宽，观察流量。【check1】
4、在Domain3与Domain1之间双向发送大于通道最大带宽的流量。【check2】
5、在Domain3与Domain2之间双向发送大于通道最大带宽的流量。【check2】</t>
    <phoneticPr fontId="1" type="noConversion"/>
  </si>
  <si>
    <t>1、在网元上选取任意接口创建两个安全域（记为Domain1，Domain2）配置路由转发或者二层转发，其中Domain1上存在域内转发（不同接口间的路由转发）
2、在Domain1配置带宽策略（出入接口均为Domain1），仅匹配接口其他参数均为any，引用Qos通道的上下行限制最大带宽。
3、在Domain1的域内双向发送流量，流量大于通道的最大带宽，观察流量。【check1】
4、在Domain1与Domain2之间双向发送大于通道最大带宽的流量。【check2】</t>
    <phoneticPr fontId="1" type="noConversion"/>
  </si>
  <si>
    <t>1、在网元上选取任意接口配置安全域（记为Domain1）其他任意两个接口记为Port2，Port3），并在域和接口之间配置二层转发或者路由转发
2、在Domain1（入）和Port2（出）上配置带宽策略，仅匹配接口其他参数均为any，引用Qos通道的上下行限制最大带宽。
3、在Domain1和Port2之间双向发送五元组变化的流量，流量大于通道的最大带宽，观察流量。【check1】
4、在Port3与Domain1之间双向发送大于通道最大带宽的流量。【check2】
5、在Port3与Port2之间双向发送大于通道最大带宽的流量。【check2】</t>
    <phoneticPr fontId="1" type="noConversion"/>
  </si>
  <si>
    <t>1、在网元上选取任意接口配置安全域（记为Domain1），在域内选取任意接口Port2，域外选取任意接口Port3），并在域和接口之间配置二层转发或者路由转发
2、在Domain1（出）和Port2（入）上配置带宽策略，仅匹配接口其他参数均为any，引用Qos通道的上下行限制最大带宽。
3、在Domain1和Port2之间双向发送五元组变化的流量，流量大于通道的最大带宽，观察流量。【check1】
4、在Port3与Domain1之间双向发送大于通道最大带宽的流量。【check2】
5、在Port3与Port2之间双向发送大于通道最大带宽的流量。【check2】</t>
    <phoneticPr fontId="1" type="noConversion"/>
  </si>
  <si>
    <t>Qos.match.1pnc.domain.all</t>
    <phoneticPr fontId="1" type="noConversion"/>
  </si>
  <si>
    <t>1、在网元上选取任意接口创建安全域（记为Domain1，Domain2，Domain3）配置二层转发或者路由转发
2、在Domain1（入接口）和Domain2（出接口）上配置带宽策略，带宽策略匹配${匹配对象1}、${匹配对象2}、${匹配对象3}和${匹配对象4}，引用Qos通道的上下行限制最大带宽。
3、在Domain1和Domain2之间双向发送同时所有条件，流量大于通道的最大带宽，观察流量。【check1】
4、在Domain1与Domain2之间双向发送仅不匹配${匹配对象1}，其他条件均匹配的流量，流量大于通道最大带宽的流量。【check2】
5、在Domain1与Domain2之间双向发送仅不匹配${匹配对象2}，其他条件均匹配的流量，流量大于通道最大带宽的流量。【check2】
6、在Domain1与Domain2之间双向发送仅不匹配${匹配对象3}，其他条件均匹配的流量，流量大于通道最大带宽的流量。【check2】
7、在Domain1与Domain2之间双向发送仅不匹配${匹配对象4}，其他条件均匹配的流量，流量大于通道最大带宽的流量。【check2】</t>
    <phoneticPr fontId="1" type="noConversion"/>
  </si>
  <si>
    <t>验证单条带宽策略不同安全域同时匹配${匹配对象1}、${匹配对象2}、${匹配对象3}和${匹配对象4}功能</t>
    <phoneticPr fontId="1" type="noConversion"/>
  </si>
  <si>
    <t>1、在设备上配置分别配置多个源地址或源地址组、目的地址或目的地址组、服务或服务组。这些对象均不存在包含或者交叉关系，再配置多个带宽通道，上下行最大带宽均不相同。
2、配置6条以上带宽策略（每种对象类型至少两条）分别引用不同的带宽通道
3、在Port1和Port2之间同时发送6条仅匹配一个条件的流量，观察流量通过情况。【check1】</t>
    <phoneticPr fontId="1" type="noConversion"/>
  </si>
  <si>
    <t>Ipv4单策略单条件匹配测试</t>
    <phoneticPr fontId="1" type="noConversion"/>
  </si>
  <si>
    <t>IPv6单策略单条件匹配测试</t>
    <phoneticPr fontId="1" type="noConversion"/>
  </si>
  <si>
    <t>Qos.ipv4.match.1p1c.intf.same</t>
  </si>
  <si>
    <t>Qos.ipv4.match.1p1c.intf.different</t>
  </si>
  <si>
    <t>Qos.ipv4.match.1p1c.domain.same</t>
  </si>
  <si>
    <t>Qos.ipv4.match.1p1c.domain.different</t>
  </si>
  <si>
    <t>Qos.ipv4.match.1p1c.intf.domain.norelative</t>
  </si>
  <si>
    <t>Qos.ipv4.match.1p1c.intf.domain.contain</t>
  </si>
  <si>
    <t>Qos.ipv4.match.1p1c.optional</t>
  </si>
  <si>
    <t>Qos.ipv6.match.1p1c.intf.same</t>
  </si>
  <si>
    <t>Qos.ipv6.match.1p1c.intf.different</t>
  </si>
  <si>
    <t>Qos.ipv6.match.1p1c.domain.same</t>
  </si>
  <si>
    <t>Qos.ipv6.match.1p1c.domain.different</t>
  </si>
  <si>
    <t>Qos.ipv6.match.1p1c.intf.domain.norelative</t>
  </si>
  <si>
    <t>Qos.ipv6.match.1p1c.intf.domain.contain</t>
  </si>
  <si>
    <t>Qos.ipv6.match.1p1c.optional</t>
  </si>
  <si>
    <t>用户</t>
    <phoneticPr fontId="1" type="noConversion"/>
  </si>
  <si>
    <t>应用</t>
    <phoneticPr fontId="1" type="noConversion"/>
  </si>
  <si>
    <t>匹配对象=入接口,出接口,源地址,源地址组,目的地址,目的地址组,服务,服务组,用户,应用,时间对象</t>
    <phoneticPr fontId="1" type="noConversion"/>
  </si>
  <si>
    <t>匹配对象=源地址,源地址组,目的地址,目的地址组,服务,服务组,用户,应用,时间对象</t>
    <phoneticPr fontId="1" type="noConversion"/>
  </si>
  <si>
    <t>用户</t>
    <phoneticPr fontId="1" type="noConversion"/>
  </si>
  <si>
    <t>匹配对象=入接口,出接口,源地址,源地址组,目的地址,目的地址组,服务,服务组,用户,应用,时间对象</t>
    <phoneticPr fontId="1" type="noConversion"/>
  </si>
  <si>
    <t>验证IPv4带宽策略出入接口不同时策略匹配功能</t>
  </si>
  <si>
    <t>验证IPv4带宽策略出入接口相同时策略匹配功能</t>
  </si>
  <si>
    <t>验证IPv4带宽策略出入安全域不同时策略匹配功能</t>
  </si>
  <si>
    <t>验证IPv4带宽策略出入安全域相同时策略匹配功能</t>
  </si>
  <si>
    <t>验证IPv4带宽策略单策略匹配${匹配对象}功能</t>
  </si>
  <si>
    <t>验证IPv4带宽策略${匹配对象}时策略匹配功能</t>
  </si>
  <si>
    <t>验证IPv6带宽策略出入接口不同时策略匹配功能</t>
  </si>
  <si>
    <t>验证IPv6带宽策略出入接口相同时策略匹配功能</t>
  </si>
  <si>
    <t>验证IPv6带宽策略出入安全域不同时策略匹配功能</t>
  </si>
  <si>
    <t>验证IPv6带宽策略出入安全域相同时策略匹配功能</t>
  </si>
  <si>
    <t>验证IPv6带宽策略单策略匹配${匹配对象}功能</t>
  </si>
  <si>
    <t>IPv4独占通道保障带宽测试</t>
    <phoneticPr fontId="1" type="noConversion"/>
  </si>
  <si>
    <t>IPv6独占通道保障带宽测试</t>
    <phoneticPr fontId="1" type="noConversion"/>
  </si>
  <si>
    <t>方向=入接口到出接口</t>
    <phoneticPr fontId="1" type="noConversion"/>
  </si>
  <si>
    <t>Qos.ipv4.cir.sole.forward.intfs</t>
  </si>
  <si>
    <t>Qos.ipv4.cir.sole.forward.intf</t>
  </si>
  <si>
    <t>Qos.ipv4.cir.sole.reverse.intfs</t>
  </si>
  <si>
    <t>Qos.ipv4.cir.sole.reverse.intf</t>
  </si>
  <si>
    <t>Qos.ipv6.cir.sole.forward.intfs</t>
  </si>
  <si>
    <t>Qos.ipv6.cir.sole.forward.intf</t>
  </si>
  <si>
    <t>Qos.ipv6.cir.sole.reverse.intfs</t>
  </si>
  <si>
    <t>Qos.ipv6.cir.sole.reverse.intf</t>
  </si>
  <si>
    <t>验证IPv4独占通道不同接口间${方向}方向带宽保障功能</t>
  </si>
  <si>
    <t>验证IPv4独占通道单臂路由${方向}方向带宽保障功能</t>
  </si>
  <si>
    <t>验证IPv6独占通道不同接口间${方向}方向带宽保障功能</t>
  </si>
  <si>
    <t>验证IPv6独占通道单臂路由${方向}方向带宽保障功能</t>
  </si>
  <si>
    <t>IPv4共享通道带宽限制测试</t>
    <phoneticPr fontId="1" type="noConversion"/>
  </si>
  <si>
    <t>IPv6共享通道带宽限制测试</t>
    <phoneticPr fontId="1" type="noConversion"/>
  </si>
  <si>
    <t>Qos.IPv4.pir.share.forward.intfs</t>
  </si>
  <si>
    <t>Qos.IPv4.pir.share.forward.intf</t>
  </si>
  <si>
    <t>Qos.IPv4.pir.share.reverse.intfs</t>
  </si>
  <si>
    <t>Qos.IPv4.pir.share.reverse.intf</t>
  </si>
  <si>
    <t>Qos.IPv4.pir.share.intfs</t>
  </si>
  <si>
    <t>Qos.IPv6.pir.share.forward.intfs</t>
  </si>
  <si>
    <t>Qos.IPv6.pir.share.forward.intf</t>
  </si>
  <si>
    <t>Qos.IPv6.pir.share.reverse.intfs</t>
  </si>
  <si>
    <t>Qos.IPv6.pir.share.reverse.intf</t>
  </si>
  <si>
    <t>Qos.IPv6.pir.share.intfs</t>
  </si>
  <si>
    <t>验证IPv4共享通道不同接口间${方向}方向带宽限制功能</t>
  </si>
  <si>
    <t>验证IPv4共享通道单臂路由${方向}方向带宽限制功能</t>
  </si>
  <si>
    <t>验证IPv4共享通道多接口匹配功能</t>
  </si>
  <si>
    <t>验证IPv4共享通道可以匹配多个接口功能</t>
  </si>
  <si>
    <t>验证IPv6共享通道不同接口间${方向}方向带宽限制功能</t>
  </si>
  <si>
    <t>验证IPv6共享通道单臂路由${方向}方向带宽限制功能</t>
  </si>
  <si>
    <t>验证IPv6共享通道多接口匹配功能</t>
  </si>
  <si>
    <t>验证IPv6共享通道可以匹配多个接口功能</t>
  </si>
  <si>
    <t>IPv4独占和共享带宽共存时总额限制测试</t>
    <phoneticPr fontId="1" type="noConversion"/>
  </si>
  <si>
    <t>IPv6独占和共享带宽共存时总额限制测试</t>
    <phoneticPr fontId="1" type="noConversion"/>
  </si>
  <si>
    <t>Qos.IPv4.total.share.sole.intfs</t>
  </si>
  <si>
    <t>Qos.IPv4.total.share.sole.intf</t>
  </si>
  <si>
    <t>Qos.IPv6.total.share.sole.intfs</t>
  </si>
  <si>
    <t>Qos.IPv6.total.share.sole.intfs</t>
    <phoneticPr fontId="1" type="noConversion"/>
  </si>
  <si>
    <t>Qos.IPv6.total.share.sole.intf</t>
  </si>
  <si>
    <t>验证IPv4不同接口业务共享通道和独占通道共存时的最大总额限制</t>
  </si>
  <si>
    <t>验证IPv4单臂路由共享通道和独占通道共存时的最大总额限制</t>
  </si>
  <si>
    <t>验证IPv6不同接口业务共享通道和独占通道共存时的最大总额限制</t>
  </si>
  <si>
    <t>验证IPv6单臂路由共享通道和独占通道共存时的最大总额限制</t>
  </si>
  <si>
    <t>IPv4独占通道连接总数限制测试</t>
    <phoneticPr fontId="1" type="noConversion"/>
  </si>
  <si>
    <t>IPv6独占通道连接总数限制测试</t>
    <phoneticPr fontId="1" type="noConversion"/>
  </si>
  <si>
    <t>Qos.IPv4.con.sole.forward.intfs</t>
  </si>
  <si>
    <t>Qos.IPv4.con.sole.forward.intf</t>
  </si>
  <si>
    <t>Qos.IPv4.con.sole.reverse.intfs</t>
  </si>
  <si>
    <t>Qos.IPv4.con.sole.reverse.intf</t>
  </si>
  <si>
    <t>Qos.IPv6.con.sole.forward.intfs</t>
  </si>
  <si>
    <t>Qos.IPv6.con.sole.forward.intf</t>
  </si>
  <si>
    <t>Qos.IPv6.con.sole.reverse.intfs</t>
  </si>
  <si>
    <t>Qos.IPv6.con.sole.reverse.intf</t>
  </si>
  <si>
    <t>验证IPv4独占通道不同接口间${方向}方向连接总数限制功能</t>
  </si>
  <si>
    <t>验证IPv4独占通道单臂路由${方向}方向连接总数限制功能</t>
  </si>
  <si>
    <t>验证IPv6独占通道不同接口间${方向}方向连接总数限制功能</t>
  </si>
  <si>
    <t>验证IPv6独占通道单臂路由${方向}方向连接总数限制功能</t>
  </si>
  <si>
    <t>IPv4共享通道新建连接速率限制测试</t>
    <phoneticPr fontId="1" type="noConversion"/>
  </si>
  <si>
    <t>IPv6共享通道新建连接速率限制测试</t>
    <phoneticPr fontId="1" type="noConversion"/>
  </si>
  <si>
    <t>Qos.con.new.sole.forward.intfs</t>
    <phoneticPr fontId="1" type="noConversion"/>
  </si>
  <si>
    <t>Qos.IPv4.con.new.share.forward.intfs</t>
  </si>
  <si>
    <t>Qos.IPv4.con.new.share.forward.intf</t>
  </si>
  <si>
    <t>Qos.IPv4.con.new.share.reverse.intfs</t>
  </si>
  <si>
    <t>Qos.IPv4.con.new.share.reverse.intf</t>
  </si>
  <si>
    <t>Qos.IPv4.con.new.share.intfs</t>
  </si>
  <si>
    <t>Qos.IPv6.con.new.share.forward.intfs</t>
  </si>
  <si>
    <t>Qos.IPv6.con.new.share.forward.intf</t>
  </si>
  <si>
    <t>Qos.IPv6.con.new.share.reverse.intfs</t>
  </si>
  <si>
    <t>Qos.IPv6.con.new.share.reverse.intf</t>
  </si>
  <si>
    <t>Qos.IPv6.con.new.share.intfs</t>
  </si>
  <si>
    <t>验证IPv4共享通道不同接口间${方向}方向新建连接速率限制功能</t>
  </si>
  <si>
    <t>验证IPv4共享通道单臂路由${方向}方向新建连接速率限制功能</t>
  </si>
  <si>
    <t>验证IPv6共享通道不同接口间${方向}方向新建连接速率限制功能</t>
  </si>
  <si>
    <t>验证IPv6共享通道单臂路由${方向}方向新建连接速率限制功能</t>
  </si>
  <si>
    <t>带宽通道监控测试</t>
    <phoneticPr fontId="1" type="noConversion"/>
  </si>
  <si>
    <t>qos.dfs.mon</t>
    <phoneticPr fontId="1" type="noConversion"/>
  </si>
  <si>
    <t>【check1】监控数据与发送的数据相同</t>
    <phoneticPr fontId="1" type="noConversion"/>
  </si>
  <si>
    <t>【check1】匹配P1的流量超过chl1的总额后被丢弃，
【check2】匹配P2的流量超过chl2的总额后被丢弃，
【check2】P3和P4的上下行流量之超过chl3的总额后被丢弃
【check3】P5和P6的上下行流量之超过chl4的总额后被丢弃
【check4】所有流量不再被限制，按照发送的流量通过</t>
    <phoneticPr fontId="1" type="noConversion"/>
  </si>
  <si>
    <t>【check1】该流通过的流量超过总额限制后会被丢弃。通道记录通过的流量与总额相同。
【check2】从Port1到Port2的流量不被限制</t>
  </si>
  <si>
    <t>【check1】该流通过的流量超过总额限制后会被丢弃。通道记录通过的流量与总额相同。
【check2】Port1上单臂转发的流量不被限制</t>
  </si>
  <si>
    <t>应用</t>
    <phoneticPr fontId="1" type="noConversion"/>
  </si>
  <si>
    <t>用户</t>
    <phoneticPr fontId="1" type="noConversion"/>
  </si>
  <si>
    <t>实现后再补充</t>
    <phoneticPr fontId="1" type="noConversion"/>
  </si>
  <si>
    <t>实现后再补充</t>
    <phoneticPr fontId="1" type="noConversion"/>
  </si>
  <si>
    <t>验证IPv6带宽策略${匹配对象}时策略匹配功能</t>
  </si>
  <si>
    <t>Qos.ipv6.match.pri</t>
    <phoneticPr fontId="1" type="noConversion"/>
  </si>
  <si>
    <t>Qos.ipv4.match.pri</t>
    <phoneticPr fontId="1" type="noConversion"/>
  </si>
  <si>
    <t>验证IPv6带宽策略从上往下顺序匹配功能</t>
  </si>
  <si>
    <t>验证IPv6带宽策略从上往下顺序匹配功能</t>
    <phoneticPr fontId="1" type="noConversion"/>
  </si>
  <si>
    <t>验证IPv4带宽策略从上往下顺序匹配功能</t>
  </si>
  <si>
    <t>验证IPv4带宽策略从上往下顺序匹配功能</t>
    <phoneticPr fontId="1" type="noConversion"/>
  </si>
  <si>
    <t>Qos.IPv4.match.pri.put</t>
    <phoneticPr fontId="1" type="noConversion"/>
  </si>
  <si>
    <t>Qos.IPv6.match.pri.put</t>
    <phoneticPr fontId="1" type="noConversion"/>
  </si>
  <si>
    <t>验证IPv4带宽策略优先级调整到${调整方式}的匹配功能</t>
    <phoneticPr fontId="1" type="noConversion"/>
  </si>
  <si>
    <t>验证IPv6带宽策略优先级调整到${调整方式}的匹配功能</t>
    <phoneticPr fontId="1" type="noConversion"/>
  </si>
  <si>
    <t>验证IPv4带宽策略优先级调整到策略最前的匹配功能</t>
  </si>
  <si>
    <t>验证IPv4带宽策略优先级调整到指定ID之前的匹配功能</t>
  </si>
  <si>
    <t>验证IPv4带宽策略优先级调整到指定ID之后的匹配功能</t>
  </si>
  <si>
    <t>验证IPv4带宽策略优先级调整到策略最后的匹配功能</t>
  </si>
  <si>
    <t>验证IPv6带宽策略优先级调整到策略最前的匹配功能</t>
  </si>
  <si>
    <t>验证IPv6带宽策略优先级调整到指定ID之前的匹配功能</t>
  </si>
  <si>
    <t>验证IPv6带宽策略优先级调整到指定ID之后的匹配功能</t>
  </si>
  <si>
    <t>验证IPv6带宽策略优先级调整到策略最后的匹配功能</t>
  </si>
  <si>
    <t>Qos.ipv4.match.pri.ptc0</t>
  </si>
  <si>
    <t>Qos.ipv4.match.pri.put.0</t>
  </si>
  <si>
    <t>Qos.ipv4.match.pri.put.1</t>
  </si>
  <si>
    <t>Qos.ipv4.match.pri.put.2</t>
  </si>
  <si>
    <t>Qos.ipv4.match.pri.put.3</t>
  </si>
  <si>
    <t>Qos.ipv6.match.pri.ptc0</t>
  </si>
  <si>
    <t>Qos.ipv6.match.pri.put.0</t>
  </si>
  <si>
    <t>Qos.ipv6.match.pri.put.1</t>
  </si>
  <si>
    <t>Qos.ipv6.match.pri.put.2</t>
  </si>
  <si>
    <t>Qos.ipv6.match.pri.put.3</t>
  </si>
  <si>
    <t>验证IPv4带宽策略入接口和出接口不同时策略匹配功能</t>
  </si>
  <si>
    <t>Qos.ipv4.match.1p1c.intf.different.ptc0</t>
  </si>
  <si>
    <t>Qos.ipv4.match.1p1c.intf.same.ptc0</t>
  </si>
  <si>
    <t>Qos.ipv4.match.1p1c.domain.different.ptc0</t>
  </si>
  <si>
    <t>Qos.ipv4.match.1p1c.domain.same.ptc0</t>
  </si>
  <si>
    <t>验证IPv4带宽策略出入端分别为安全域和接口时策略匹配功能</t>
  </si>
  <si>
    <t>Qos.ipv4.match.1p1c.intf.domain.norelative.ptc0</t>
  </si>
  <si>
    <t>验证IPv4带宽策略出入端分别为安全域和安全域包含的接口时策略匹配功能</t>
  </si>
  <si>
    <t>Qos.ipv4.match.1p1c.intf.domain.contain.ptc0</t>
  </si>
  <si>
    <t>验证IPv4带宽策略单策略匹配源地址组功能</t>
  </si>
  <si>
    <t>Qos.ipv4.match.1p1c.optional.1</t>
  </si>
  <si>
    <t>验证IPv4带宽策略单策略匹配目的地址功能</t>
  </si>
  <si>
    <t>Qos.ipv4.match.1p1c.optional.2</t>
  </si>
  <si>
    <t>验证IPv4带宽策略单策略匹配目的地址组功能</t>
  </si>
  <si>
    <t>Qos.ipv4.match.1p1c.optional.3</t>
  </si>
  <si>
    <t>验证IPv4带宽策略单策略匹配服务功能</t>
  </si>
  <si>
    <t>Qos.ipv4.match.1p1c.optional.4</t>
  </si>
  <si>
    <t>验证IPv4带宽策略单策略匹配服务组功能</t>
  </si>
  <si>
    <t>Qos.ipv4.match.1p1c.optional.5</t>
  </si>
  <si>
    <t>验证IPv4带宽策略单策略匹配时间对象功能</t>
  </si>
  <si>
    <t>Qos.ipv4.match.1p1c.optional.6</t>
  </si>
  <si>
    <t>验证IPv6带宽策略入接口和出接口不同时策略匹配功能</t>
  </si>
  <si>
    <t>Qos.ipv6.match.1p1c.intf.different.ptc0</t>
  </si>
  <si>
    <t>验证IPv6带宽策略入接口和出接口相同时策略匹配功能</t>
  </si>
  <si>
    <t>Qos.ipv6.match.1p1c.intf.same.ptc0</t>
  </si>
  <si>
    <t>Qos.ipv6.match.1p1c.domain.different.ptc0</t>
  </si>
  <si>
    <t>Qos.ipv6.match.1p1c.domain.same.ptc0</t>
  </si>
  <si>
    <t>验证IPv6带宽策略出入端分别为安全域和接口时策略匹配功能</t>
  </si>
  <si>
    <t>Qos.ipv6.match.1p1c.intf.domain.norelative.ptc0</t>
  </si>
  <si>
    <t>验证IPv6带宽策略出入端分别为安全域和安全域包含的接口时策略匹配功能</t>
  </si>
  <si>
    <t>Qos.ipv6.match.1p1c.intf.domain.contain.ptc0</t>
  </si>
  <si>
    <t>验证IPv6带宽策略单策略匹配源地址组功能</t>
  </si>
  <si>
    <t>Qos.ipv6.match.1p1c.optional.1</t>
  </si>
  <si>
    <t>验证IPv6带宽策略单策略匹配目的地址功能</t>
  </si>
  <si>
    <t>Qos.ipv6.match.1p1c.optional.2</t>
  </si>
  <si>
    <t>验证IPv6带宽策略单策略匹配目的地址组功能</t>
  </si>
  <si>
    <t>Qos.ipv6.match.1p1c.optional.3</t>
  </si>
  <si>
    <t>验证IPv6带宽策略单策略匹配服务功能</t>
  </si>
  <si>
    <t>Qos.ipv6.match.1p1c.optional.4</t>
  </si>
  <si>
    <t>验证IPv6带宽策略单策略匹配服务组功能</t>
  </si>
  <si>
    <t>Qos.ipv6.match.1p1c.optional.5</t>
  </si>
  <si>
    <t>验证IPv6带宽策略单策略匹配用户功能</t>
  </si>
  <si>
    <t>Qos.ipv6.match.1p1c.optional.6</t>
  </si>
  <si>
    <t>验证IPv6带宽策略单策略匹配应用功能</t>
  </si>
  <si>
    <t>Qos.ipv6.match.1p1c.optional.7</t>
  </si>
  <si>
    <t>验证IPv6带宽策略单策略匹配时间对象功能</t>
  </si>
  <si>
    <t>Qos.ipv6.match.1p1c.optional.8</t>
  </si>
  <si>
    <t>验证单条带宽策略不同安全域同时匹配源地址、目的地址、服务组和时间对象功能</t>
  </si>
  <si>
    <t>Qos.match.1pnc.domain.all.ptc0</t>
  </si>
  <si>
    <t>1、在网元上选取任意接口创建安全域（记为Domain1，Domain2，Domain3）配置二层转发或者路由转发
2、在Domain1（入接口）和Domain2（出接口）上配置带宽策略，带宽策略匹配源地址、目的地址、服务组和时间对象，引用Qos通道的上下行限制最大带宽。
3、在Domain1和Domain2之间双向发送同时所有条件，流量大于通道的最大带宽，观察流量。【check1】
4、在Domain1与Domain2之间双向发送仅不匹配源地址，其他条件均匹配的流量，流量大于通道最大带宽的流量。【check2】
5、在Domain1与Domain2之间双向发送仅不匹配目的地址，其他条件均匹配的流量，流量大于通道最大带宽的流量。【check2】
6、在Domain1与Domain2之间双向发送仅不匹配服务组，其他条件均匹配的流量，流量大于通道最大带宽的流量。【check2】
7、在Domain1与Domain2之间双向发送仅不匹配时间对象，其他条件均匹配的流量，流量大于通道最大带宽的流量。【check2】</t>
  </si>
  <si>
    <t>验证单条带宽策略不同安全域同时匹配源地址组、目的地址组、服务和时间对象功能</t>
  </si>
  <si>
    <t>Qos.match.1pnc.domain.all.ptc1</t>
  </si>
  <si>
    <t>1、在网元上选取任意接口创建安全域（记为Domain1，Domain2，Domain3）配置二层转发或者路由转发
2、在Domain1（入接口）和Domain2（出接口）上配置带宽策略，带宽策略匹配源地址组、目的地址组、服务和时间对象，引用Qos通道的上下行限制最大带宽。
3、在Domain1和Domain2之间双向发送同时所有条件，流量大于通道的最大带宽，观察流量。【check1】
4、在Domain1与Domain2之间双向发送仅不匹配源地址组，其他条件均匹配的流量，流量大于通道最大带宽的流量。【check2】
5、在Domain1与Domain2之间双向发送仅不匹配目的地址组，其他条件均匹配的流量，流量大于通道最大带宽的流量。【check2】
6、在Domain1与Domain2之间双向发送仅不匹配服务，其他条件均匹配的流量，流量大于通道最大带宽的流量。【check2】
7、在Domain1与Domain2之间双向发送仅不匹配时间对象，其他条件均匹配的流量，流量大于通道最大带宽的流量。【check2】</t>
  </si>
  <si>
    <t>验证IPv4独占通道不同接口间入接口到出接口方向带宽保障功能</t>
  </si>
  <si>
    <t>验证IPv4独占通道不同接口间出接口到入接口方向带宽保障功能</t>
  </si>
  <si>
    <t>验证IPv4独占通道单臂路由出接口到入接口方向带宽保障功能</t>
  </si>
  <si>
    <t>验证IPv6独占通道不同接口间入接口到出接口方向带宽保障功能</t>
  </si>
  <si>
    <t>验证IPv6独占通道单臂路由入接口到出接口方向带宽保障功能</t>
  </si>
  <si>
    <t>验证IPv6独占通道不同接口间出接口到入接口方向带宽保障功能</t>
  </si>
  <si>
    <t>验证IPv6独占通道单臂路由出接口到入接口方向带宽保障功能</t>
  </si>
  <si>
    <t>Qos.ipv4.cir.sole.forward.intfs.ptc0</t>
  </si>
  <si>
    <t>Qos.ipv4.cir.sole.forward.intf.ptc0</t>
  </si>
  <si>
    <t>Qos.ipv4.cir.sole.reverse.intfs.ptc0</t>
  </si>
  <si>
    <t>Qos.ipv4.cir.sole.reverse.intf.ptc0</t>
  </si>
  <si>
    <t>Qos.ipv6.cir.sole.forward.intfs.ptc0</t>
  </si>
  <si>
    <t>Qos.ipv6.cir.sole.forward.intf.ptc0</t>
  </si>
  <si>
    <t>Qos.ipv6.cir.sole.reverse.intfs.ptc0</t>
  </si>
  <si>
    <t>Qos.ipv6.cir.sole.reverse.intf.ptc0</t>
  </si>
  <si>
    <t>验证IPv4共享通道单臂路由入接口到出接口方向带宽限制功能</t>
  </si>
  <si>
    <t>验证IPv4共享通道单臂路由出接口到入接口方向带宽限制功能</t>
  </si>
  <si>
    <t>验证IPv6共享通道不同接口间入接口到出接口方向带宽限制功能</t>
  </si>
  <si>
    <t>验证IPv6共享通道单臂路由入接口到出接口方向带宽限制功能</t>
  </si>
  <si>
    <t>验证IPv6共享通道不同接口间出接口到入接口方向带宽限制功能</t>
  </si>
  <si>
    <t>验证IPv6共享通道单臂路由出接口到入接口方向带宽限制功能</t>
  </si>
  <si>
    <t>Qos.IPv4.pir.share.forward.intfs.ptc0</t>
  </si>
  <si>
    <t>Qos.IPv4.pir.share.forward.intf.ptc0</t>
  </si>
  <si>
    <t>Qos.IPv4.pir.share.reverse.intfs.ptc0</t>
  </si>
  <si>
    <t>Qos.IPv4.pir.share.reverse.intf.ptc0</t>
  </si>
  <si>
    <t>Qos.IPv4.pir.share.intfs.ptc0</t>
  </si>
  <si>
    <t>Qos.IPv6.pir.share.forward.intfs.ptc0</t>
  </si>
  <si>
    <t>Qos.IPv6.pir.share.forward.intf.ptc0</t>
  </si>
  <si>
    <t>Qos.IPv6.pir.share.reverse.intfs.ptc0</t>
  </si>
  <si>
    <t>Qos.IPv6.pir.share.reverse.intf.ptc0</t>
  </si>
  <si>
    <t>Qos.IPv6.pir.share.intfs.ptc0</t>
  </si>
  <si>
    <t>Qos.IPv4.total.share.sole.intfs.ptc0</t>
  </si>
  <si>
    <t>Qos.IPv4.total.share.sole.intf.ptc0</t>
  </si>
  <si>
    <t>Qos.IPv6.total.share.sole.intfs.ptc0</t>
  </si>
  <si>
    <t>Qos.IPv6.total.share.sole.intf.ptc0</t>
  </si>
  <si>
    <t>验证IPv4独占通道不同接口间入接口到出接口方向连接总数限制功能</t>
  </si>
  <si>
    <t>Qos.IPv4.con.sole.forward.intfs.ptc0</t>
  </si>
  <si>
    <t>验证IPv4独占通道单臂路由入接口到出接口方向连接总数限制功能</t>
  </si>
  <si>
    <t>Qos.IPv4.con.sole.forward.intf.ptc0</t>
  </si>
  <si>
    <t>验证IPv4独占通道不同接口间出接口到入接口方向连接总数限制功能</t>
  </si>
  <si>
    <t>Qos.IPv4.con.sole.reverse.intfs.ptc0</t>
  </si>
  <si>
    <t>验证IPv4独占通道单臂路由出接口到入接口方向连接总数限制功能</t>
  </si>
  <si>
    <t>Qos.IPv4.con.sole.reverse.intf.ptc0</t>
  </si>
  <si>
    <t>验证IPv6独占通道不同接口间入接口到出接口方向连接总数限制功能</t>
  </si>
  <si>
    <t>Qos.IPv6.con.sole.forward.intfs.ptc0</t>
  </si>
  <si>
    <t>验证IPv6独占通道不同接口间出接口到入接口方向连接总数限制功能</t>
  </si>
  <si>
    <t>Qos.IPv6.con.sole.reverse.intfs.ptc0</t>
  </si>
  <si>
    <t>验证IPv4共享通道不同接口间入接口到出接口方向新建连接速率限制功能</t>
  </si>
  <si>
    <t>Qos.IPv4.con.new.share.forward.intfs.ptc0</t>
  </si>
  <si>
    <t>验证IPv4共享通道单臂路由入接口到出接口方向新建连接速率限制功能</t>
  </si>
  <si>
    <t>Qos.IPv4.con.new.share.forward.intf.ptc0</t>
  </si>
  <si>
    <t>验证IPv4共享通道不同接口间出接口到入接口方向新建连接速率限制功能</t>
  </si>
  <si>
    <t>Qos.IPv4.con.new.share.reverse.intfs.ptc0</t>
  </si>
  <si>
    <t>验证IPv4共享通道单臂路由出接口到入接口方向新建连接速率限制功能</t>
  </si>
  <si>
    <t>Qos.IPv4.con.new.share.reverse.intf.ptc0</t>
  </si>
  <si>
    <t>Qos.IPv4.con.new.share.intfs.ptc0</t>
  </si>
  <si>
    <t>验证IPv6共享通道不同接口间入接口到出接口方向新建连接速率限制功能</t>
  </si>
  <si>
    <t>Qos.IPv6.con.new.share.forward.intfs.ptc0</t>
  </si>
  <si>
    <t>验证IPv6共享通道不同接口间出接口到入接口方向新建连接速率限制功能</t>
  </si>
  <si>
    <t>Qos.IPv6.con.new.share.reverse.intfs.ptc0</t>
  </si>
  <si>
    <t>Qos.IPv6.con.new.share.intfs.ptc0</t>
  </si>
  <si>
    <t>验证带宽管理共享通道全连接的监控功能</t>
  </si>
  <si>
    <t>验证带宽管理独占通道半连接的监控功能</t>
  </si>
  <si>
    <t>验证带宽管理独占通道全连接和半连接混合的监控功能</t>
  </si>
  <si>
    <t>【check1】监控数据与发送的数据相同</t>
  </si>
  <si>
    <t>DFR</t>
    <phoneticPr fontId="1" type="noConversion"/>
  </si>
  <si>
    <t>qos.dfs.share.mon.0</t>
  </si>
  <si>
    <t>1、配置物理接口和聚合口上的接口带宽，配置共享通道，配置匹配物理接口和物理接口的带宽策略
2、发送全连接的流量，观察速率【check1】
3、发送全连接的流量，观察流量【check1】
4、发送全连接的流量，观察连接数【check1】
5、发送全连接的流量，观察连接速率【check1】
6、发送全连接的流量，观察转发报文数【check1】
7、发送全连接的流量，观察丢包数量【check1】</t>
  </si>
  <si>
    <t>验证带宽管理共享通道半连接的监控功能</t>
  </si>
  <si>
    <t>qos.dfs.share.mon.1</t>
  </si>
  <si>
    <t>1、配置物理接口和聚合口上的接口带宽，配置共享通道，配置匹配物理接口和物理接口的带宽策略
2、发送半连接的流量，观察速率【check1】
3、发送半连接的流量，观察流量【check1】
4、发送半连接的流量，观察连接数【check1】
5、发送半连接的流量，观察连接速率【check1】
6、发送半连接的流量，观察转发报文数【check1】
7、发送半连接的流量，观察丢包数量【check1】</t>
  </si>
  <si>
    <t>验证带宽管理共享通道全连接和半连接混合的监控功能</t>
  </si>
  <si>
    <t>qos.dfs.share.mon.2</t>
  </si>
  <si>
    <t>1、配置物理接口和聚合口上的接口带宽，配置共享通道，配置匹配物理接口和物理接口的带宽策略
2、发送全连接和半连接混合的流量，观察速率【check1】
3、发送全连接和半连接混合的流量，观察流量【check1】
4、发送全连接和半连接混合的流量，观察连接数【check1】
5、发送全连接和半连接混合的流量，观察连接速率【check1】
6、发送全连接和半连接混合的流量，观察转发报文数【check1】
7、发送全连接和半连接混合的流量，观察丢包数量【check1】</t>
  </si>
  <si>
    <t>验证带宽管理独占通道全连接的监控功能</t>
  </si>
  <si>
    <t>qos.dfs.solo.mon.0</t>
  </si>
  <si>
    <t>1、配置物理接口和聚合口上的接口带宽，配置独占通道，配置匹配物理接口和物理接口的带宽策略
2、发送全连接的流量，观察速率【check1】
3、发送全连接的流量，观察流量【check1】
4、发送全连接的流量，观察连接数【check1】
5、发送全连接的流量，观察连接速率【check1】
6、发送全连接的流量，观察转发报文数【check1】
7、发送全连接的流量，观察丢包数量【check1】</t>
  </si>
  <si>
    <t>qos.dfs.solo.mon.1</t>
  </si>
  <si>
    <t>1、配置物理接口和聚合口上的接口带宽，配置独占通道，配置匹配物理接口和物理接口的带宽策略
2、发送半连接的流量，观察速率【check1】
3、发送半连接的流量，观察流量【check1】
4、发送半连接的流量，观察连接数【check1】
5、发送半连接的流量，观察连接速率【check1】
6、发送半连接的流量，观察转发报文数【check1】
7、发送半连接的流量，观察丢包数量【check1】</t>
  </si>
  <si>
    <t>qos.dfs.solo.mon.2</t>
  </si>
  <si>
    <t>1、配置物理接口和聚合口上的接口带宽，配置独占通道，配置匹配物理接口和物理接口的带宽策略
2、发送全连接和半连接混合的流量，观察速率【check1】
3、发送全连接和半连接混合的流量，观察流量【check1】
4、发送全连接和半连接混合的流量，观察连接数【check1】
5、发送全连接和半连接混合的流量，观察连接速率【check1】
6、发送全连接和半连接混合的流量，观察转发报文数【check1】
7、发送全连接和半连接混合的流量，观察丢包数量【check1】</t>
  </si>
  <si>
    <t>是</t>
    <phoneticPr fontId="1" type="noConversion"/>
  </si>
  <si>
    <t>否</t>
    <phoneticPr fontId="1" type="noConversion"/>
  </si>
  <si>
    <t>否</t>
    <phoneticPr fontId="1" type="noConversion"/>
  </si>
  <si>
    <t>qos.dfs.share.mon</t>
  </si>
  <si>
    <t>验证带宽管理${通道类型}${连接类型}的监控功能</t>
  </si>
  <si>
    <t>监控对象=速率,流量,连接数,连接速率,转发报文数,丢包数量;连接类型=全连接,半连接,全连接和半连接混合;通道类型=共享通道</t>
  </si>
  <si>
    <t>1、配置物理接口和聚合口上的接口带宽，配置${通道类型}，配置匹配物理接口和物理接口的带宽策略
2、发送${连接类型}的流量，观察$[监控对象]【check1】</t>
  </si>
  <si>
    <t>qos.dfs.solo.mon</t>
  </si>
  <si>
    <t>监控对象=速率,流量,连接数,连接速率,转发报文数,丢包数量;连接类型=全连接,半连接,全连接和半连接混合;通道类型=独占通道</t>
  </si>
  <si>
    <t>【check1】保障带宽、最大带宽、带宽总额、连接总数、新建连接速度限制正常
【check2】配置导出成功，检查配置文件符合规范
【check3】配置导入成功，设备的配置如导入的配置完全相同</t>
    <phoneticPr fontId="1" type="noConversion"/>
  </si>
  <si>
    <t>【check1】主备之间配置同步正常进行，主备设备间配置完全一致。
【check2】主备间配置正常同步
【check3】etcd查看Qos配置同步成功./etcdctl get / --keys-only --prefix | grep qos 中qos策略，通道和接口带宽均完成同步</t>
    <phoneticPr fontId="1" type="noConversion"/>
  </si>
  <si>
    <t>验证带宽管理配置导入导出功能</t>
    <phoneticPr fontId="1" type="noConversion"/>
  </si>
  <si>
    <t>1、选取任意物理口或者聚合口，配置接口带宽，带宽通道（1k+）和带宽策略（1k+），并配置业务
2、配置HA，观察主备配置。【check1】【check3】
3、在主机上增删和修改带宽管理配置，观察主备配置。【check2】【check3】
4、触发主备切换，在备升主的设备上增删和修改带宽管理配置。【check2】【check3】</t>
    <phoneticPr fontId="1" type="noConversion"/>
  </si>
  <si>
    <t>【check1】主备之间配置同步正常进行，主备设备间配置完全一致。
【check2】主备间配置正常同步
【check3】etcd查看Qos配置同步成功./etcdctl get / --keys-only --prefix | grep qos 中qos策略，通道和接口带宽均完成同步</t>
    <phoneticPr fontId="1" type="noConversion"/>
  </si>
  <si>
    <t>1、选取任意物理口或者聚合口，配置接口带宽，带宽通道（1k+）和带宽策略（1K+），并配置业务
2、配置HA，观察主备配置。【check1】【check3】
3、在主机上增删和修改带宽管理配置，观察主备配置。【check2】【check3】
4、触发主备切换，在备升主的设备上增删和修改带宽管理配置。【check2】【check3】</t>
    <phoneticPr fontId="1" type="noConversion"/>
  </si>
  <si>
    <t>验证带宽策略修改匹配条件后的总额限制不重新计算功能</t>
    <phoneticPr fontId="1" type="noConversion"/>
  </si>
  <si>
    <t>Qos.total.not.clear.2</t>
    <phoneticPr fontId="1" type="noConversion"/>
  </si>
  <si>
    <t>1、选取任意接口配置带宽策略，匹配参数任意，并引用共享通道或者独占通道，在通道上配置总额限制
2、在带宽策略引用的两个接口之间双向发送匹配带宽策略的流量。在时间对象生效区间内观察带宽策略和流量。【check1】
3、修改匹配条件（地址、服务或者其他条件），观察带宽策略和流量。【check2】</t>
    <phoneticPr fontId="1" type="noConversion"/>
  </si>
  <si>
    <t>验证带宽管理功能在反复修改引用、修改和增删带宽通道后功能正常</t>
    <phoneticPr fontId="1" type="noConversion"/>
  </si>
  <si>
    <t>1、选取任意物理口或者聚合口，配置带宽策略和通道，并配置业务
2、在设备发送背景流量的同时发起大量的连接，观察流量和连接。【check1】
3、不停止流量反复修改引用、修改和增删（包含批量删除）带宽通道，观察流量和连接。【check1】</t>
    <phoneticPr fontId="1" type="noConversion"/>
  </si>
  <si>
    <t>1、配置物理接口或聚合口上的接口带宽，配置独占通道和共享通道，配置匹配物理接口和物理接口的带宽策略。
2、在${操作}发送背景流量的同时向设备发送匹配带宽策略的流量，观察报文流量【check1】</t>
    <phoneticPr fontId="1" type="noConversion"/>
  </si>
  <si>
    <t>名称已存在</t>
    <phoneticPr fontId="1" type="noConversion"/>
  </si>
  <si>
    <t>数据名称=名称;有效值=1个字符,31个字符,1-31任意个字符;无效值=0个字符,32个字符,空,名称已存在</t>
    <phoneticPr fontId="1" type="noConversion"/>
  </si>
  <si>
    <t>1、使用/api/v1/qoschannel接口添加Qos通道时，配置名称为1个字符，其他参数为任意有效值,查询通道配置【check1】
2、使用/api/v1/qoschannel接口添加Qos通道时，配置名称为31个字符，其他参数为任意有效值,查询通道配置【check1】
3、使用/api/v1/qoschannel接口添加Qos通道时，配置名称为1-31任意个字符，其他参数为任意有效值,查询通道配置【check1】
4、添加Qos通道时，配置名称为0个字符，其他参数为任意有效值,查询通道配置【check2】
5、添加Qos通道时，配置名称为32个字符，其他参数为任意有效值,查询通道配置【check2】
6、添加Qos通道时，配置名称为空，其他参数为任意有效值,查询通道配置【check2】
6、添加Qos通道时，配置名称为已存在的名称，其他参数为任意有效值,查询通道配置【check2】</t>
    <phoneticPr fontId="1" type="noConversion"/>
  </si>
  <si>
    <t>已存在的任意名称</t>
    <phoneticPr fontId="1" type="noConversion"/>
  </si>
  <si>
    <t>数据名称=名称;有效值=1个字符,31个字符,1-31任意个字符;无效值=0个字符,32个字符,空,已存在的任意名称</t>
    <phoneticPr fontId="1" type="noConversion"/>
  </si>
  <si>
    <t>操作=清除会话,会话老化,修改匹配条件,设备重启</t>
    <phoneticPr fontId="1" type="noConversion"/>
  </si>
  <si>
    <t>Qos.total.not.clear.3</t>
  </si>
  <si>
    <t>验证带宽策略设备重启后的总额限制不重新计算功能</t>
    <phoneticPr fontId="1" type="noConversion"/>
  </si>
  <si>
    <t>1、选取任意接口配置带宽策略，匹配参数任意，并引用共享通道或者独占通道，在通道上配置总额限制
2、在带宽策略引用的两个接口之间双向发送匹配带宽策略的流量。在时间对象生效区间内观察带宽策略和流量。【check1】
3、设备重启后，观察带宽策略和流量。【check2】</t>
    <phoneticPr fontId="1" type="noConversion"/>
  </si>
  <si>
    <t>Qos.ipv4.match.non.std.srv.1</t>
    <phoneticPr fontId="1" type="noConversion"/>
  </si>
  <si>
    <t>Qos.ipv4.match.non.std.srv.2</t>
    <phoneticPr fontId="1" type="noConversion"/>
  </si>
  <si>
    <t>验证IPv4带宽策略单策略匹配非标准服务功能</t>
    <phoneticPr fontId="1" type="noConversion"/>
  </si>
  <si>
    <t>验证IPv6带宽策略单策略匹配非标准服务功能</t>
    <phoneticPr fontId="1" type="noConversion"/>
  </si>
  <si>
    <t>验证带宽管理功能在反复接口启用禁用和重启后功能正常</t>
    <phoneticPr fontId="1" type="noConversion"/>
  </si>
  <si>
    <t>1、选取任意物理口或者聚合口，配置带宽策略和通道，并配置业务
2、在设备发送背景流量的同时发起大量的连接，观察流量和连接。【check1】
3、不停止流量反复启用禁用接口让接口状态为启用后重启，观察流量和连接。【check1】
4、不停止流量反复启用禁用接口让接口状态为禁用后重启，开启接口后，观察流量和连接。【check1】</t>
    <phoneticPr fontId="1" type="noConversion"/>
  </si>
  <si>
    <t>1、使用/api/v1/qosintf接口修改接口带宽时，配置空闲阈值为10，其他参数为任意有效值,查询接口带宽配置【check1】
2、使用/api/v1/qosintf接口修改接口带宽时，配置空闲阈值为80，其他参数为任意有效值,查询接口带宽配置【check1】
3、使用/api/v1/qosintf接口修改接口带宽时，配置空闲阈值为10-80间任意10的整数倍，其他参数为任意有效值,查询接口带宽配置【check1】
4、修改接口带宽时，配置空闲阈值为0，其他参数为任意有效值,查询接口带宽配置【check2】
5、修改接口带宽时，配置空闲阈值为90，其他参数为任意有效值,查询接口带宽配置【check2】
6、修改接口带宽时，配置空闲阈值为空闲阈值大于繁忙阈值，其他参数为任意有效值,查询接口带宽配置【check2】
7、修改接口带宽时，配置空闲阈值为空闲阈值等于于繁忙阈值，其他参数为任意有效值,查询接口带宽配置【check2】
8、修改接口带宽时，配置空闲阈值为10-80间任意非10的整数倍，其他参数为任意有效值,查询接口带宽配置【check2】
9、修改接口带宽时，配置空闲阈值为空，其他参数为任意有效值,查询接口带宽配置【check2】
10、修改接口带宽时，配置空闲阈值为非数字，其他参数为任意有效值,查询接口带宽配置【check2】</t>
    <phoneticPr fontId="1" type="noConversion"/>
  </si>
  <si>
    <t>1、配置大于3条Qos接口带宽。
2、使用/api/v1/qosintf?id=&lt;id&gt;删除接口带宽。【check1】【check2】【check3】
3、使用/api/v1/qosintf?id=&lt;id&gt;删除不存在的接口带宽id。【check4】
4、使用/api/v1/batch接口删除不存在的Qos接口带宽id。【check5】
5、使用/api/v1/batch接口删除部分存在部分不存在的QOS接口带宽【check5】
6、使用/api/v1/batch接口删除大于两条存在QoS接口带宽。【check1】【check2】【check3】</t>
    <phoneticPr fontId="1" type="noConversion"/>
  </si>
  <si>
    <t>【check1】删除成功，Qos接口带宽配置表中配置被删除。
【check2】使用restful查询Qos接口带宽，对应的接口带宽不存在
【check3】使用etcd查询Qos接口带宽，接口带宽被删除
【check4】删除失败，提示信息正确。查询Qos接口带宽表与删除前完全一致（无误删）。
【check5】返回删除失败，其中有效的ID被删除。查看Qos接口带宽配置中不包含在有效ID中的接口带宽不会被删除</t>
    <phoneticPr fontId="1" type="noConversion"/>
  </si>
  <si>
    <t>验证Qos多接口配置功能</t>
    <phoneticPr fontId="1" type="noConversion"/>
  </si>
  <si>
    <t>Qos.cfg.intfs.ptc0</t>
    <phoneticPr fontId="1" type="noConversion"/>
  </si>
  <si>
    <t>【check1】配置成功，show interface GE2 features查看接口的qos节点正常
【check2】删除的接口QOS节点被删除</t>
    <phoneticPr fontId="1" type="noConversion"/>
  </si>
  <si>
    <t>1、配置大于3条Qos接口带宽。【check1】
2、删除其中一条Qos接口带宽，观察qos配置。【check2】
3、再次增删其他接口，观察Qos配置。【check1】</t>
    <phoneticPr fontId="1" type="noConversion"/>
  </si>
  <si>
    <t>Qos.precision.1</t>
    <phoneticPr fontId="1" type="noConversion"/>
  </si>
  <si>
    <t>Qos.dynamic.avg.1</t>
    <phoneticPr fontId="1" type="noConversion"/>
  </si>
  <si>
    <t>Qos.dynamic.avg.2</t>
    <phoneticPr fontId="1" type="noConversion"/>
  </si>
  <si>
    <t>Qos.dynamic.avg.3</t>
  </si>
  <si>
    <t>Qos.dynamic.avg.4</t>
  </si>
  <si>
    <t>验证独立通道每IP动态均分带宽功能</t>
    <phoneticPr fontId="1" type="noConversion"/>
  </si>
  <si>
    <t>验证独立通道每用户动态均分带宽功能</t>
    <phoneticPr fontId="1" type="noConversion"/>
  </si>
  <si>
    <t>验证共享通道每IP动态均分带宽功能</t>
    <phoneticPr fontId="1" type="noConversion"/>
  </si>
  <si>
    <t>验证共享通道每用户动态均分带宽功能</t>
    <phoneticPr fontId="1" type="noConversion"/>
  </si>
  <si>
    <t>1、配置带宽策略和业务
2、验证最大带宽为最小值的精度，观察流量通过情况【check1】
3、验证最大带宽为接口带宽50%的精度，观察流量通过情况【check1】
4、验证最大带宽为接口带宽线速的精度，观察流量通过情况【check1】</t>
    <phoneticPr fontId="1" type="noConversion"/>
  </si>
  <si>
    <t>1、配置接口IP和业务
2、配置独立通道每IP动态均分带宽，配置带宽策略引用该通道。
3、向设备发送多个不同源IP的流量（构造部分相同的源IP属于不同的用户），每条流的流量大小不相同。观察流量。【check1】
4、加大部分源IP的流量，观察流量。【check1】
5、停止部分源IP的流量，观察流量。【check2】</t>
    <phoneticPr fontId="1" type="noConversion"/>
  </si>
  <si>
    <t>【check1】流量按照源IP进行均分
【check2】剩下的流量按照源IP进行均分</t>
    <phoneticPr fontId="1" type="noConversion"/>
  </si>
  <si>
    <t>1、配置接口IP和业务
2、配置独立通道每用户动态均分带宽，配置带宽策略引用该通道。
3、向设备发送多个不同源用户的流量（构造部分相同的用户有不同的源IP），每条流的流量大小不相同。观察流量。【check1】
4、加大部分源IP的流量，观察流量。【check1】
5、停止部分源IP的流量，观察流量。【check2】</t>
    <phoneticPr fontId="1" type="noConversion"/>
  </si>
  <si>
    <t>【check1】流量按照用户进行均分
【check2】剩下的流量按照用户进行均分</t>
    <phoneticPr fontId="1" type="noConversion"/>
  </si>
  <si>
    <t>1、网元正常启动</t>
    <phoneticPr fontId="1" type="noConversion"/>
  </si>
  <si>
    <t>1、配置接口IP和业务
2、配置共享通道每IP动态均分带宽，配置多条带宽策略引用该通道。
3、向设备发送多个不同源IP的流量（构造部分相同的源IP属于不同的用户，且流量匹配不同的带宽策略），每条流的流量大小不相同。观察流量。【check1】
4、加大部分源IP的流量，观察流量。【check1】
5、停止部分源IP的流量，观察流量。【check2】</t>
    <phoneticPr fontId="1" type="noConversion"/>
  </si>
  <si>
    <t>1、配置接口IP和业务
2、配置共享通道每用户动态均分带宽，配置多条带宽策略引用该通道。
3、向设备发送多个不同源用户的流量（构造部分相同的用户有不同的源IP，且流量匹配不同的带宽策略），每条流的流量大小不相同。观察流量。【check1】
4、加大部分源IP的流量，观察流量。【check1】
5、停止部分源IP的流量，观察流量。【check2】</t>
    <phoneticPr fontId="1" type="noConversion"/>
  </si>
  <si>
    <t>是</t>
    <phoneticPr fontId="1" type="noConversion"/>
  </si>
  <si>
    <t>验证IPv4带宽策略单策略匹配源地址功能</t>
    <phoneticPr fontId="1" type="noConversion"/>
  </si>
  <si>
    <t>【check1】上行方向匹配流量的按带宽通道上行最大带宽的流量通过。
【check2】下行方向匹配流量的按带宽通道下行最大带宽的流量通过。
【check3】流量不受影响带宽通道的最大带宽限制。</t>
  </si>
  <si>
    <t>带宽管理</t>
    <phoneticPr fontId="1" type="noConversion"/>
  </si>
  <si>
    <t>是否完成自动化</t>
    <phoneticPr fontId="1" type="noConversion"/>
  </si>
  <si>
    <t>是</t>
    <phoneticPr fontId="1" type="noConversion"/>
  </si>
  <si>
    <t>是</t>
    <phoneticPr fontId="1" type="noConversion"/>
  </si>
  <si>
    <t>是</t>
    <phoneticPr fontId="1" type="noConversion"/>
  </si>
  <si>
    <t>P1</t>
    <phoneticPr fontId="1" type="noConversion"/>
  </si>
  <si>
    <t>P1</t>
    <phoneticPr fontId="1" type="noConversion"/>
  </si>
  <si>
    <t>Qos.ipv4.match.1p1c.optional.0</t>
    <phoneticPr fontId="1" type="noConversion"/>
  </si>
  <si>
    <t>Qos.ipv6.match.1p1c.optional.0</t>
    <phoneticPr fontId="1" type="noConversion"/>
  </si>
  <si>
    <t>【check1】上行流量按照通道上行最大带宽通过，下行流量按照下行流量的最大带宽通过。
【check2】流量不受影响带宽通道的最大带宽限制。</t>
    <phoneticPr fontId="1" type="noConversion"/>
  </si>
  <si>
    <t>1、在设备上配置共享通道chl1，并配置通道最大带宽
2、在port1（入）和port2（出）上配置带宽策略P1，匹配任意参数，引用chl1。在port3（入）和port2（出）上配置带宽策略P2，匹配任意参数，引用chl1。
3、从Port1向Port2之间双向满流量发送匹配P1和P2的流量，Port3和Port2之间双向满流量发送匹配P3的流量，观察流量通过情况。【check1】
4、不停止流量，禁用带宽策略，观察流量。【check2】</t>
    <phoneticPr fontId="1" type="noConversion"/>
  </si>
  <si>
    <t>1、在port1（入）和port2（出）上配置带宽策略，匹配任意参数，引用Qos独占通道配置总额限制
2、从Port2向Port1发送线速带宽的流量，流量反向匹配带宽策略，观察流量通过情况。（此时无正向会话，必要时可以清除会话）【check2】
3、不停止流量，从Port1向Port2发送正向匹配带宽策略的流量，观察流量。（此时无正向会话，必要时可以清除会话）【check1】
4、不停止流量，禁用带宽策略，观察流量。【check2】</t>
    <phoneticPr fontId="1" type="noConversion"/>
  </si>
  <si>
    <t>IPv4策略配置</t>
    <phoneticPr fontId="1" type="noConversion"/>
  </si>
  <si>
    <t>IPv6策略配置</t>
    <phoneticPr fontId="1" type="noConversion"/>
  </si>
  <si>
    <t>Qos.cfg.policy.post.ptc0</t>
    <phoneticPr fontId="1" type="noConversion"/>
  </si>
  <si>
    <t>验证添加IPv4带宽策略时状态有效值和无效值测试</t>
  </si>
  <si>
    <t>验证添加IPv4带宽策略时策略名称有效值和无效值测试</t>
  </si>
  <si>
    <t>验证添加IPv4带宽策略时上行接口有效值和无效值测试</t>
  </si>
  <si>
    <t>验证添加IPv4带宽策略时下行接口有效值和无效值测试</t>
  </si>
  <si>
    <t>验证添加IPv4带宽策略时源地址有效值和无效值测试</t>
  </si>
  <si>
    <t>验证添加IPv4带宽策略时源地址组有效值和无效值测试</t>
  </si>
  <si>
    <t>验证添加IPv4带宽策略时目的地址有效值和无效值测试</t>
  </si>
  <si>
    <t>验证添加IPv4带宽策略时目的地址组有效值和无效值测试</t>
  </si>
  <si>
    <t>验证添加IPv4带宽策略时服务有效值和无效值测试</t>
  </si>
  <si>
    <t>验证添加IPv4带宽策略时服务组有效值和无效值测试</t>
  </si>
  <si>
    <t>验证添加IPv4带宽策略时时间有效值和无效值测试</t>
  </si>
  <si>
    <t>验证添加IPv4带宽策略时通道有效值和无效值测试</t>
  </si>
  <si>
    <t>验证修改IPv4带宽策略时ID有效值和无效值测试</t>
  </si>
  <si>
    <t>验证修改IPv4带宽策略时状态有效值和无效值测试</t>
  </si>
  <si>
    <t>验证修改IPv4带宽策略时策略名称有效值和无效值测试</t>
  </si>
  <si>
    <t>验证修改IPv4带宽策略时上行接口有效值和无效值测试</t>
  </si>
  <si>
    <t>验证修改IPv4带宽策略时下行接口有效值和无效值测试</t>
  </si>
  <si>
    <t>验证修改IPv4带宽策略时源地址有效值和无效值测试</t>
  </si>
  <si>
    <t>验证修改IPv4带宽策略时源地址组有效值和无效值测试</t>
  </si>
  <si>
    <t>验证修改IPv4带宽策略时目的地址有效值和无效值测试</t>
  </si>
  <si>
    <t>验证修改IPv4带宽策略时目的地址组有效值和无效值测试</t>
  </si>
  <si>
    <t>验证修改IPv4带宽策略时服务有效值和无效值测试</t>
  </si>
  <si>
    <t>验证修改IPv4带宽策略时服务组有效值和无效值测试</t>
  </si>
  <si>
    <t>验证修改IPv4带宽策略时时间有效值和无效值测试</t>
  </si>
  <si>
    <t>验证修改IPv4带宽策略时通道有效值和无效值测试</t>
  </si>
  <si>
    <t>验证IPv4带宽策略删除和批量删除</t>
  </si>
  <si>
    <t>验证配置IPv4带宽策略查询有效值和无效值</t>
  </si>
  <si>
    <t>验证IPv4带宽策略批量启用和禁用测试</t>
  </si>
  <si>
    <t>验证配置IPv4带宽策略容量测试</t>
  </si>
  <si>
    <t>验证配置IPv4带宽策略的oplog测试</t>
  </si>
  <si>
    <t>验证配置IPv4带宽策略时上行保障带宽限制测试</t>
    <phoneticPr fontId="1" type="noConversion"/>
  </si>
  <si>
    <t>验证配置IPv4带宽策略时下行保障带宽限制测试</t>
    <phoneticPr fontId="1" type="noConversion"/>
  </si>
  <si>
    <t>调整IPv4带宽策略优先级时被调整策略ID有效值和无效值测试</t>
  </si>
  <si>
    <t>调整IPv4带宽策略优先级时调整方式有效值和无效值测试</t>
  </si>
  <si>
    <t>调整IPv4带宽策略优先级时目标策略ID有效值和无效值测试</t>
  </si>
  <si>
    <t>IPv4带宽策略优先级调整Oplog测试</t>
  </si>
  <si>
    <t>配置IPv4带宽策略后验证地址对象配置限制</t>
  </si>
  <si>
    <t>配置IPv4带宽策略后验证地址组对象配置限制</t>
  </si>
  <si>
    <t>配置IPv4带宽策略后验证服务对象配置限制</t>
  </si>
  <si>
    <t>配置IPv4带宽策略后验证服务组对象配置限制</t>
  </si>
  <si>
    <t>配置IPv4带宽策略后验证时间对象配置限制</t>
  </si>
  <si>
    <t>IPv4带宽策略优先级调整接口限制测试</t>
  </si>
  <si>
    <t>验证添加IPv6带宽策略时状态有效值和无效值测试</t>
  </si>
  <si>
    <t>验证添加IPv6带宽策略时策略名称有效值和无效值测试</t>
  </si>
  <si>
    <t>验证添加IPv6带宽策略时上行接口有效值和无效值测试</t>
  </si>
  <si>
    <t>验证添加IPv6带宽策略时下行接口有效值和无效值测试</t>
  </si>
  <si>
    <t>验证添加IPv6带宽策略时源地址有效值和无效值测试</t>
  </si>
  <si>
    <t>验证添加IPv6带宽策略时源地址组有效值和无效值测试</t>
  </si>
  <si>
    <t>验证添加IPv6带宽策略时目的地址有效值和无效值测试</t>
  </si>
  <si>
    <t>验证添加IPv6带宽策略时目的地址组有效值和无效值测试</t>
  </si>
  <si>
    <t>验证添加IPv6带宽策略时服务有效值和无效值测试</t>
  </si>
  <si>
    <t>验证添加IPv6带宽策略时服务组有效值和无效值测试</t>
  </si>
  <si>
    <t>验证添加IPv6带宽策略时时间有效值和无效值测试</t>
  </si>
  <si>
    <t>验证添加IPv6带宽策略时通道有效值和无效值测试</t>
  </si>
  <si>
    <t>验证修改IPv6带宽策略时ID有效值和无效值测试</t>
  </si>
  <si>
    <t>验证修改IPv6带宽策略时状态有效值和无效值测试</t>
  </si>
  <si>
    <t>验证修改IPv6带宽策略时策略名称有效值和无效值测试</t>
  </si>
  <si>
    <t>验证修改IPv6带宽策略时上行接口有效值和无效值测试</t>
  </si>
  <si>
    <t>验证修改IPv6带宽策略时下行接口有效值和无效值测试</t>
  </si>
  <si>
    <t>验证修改IPv6带宽策略时源地址有效值和无效值测试</t>
  </si>
  <si>
    <t>验证修改IPv6带宽策略时源地址组有效值和无效值测试</t>
  </si>
  <si>
    <t>验证修改IPv6带宽策略时目的地址有效值和无效值测试</t>
  </si>
  <si>
    <t>验证修改IPv6带宽策略时目的地址组有效值和无效值测试</t>
  </si>
  <si>
    <t>验证修改IPv6带宽策略时服务有效值和无效值测试</t>
  </si>
  <si>
    <t>验证修改IPv6带宽策略时服务组有效值和无效值测试</t>
  </si>
  <si>
    <t>验证修改IPv6带宽策略时时间有效值和无效值测试</t>
  </si>
  <si>
    <t>验证修改IPv6带宽策略时通道有效值和无效值测试</t>
  </si>
  <si>
    <t>验证IPv6带宽策略删除和批量删除</t>
  </si>
  <si>
    <t>验证配置IPv6带宽策略查询有效值和无效值</t>
  </si>
  <si>
    <t>验证IPv6带宽策略批量启用和禁用测试</t>
  </si>
  <si>
    <t>验证配置IPv6带宽策略容量测试</t>
  </si>
  <si>
    <t>验证配置IPv6带宽策略的oplog测试</t>
  </si>
  <si>
    <t>调整IPv6带宽策略优先级时被调整策略ID有效值和无效值测试</t>
  </si>
  <si>
    <t>调整IPv6带宽策略优先级时调整方式有效值和无效值测试</t>
  </si>
  <si>
    <t>调整IPv6带宽策略优先级时目标策略ID有效值和无效值测试</t>
  </si>
  <si>
    <t>IPv6带宽策略优先级调整Oplog测试</t>
  </si>
  <si>
    <t>配置IPv6带宽策略后验证地址对象配置限制</t>
  </si>
  <si>
    <t>配置IPv6带宽策略后验证地址组对象配置限制</t>
  </si>
  <si>
    <t>配置IPv6带宽策略后验证服务对象配置限制</t>
  </si>
  <si>
    <t>配置IPv6带宽策略后验证服务组对象配置限制</t>
  </si>
  <si>
    <t>配置IPv6带宽策略后验证时间对象配置限制</t>
  </si>
  <si>
    <t>IPv6带宽策略优先级调整接口限制测试</t>
  </si>
  <si>
    <t>验证配置IPv6带宽策略时上行保障带宽限制测试</t>
    <phoneticPr fontId="1" type="noConversion"/>
  </si>
  <si>
    <t>验证配置IPv6带宽策略时下行保障带宽限制测试</t>
    <phoneticPr fontId="1" type="noConversion"/>
  </si>
  <si>
    <t>1、使用/api/v1/qospolicer6接口添加IPv6带宽策略时，配置状态为启用，其他参数为任意有效值,查询IPv6带宽策略配置【check1】
2、使用/api/v1/qospolicer6接口添加IPv6带宽策略时，配置状态为禁用，其他参数为任意有效值,查询IPv6带宽策略配置【check1】
3、添加IPv6带宽策略时，配置状态为其他任意非法字符串，其他参数为任意有效值,查询IPv6带宽策略配置【check2】
4、添加IPv6带宽策略时，配置状态为空，其他参数为任意有效值,查询IPv6带宽策略配置【check2】
5、添加IPv6带宽策略时，配置状态为超长字符串，其他参数为任意有效值,查询IPv6带宽策略配置【check2】</t>
  </si>
  <si>
    <t>1、使用/api/v1/qospolicer6接口添加IPv4QOSIPv6带宽策略时，配置名称为1个字符，其他参数为任意有效值,查询通道配置【check1】
2、添加IPv6带宽策略时，配置名称为31个字符，其他参数为任意有效值,查询通道配置【check1】
3、添加IPv6带宽策略时，配置名称为1-31任意个字符，其他参数为任意有效值,查询通道配置【check1】
4、添加IPv6带宽策略时，配置名称为0个字符，其他参数为任意有效值,查询通道配置【check2】
5、添加IPv6带宽策略时，配置名称为32个字符，其他参数为任意有效值,查询通道配置【check2】
6、添加IPv6带宽策略时，配置名称为空，其他参数为任意有效值,查询通道配置【check2】
6、添加IPv6带宽策略时，配置名称为已存在的策略名称，其他参数为任意有效值,查询通道配置【check2】</t>
  </si>
  <si>
    <t>1、使用/api/v1/qospolicer6接口添加IPv6带宽策略时，配置上行接口为任意物理接口，其他参数为任意有效值,查询IPv6带宽策略配置【check1】
2、使用/api/v1/qospolicer6接口添加IPv6带宽策略时，配置上行接口为任意聚合口，其他参数为任意有效值,查询IPv6带宽策略配置【check1】
3、使用/api/v1/qospolicer6接口添加IPv6带宽策略时，配置上行接口为上行接口与下行接口相同，其他参数为任意有效值,查询IPv6带宽策略配置【check1】
4、添加IPv6带宽策略时，配置上行接口为管理口，其他参数为任意有效值,查询IPv6带宽策略配置【check2】
5、添加IPv6带宽策略时，配置上行接口为子接口，其他参数为任意有效值,查询IPv6带宽策略配置【check2】
6、添加IPv6带宽策略时，配置上行接口为bvi口，其他参数为任意有效值,查询IPv6带宽策略配置【check2】
7、添加IPv6带宽策略时，配置上行接口为隧道口，其他参数为任意有效值,查询IPv6带宽策略配置【check2】
8、添加IPv6带宽策略时，配置上行接口为聚合口的成员口，其他参数为任意有效值,查询IPv6带宽策略配置【check2】
9、添加IPv6带宽策略时，配置上行接口为任意不存在的接口名称，其他参数为任意有效值,查询IPv6带宽策略配置【check2】
10、添加IPv6带宽策略时，配置上行接口为空，其他参数为任意有效值,查询IPv6带宽策略配置【check2】</t>
  </si>
  <si>
    <t>1、使用/api/v1/qospolicer6接口添加IPv6带宽策略时，配置下行接口为任意物理接口，其他参数为任意有效值,查询IPv6带宽策略配置【check1】
2、使用/api/v1/qospolicer6接口添加IPv6带宽策略时，配置下行接口为任意聚合口，其他参数为任意有效值,查询IPv6带宽策略配置【check1】
3、使用/api/v1/qospolicer6接口添加IPv6带宽策略时，配置下行接口为下行接口与上行接口相同，其他参数为任意有效值,查询IPv6带宽策略配置【check1】
4、添加IPv6带宽策略时，配置下行接口为管理口，其他参数为任意有效值,查询IPv6带宽策略配置【check2】
5、添加IPv6带宽策略时，配置下行接口为子接口，其他参数为任意有效值,查询IPv6带宽策略配置【check2】
6、添加IPv6带宽策略时，配置下行接口为bvi口，其他参数为任意有效值,查询IPv6带宽策略配置【check2】
7、添加IPv6带宽策略时，配置下行接口为隧道口，其他参数为任意有效值,查询IPv6带宽策略配置【check2】
8、添加IPv6带宽策略时，配置下行接口为聚合口的成员口，其他参数为任意有效值,查询IPv6带宽策略配置【check2】
9、添加IPv6带宽策略时，配置下行接口为任意不存在的接口名称，其他参数为任意有效值,查询IPv6带宽策略配置【check2】
10、添加IPv6带宽策略时，配置下行接口为空，其他参数为任意有效值,查询IPv6带宽策略配置【check2】</t>
  </si>
  <si>
    <t>1、使用/api/v1/qospolicer6接口添加IPv6带宽策略时，配置源地址为any，其他参数为任意有效值,查询IPv6带宽策略配置【check1】
2、使用/api/v1/qospolicer6接口添加IPv6带宽策略时，配置源地址为已存在地址对象名称，其他参数为任意有效值,查询IPv6带宽策略配置【check1】
3、使用/api/v1/qospolicer6接口添加IPv6带宽策略时，配置源地址为多个地址对象共存，其他参数为任意有效值,查询IPv6带宽策略配置【check1】
4、添加IPv6带宽策略时，配置源地址为空，其他参数为任意有效值,查询IPv6带宽策略配置【check2】
5、添加IPv6带宽策略时，配置源地址为不存在的地址对象名称，其他参数为任意有效值,查询IPv6带宽策略配置【check2】
6、添加IPv6带宽策略时，配置源地址为any和单个对象同时存在，其他参数为任意有效值,查询IPv6带宽策略配置【check2】
7、添加IPv6带宽策略时，配置源地址为64字节字符串，其他参数为任意有效值,查询IPv6带宽策略配置【check2】</t>
  </si>
  <si>
    <t>1、使用/api/v1/qospolicer6接口添加IPv6带宽策略时，配置源地址组为any，其他参数为任意有效值,查询IPv6带宽策略配置【check1】
2、使用/api/v1/qospolicer6接口添加IPv6带宽策略时，配置源地址组为已存在的地址组对象名称，其他参数为任意有效值,查询IPv6带宽策略配置【check1】
3、使用/api/v1/qospolicer6接口添加IPv6带宽策略时，配置源地址组为多个地址组对象共存，其他参数为任意有效值,查询IPv6带宽策略配置【check1】
4、添加IPv6带宽策略时，配置源地址组为空，其他参数为任意有效值,查询IPv6带宽策略配置【check2】
5、添加IPv6带宽策略时，配置源地址组为不存在的地址组对象名称，其他参数为任意有效值,查询IPv6带宽策略配置【check2】
6、添加IPv6带宽策略时，配置源地址组为any和单个对象同时存在，其他参数为任意有效值,查询IPv6带宽策略配置【check2】
7、添加IPv6带宽策略时，配置源地址组为64字节字符串，其他参数为任意有效值,查询IPv6带宽策略配置【check2】</t>
  </si>
  <si>
    <t>1、使用/api/v1/qospolicer6接口添加IPv6带宽策略时，配置目的地址为any，其他参数为任意有效值,查询IPv6带宽策略配置【check1】
2、使用/api/v1/qospolicer6接口添加IPv6带宽策略时，配置目的地址为已存在地址对象名称，其他参数为任意有效值,查询IPv6带宽策略配置【check1】
3、使用/api/v1/qospolicer6接口添加IPv6带宽策略时，配置目的地址为多个地址对象共存，其他参数为任意有效值,查询IPv6带宽策略配置【check1】
4、添加IPv6带宽策略时，配置目的地址为空，其他参数为任意有效值,查询IPv6带宽策略配置【check2】
5、添加IPv6带宽策略时，配置目的地址为不存在的地址对象名称，其他参数为任意有效值,查询IPv6带宽策略配置【check2】
6、添加IPv6带宽策略时，配置目的地址为any和单个对象同时存在，其他参数为任意有效值,查询IPv6带宽策略配置【check2】
7、添加IPv6带宽策略时，配置目的地址为64字节字符串，其他参数为任意有效值,查询IPv6带宽策略配置【check2】</t>
  </si>
  <si>
    <t>1、使用/api/v1/qospolicer6接口添加IPv6带宽策略时，配置目的地址组为any，其他参数为任意有效值,查询IPv6带宽策略配置【check1】
2、使用/api/v1/qospolicer6接口添加IPv6带宽策略时，配置目的地址组为已存在的地址组对象名称，其他参数为任意有效值,查询IPv6带宽策略配置【check1】
3、使用/api/v1/qospolicer6接口添加IPv6带宽策略时，配置目的地址组为多个地址组对象共存，其他参数为任意有效值,查询IPv6带宽策略配置【check1】
4、添加IPv6带宽策略时，配置目的地址组为空，其他参数为任意有效值,查询IPv6带宽策略配置【check2】
5、添加IPv6带宽策略时，配置目的地址组为不存在的地址组对象名称，其他参数为任意有效值,查询IPv6带宽策略配置【check2】
6、添加IPv6带宽策略时，配置目的地址组为any和单个对象同时存在，其他参数为任意有效值,查询IPv6带宽策略配置【check2】
7、添加IPv6带宽策略时，配置目的地址组为64字节字符串，其他参数为任意有效值,查询IPv6带宽策略配置【check2】</t>
  </si>
  <si>
    <t>1、使用/api/v1/qospolicer6接口添加IPv6带宽策略时，配置服务为any，其他参数为任意有效值,查询IPv6带宽策略配置【check1】
2、使用/api/v1/qospolicer6接口添加IPv6带宽策略时，配置服务为已存在地址对象名称，其他参数为任意有效值,查询IPv6带宽策略配置【check1】
3、使用/api/v1/qospolicer6接口添加IPv6带宽策略时，配置服务为多个服务对象共存，其他参数为任意有效值,查询IPv6带宽策略配置【check1】
4、添加IPv6带宽策略时，配置服务为空，其他参数为任意有效值,查询IPv6带宽策略配置【check2】
5、添加IPv6带宽策略时，配置服务为不存在的服务对象名称，其他参数为任意有效值,查询IPv6带宽策略配置【check2】
6、添加IPv6带宽策略时，配置服务为any和单个对象同时存在，其他参数为任意有效值,查询IPv6带宽策略配置【check2】
7、添加IPv6带宽策略时，配置服务为64字节字符串，其他参数为任意有效值,查询IPv6带宽策略配置【check2】</t>
  </si>
  <si>
    <t>1、使用/api/v1/qospolicer6接口添加IPv6带宽策略时，配置服务组为any，其他参数为任意有效值,查询IPv6带宽策略配置【check1】
2、使用/api/v1/qospolicer6接口添加IPv6带宽策略时，配置服务组为已存在的地址组对象名称，其他参数为任意有效值,查询IPv6带宽策略配置【check1】
3、使用/api/v1/qospolicer6接口添加IPv6带宽策略时，配置服务组为多个服务组对象共存，其他参数为任意有效值,查询IPv6带宽策略配置【check1】
4、添加IPv6带宽策略时，配置服务组为空，其他参数为任意有效值,查询IPv6带宽策略配置【check2】
5、添加IPv6带宽策略时，配置服务组为不存在的服务组对象名称，其他参数为任意有效值,查询IPv6带宽策略配置【check2】
6、添加IPv6带宽策略时，配置服务组为any和单个对象同时存在，其他参数为任意有效值,查询IPv6带宽策略配置【check2】
7、添加IPv6带宽策略时，配置服务组为64字节字符串，其他参数为任意有效值,查询IPv6带宽策略配置【check2】</t>
  </si>
  <si>
    <t>1、使用/api/v1/qospolicer6接口添加IPv6带宽策略时，配置时间为空，其他参数为任意有效值,查询IPv6带宽策略配置【check1】
2、使用/api/v1/qospolicer6接口添加IPv6带宽策略时，配置时间为已存在的时间对象，其他参数为任意有效值,查询IPv6带宽策略配置【check1】
3、添加IPv6带宽策略时，配置时间为不存在的时间对象名称，其他参数为任意有效值,查询IPv6带宽策略配置【check2】
4、添加IPv6带宽策略时，配置时间为64字节字符串，其他参数为任意有效值,查询IPv6带宽策略配置【check2】</t>
  </si>
  <si>
    <t>1、使用/api/v1/qospolicer6接口添加IPv6带宽策略时，配置通道为已存在的时间对象，其他参数为任意有效值,查询IPv6带宽策略配置【check1】
2、添加IPv6带宽策略时，配置通道为空，其他参数为任意有效值,查询IPv6带宽策略配置【check2】
3、添加IPv6带宽策略时，配置通道为不存在的通道，其他参数为任意有效值,查询IPv6带宽策略配置【check2】
4、添加IPv6带宽策略时，配置通道为64字节字符串，其他参数为任意有效值,查询IPv6带宽策略配置【check2】</t>
  </si>
  <si>
    <t>1、使用/api/v1/qospolicer6接口修改IPv6带宽策略时，配置ID为1，其他参数为任意有效值,查询IPv6带宽策略配置【check1】
2、使用/api/v1/qospolicer6接口修改IPv6带宽策略时，配置ID为存在的任意ID，其他参数为任意有效值,查询IPv6带宽策略配置【check2】
3、修改IPv6带宽策略时，配置ID为空，其他参数为任意有效值,查询IPv6带宽策略配置【check2】
4、修改IPv6带宽策略时，配置ID为0，其他参数为任意有效值,查询IPv6带宽策略配置【check2】
5、修改IPv6带宽策略时，配置ID为不存在的ID，其他参数为任意有效值,查询IPv6带宽策略配置【check2】
6、修改IPv6带宽策略时，配置ID为其他任意非法字符串，其他参数为任意有效值,查询IPv6带宽策略配置【check2】</t>
  </si>
  <si>
    <t>1、使用/api/v1/qospolicer6接口修改IPv6带宽策略时，配置状态为启用，其他参数为任意有效值,查询IPv6带宽策略配置【check1】
2、使用/api/v1/qospolicer6接口修改IPv6带宽策略时，配置状态为禁用，其他参数为任意有效值,查询IPv6带宽策略配置【check1】
3、修改IPv6带宽策略时，配置状态为其他任意非法字符串，其他参数为任意有效值,查询IPv6带宽策略配置【check2】
4、修改IPv6带宽策略时，配置状态为空，其他参数为任意有效值,查询IPv6带宽策略配置【check2】
5、修改IPv6带宽策略时，配置状态为超长字符串，其他参数为任意有效值,查询IPv6带宽策略配置【check2】</t>
  </si>
  <si>
    <t>1、使用/api/v1/qospolicer6接口修改IPv6带宽策略时，配置策略名称为原值相同，其他参数为任意有效值,查询IPv6带宽策略配置【check1】
2、修改IPv6带宽策略时，配置策略名称为与原值不同，其他参数为任意有效值,查询IPv6带宽策略配置【check2】
3、修改IPv6带宽策略时，配置策略名称为0个字符，其他参数为任意有效值,查询IPv6带宽策略配置【check2】
4、修改IPv6带宽策略时，配置策略名称为32个字符，其他参数为任意有效值,查询IPv6带宽策略配置【check2】
5、修改IPv6带宽策略时，配置策略名称为空，其他参数为任意有效值,查询IPv6带宽策略配置【check2】</t>
  </si>
  <si>
    <t>1、使用/api/v1/qospolicer6接口修改IPv6带宽策略时，配置上行接口为任意物理接口，其他参数为任意有效值,查询IPv6带宽策略配置【check1】
2、使用/api/v1/qospolicer6接口修改IPv6带宽策略时，配置上行接口为任意聚合口，其他参数为任意有效值,查询IPv6带宽策略配置【check1】
3、使用/api/v1/qospolicer6接口修改IPv6带宽策略时，配置上行接口为上行接口与下行接口相同，其他参数为任意有效值,查询IPv6带宽策略配置【check1】
4、修改IPv6带宽策略时，配置上行接口为管理口，其他参数为任意有效值,查询IPv6带宽策略配置【check2】
5、修改IPv6带宽策略时，配置上行接口为子接口，其他参数为任意有效值,查询IPv6带宽策略配置【check2】
6、修改IPv6带宽策略时，配置上行接口为bvi口，其他参数为任意有效值,查询IPv6带宽策略配置【check2】
7、修改IPv6带宽策略时，配置上行接口为隧道口，其他参数为任意有效值,查询IPv6带宽策略配置【check2】
8、修改IPv6带宽策略时，配置上行接口为聚合口的成员口，其他参数为任意有效值,查询IPv6带宽策略配置【check2】
9、修改IPv6带宽策略时，配置上行接口为任意不存在的接口名称，其他参数为任意有效值,查询IPv6带宽策略配置【check2】
10、修改IPv6带宽策略时，配置上行接口为空，其他参数为任意有效值,查询IPv6带宽策略配置【check2】</t>
  </si>
  <si>
    <t>1、使用/api/v1/qospolicer6接口修改IPv6带宽策略时，配置下行接口为任意物理接口，其他参数为任意有效值,查询IPv6带宽策略配置【check1】
2、使用/api/v1/qospolicer6接口修改IPv6带宽策略时，配置下行接口为任意聚合口，其他参数为任意有效值,查询IPv6带宽策略配置【check1】
3、使用/api/v1/qospolicer6接口修改IPv6带宽策略时，配置下行接口为下行接口与上行接口相同，其他参数为任意有效值,查询IPv6带宽策略配置【check1】
4、修改IPv6带宽策略时，配置下行接口为管理口，其他参数为任意有效值,查询IPv6带宽策略配置【check2】
5、修改IPv6带宽策略时，配置下行接口为子接口，其他参数为任意有效值,查询IPv6带宽策略配置【check2】
6、修改IPv6带宽策略时，配置下行接口为bvi口，其他参数为任意有效值,查询IPv6带宽策略配置【check2】
7、修改IPv6带宽策略时，配置下行接口为隧道口，其他参数为任意有效值,查询IPv6带宽策略配置【check2】
8、修改IPv6带宽策略时，配置下行接口为聚合口的成员口，其他参数为任意有效值,查询IPv6带宽策略配置【check2】
9、修改IPv6带宽策略时，配置下行接口为任意不存在的接口名称，其他参数为任意有效值,查询IPv6带宽策略配置【check2】
10、修改IPv6带宽策略时，配置下行接口为空，其他参数为任意有效值,查询IPv6带宽策略配置【check2】</t>
  </si>
  <si>
    <t>1、使用/api/v1/qospolicer6接口修改IPv6带宽策略时，配置源地址为any，其他参数为任意有效值,查询IPv6带宽策略配置【check1】
2、使用/api/v1/qospolicer6接口修改IPv6带宽策略时，配置源地址为已存在地址对象名称，其他参数为任意有效值,查询IPv6带宽策略配置【check1】
3、使用/api/v1/qospolicer6接口修改IPv6带宽策略时，配置源地址为多个地址对象共存，其他参数为任意有效值,查询IPv6带宽策略配置【check1】
4、修改IPv6带宽策略时，配置源地址为空，其他参数为任意有效值,查询IPv6带宽策略配置【check2】
5、修改IPv6带宽策略时，配置源地址为不存在的地址对象名称，其他参数为任意有效值,查询IPv6带宽策略配置【check2】
6、修改IPv6带宽策略时，配置源地址为any和单个对象同时存在，其他参数为任意有效值,查询IPv6带宽策略配置【check2】
7、修改IPv6带宽策略时，配置源地址为64字节字符串，其他参数为任意有效值,查询IPv6带宽策略配置【check2】</t>
  </si>
  <si>
    <t>1、使用/api/v1/qospolicer6接口修改IPv6带宽策略时，配置源地址组为any，其他参数为任意有效值,查询IPv6带宽策略配置【check1】
2、使用/api/v1/qospolicer6接口修改IPv6带宽策略时，配置源地址组为已存在的地址组对象名称，其他参数为任意有效值,查询IPv6带宽策略配置【check1】
3、使用/api/v1/qospolicer6接口修改IPv6带宽策略时，配置源地址组为多个地址组对象共存，其他参数为任意有效值,查询IPv6带宽策略配置【check1】
4、修改IPv6带宽策略时，配置源地址组为空，其他参数为任意有效值,查询IPv6带宽策略配置【check2】
5、修改IPv6带宽策略时，配置源地址组为不存在的地址组对象名称，其他参数为任意有效值,查询IPv6带宽策略配置【check2】
6、修改IPv6带宽策略时，配置源地址组为any和单个对象同时存在，其他参数为任意有效值,查询IPv6带宽策略配置【check2】
7、修改IPv6带宽策略时，配置源地址组为64字节字符串，其他参数为任意有效值,查询IPv6带宽策略配置【check2】</t>
  </si>
  <si>
    <t>1、使用/api/v1/qospolicer6接口修改IPv6带宽策略时，配置目的地址为any，其他参数为任意有效值,查询IPv6带宽策略配置【check1】
2、使用/api/v1/qospolicer6接口修改IPv6带宽策略时，配置目的地址为已存在地址对象名称，其他参数为任意有效值,查询IPv6带宽策略配置【check1】
3、使用/api/v1/qospolicer6接口修改IPv6带宽策略时，配置目的地址为多个地址对象共存，其他参数为任意有效值,查询IPv6带宽策略配置【check1】
4、修改IPv6带宽策略时，配置目的地址为空，其他参数为任意有效值,查询IPv6带宽策略配置【check2】
5、修改IPv6带宽策略时，配置目的地址为不存在的地址对象名称，其他参数为任意有效值,查询IPv6带宽策略配置【check2】
6、修改IPv6带宽策略时，配置目的地址为any和单个对象同时存在，其他参数为任意有效值,查询IPv6带宽策略配置【check2】
7、修改IPv6带宽策略时，配置目的地址为64字节字符串，其他参数为任意有效值,查询IPv6带宽策略配置【check2】</t>
  </si>
  <si>
    <t>1、使用/api/v1/qospolicer6接口修改IPv6带宽策略时，配置目的地址组为any，其他参数为任意有效值,查询IPv6带宽策略配置【check1】
2、使用/api/v1/qospolicer6接口修改IPv6带宽策略时，配置目的地址组为已存在的地址组对象名称，其他参数为任意有效值,查询IPv6带宽策略配置【check1】
3、使用/api/v1/qospolicer6接口修改IPv6带宽策略时，配置目的地址组为多个地址组对象共存，其他参数为任意有效值,查询IPv6带宽策略配置【check1】
4、修改IPv6带宽策略时，配置目的地址组为空，其他参数为任意有效值,查询IPv6带宽策略配置【check2】
5、修改IPv6带宽策略时，配置目的地址组为不存在的地址组对象名称，其他参数为任意有效值,查询IPv6带宽策略配置【check2】
6、修改IPv6带宽策略时，配置目的地址组为any和单个对象同时存在，其他参数为任意有效值,查询IPv6带宽策略配置【check2】
7、修改IPv6带宽策略时，配置目的地址组为64字节字符串，其他参数为任意有效值,查询IPv6带宽策略配置【check2】</t>
  </si>
  <si>
    <t>1、使用/api/v1/qospolicer6接口修改IPv6带宽策略时，配置服务为any，其他参数为任意有效值,查询IPv6带宽策略配置【check1】
2、使用/api/v1/qospolicer6接口修改IPv6带宽策略时，配置服务为已存在地址对象名称，其他参数为任意有效值,查询IPv6带宽策略配置【check1】
3、使用/api/v1/qospolicer6接口修改IPv6带宽策略时，配置服务为多个服务对象共存，其他参数为任意有效值,查询IPv6带宽策略配置【check1】
4、修改IPv6带宽策略时，配置服务为空，其他参数为任意有效值,查询IPv6带宽策略配置【check2】
5、修改IPv6带宽策略时，配置服务为不存在的服务对象名称，其他参数为任意有效值,查询IPv6带宽策略配置【check2】
6、修改IPv6带宽策略时，配置服务为any和单个对象同时存在，其他参数为任意有效值,查询IPv6带宽策略配置【check2】
7、修改IPv6带宽策略时，配置服务为64字节字符串，其他参数为任意有效值,查询IPv6带宽策略配置【check2】</t>
  </si>
  <si>
    <t>1、使用/api/v1/qospolicer6接口修改IPv6带宽策略时，配置服务组为any，其他参数为任意有效值,查询IPv6带宽策略配置【check1】
2、使用/api/v1/qospolicer6接口修改IPv6带宽策略时，配置服务组为已存在的地址组对象名称，其他参数为任意有效值,查询IPv6带宽策略配置【check1】
3、使用/api/v1/qospolicer6接口修改IPv6带宽策略时，配置服务组为多个服务组对象共存，其他参数为任意有效值,查询IPv6带宽策略配置【check1】
4、修改IPv6带宽策略时，配置服务组为空，其他参数为任意有效值,查询IPv6带宽策略配置【check2】
5、修改IPv6带宽策略时，配置服务组为不存在的服务组对象名称，其他参数为任意有效值,查询IPv6带宽策略配置【check2】
6、修改IPv6带宽策略时，配置服务组为any和单个对象同时存在，其他参数为任意有效值,查询IPv6带宽策略配置【check2】
7、修改IPv6带宽策略时，配置服务组为64字节字符串，其他参数为任意有效值,查询IPv6带宽策略配置【check2】</t>
  </si>
  <si>
    <t>1、使用/api/v1/qospolicer6接口修改IPv6带宽策略时，配置时间为空，其他参数为任意有效值,查询IPv6带宽策略配置【check1】
2、使用/api/v1/qospolicer6接口修改IPv6带宽策略时，配置时间为已存在的时间对象，其他参数为任意有效值,查询IPv6带宽策略配置【check1】
3、修改IPv6带宽策略时，配置时间为不存在的时间对象名称，其他参数为任意有效值,查询IPv6带宽策略配置【check2】
4、修改IPv6带宽策略时，配置时间为64字节字符串，其他参数为任意有效值,查询IPv6带宽策略配置【check2】</t>
  </si>
  <si>
    <t>1、使用/api/v1/qospolicer6接口修改IPv6带宽策略时，配置通道为已存在的时间对象，其他参数为任意有效值,查询IPv6带宽策略配置【check1】
2、修改IPv6带宽策略时，配置通道为空，其他参数为任意有效值,查询IPv6带宽策略配置【check2】
3、修改IPv6带宽策略时，配置通道为不存在的通道，其他参数为任意有效值,查询IPv6带宽策略配置【check2】
4、修改IPv6带宽策略时，配置通道为64字节字符串，其他参数为任意有效值,查询IPv6带宽策略配置【check2】</t>
  </si>
  <si>
    <t>1、配置大于3条QosIPv6带宽策略
2、使用/api/v1/qospolicer6?id=&lt;id&gt;删除IPv6带宽策略。【check1】【check2】【check3】
3、使用/api/v1/qospolicer6?id=&lt;id&gt;删除不存在的IPv6带宽策略id。【check4】
4、使用/api/v1/batch接口删除不存在的QosIPv6带宽策略id。【check5】
5、使用/api/v1/batch接口删除部分存在部分不存在的QOSIPv6带宽策略【check5】
6、使用/api/v1/batch接口删除大于两条存在QoSIPv6带宽策略。【check1】【check2】【check3】</t>
  </si>
  <si>
    <t>1、使用/api/v1/qospolicer6接口查询QosIPv6带宽策略，不传入page和size参数【check1】
2、使用/api/v1/qospolicer6接口查询QosIPv6带宽策略，传入page和size为0【check1】
3、使用/api/v1/qospolicer6接口查询QosIPv6带宽策略，传入page和size为任意非0值【check1】
4、使用/api/v1/qospolicer6接口查询QosIPv6带宽策略，传入page和size为最大值【check1】
5、使用/api/v1/qospolicer6接口查询QosIPv6带宽策略，传入page和size为任意非数字【check1】</t>
  </si>
  <si>
    <t>1、配置大于3条QosIPv6带宽策略
2、使用/api/v1/batch接口启用不存在的QosIPv6带宽策略id。【check1】
3、使用/api/v1/batch接口启用部分存在部分不存在的QOSIPv6带宽策略【check1】
4、使用/api/v1/batch接口启用大于两条存在QoSIPv6带宽策略。【check2】【check3】【check4】
5、使用/api/v1/batch接口禁用不存在的QosIPv6带宽策略id。【check1】
6、使用/api/v1/batch接口禁用部分存在部分不存在的QOSIPv6带宽策略【check1】
7、使用/api/v1/batch接口禁用大于两条存在QoSIPv6带宽策略。【check2】【check3】【check4】</t>
  </si>
  <si>
    <t>1、配置最大数量的QosIPv6带宽策略【check1】
2、修改ID最大的QosIPv6带宽策略【check2】
3、删除部分QosIPv6带宽策略。【check3】
4、再次配置IPv6带宽策略到最大数量。【check1】</t>
  </si>
  <si>
    <t xml:space="preserve">1、构造创建QosIPv6带宽策略成功后观察Oplog【check1】
2、构造删除QosIPv6带宽策略成功后观察Oplog【check1】
3、构造修改QosIPv6带宽策略成功后观察Oplog【check1】
4、构造创建QosIPv6带宽策略失败后观察Oplog【check2】
5、构造删除QosIPv6带宽策略失败后观察Oplog【check2】
6、构造修改QosIPv6带宽策略失败后观察Oplog【check2】
</t>
  </si>
  <si>
    <t>1、在网元上配置大于10条IPv6带宽策略
2、使用接口/api/v1/qospolicer6pri调整策略优先级时被调整策略ID为1，其他参数为任意有效值。【check1】
3、使用接口/api/v1/qospolicer6pri调整策略优先级时被调整策略ID为任意存在的ID，其他参数为任意有效值。【check1】
4、使用接口/api/v1/qospolicer6pri调整策略优先级时被调整策略ID为0，其他参数为任意有效值。【check2】
5、使用接口/api/v1/qospolicer6pri调整策略优先级时被调整策略ID为任意不存在的ID，其他参数为任意有效值。【check2】
6、使用接口/api/v1/qospolicer6pri调整策略优先级时被调整策略ID为空，其他参数为任意有效值。【check2】
7、使用接口/api/v1/qospolicer6pri调整策略优先级时被调整策略ID为超长字符串，其他参数为任意有效值。【check2】</t>
  </si>
  <si>
    <t>1、在网元上配置大于10条IPv6带宽策略
2、使用接口/api/v1/qospolicer6pri调整策略优先级时调整方式为first-策略最前，其他参数为任意有效值。【check1】
3、使用接口/api/v1/qospolicer6pri调整策略优先级时调整方式为before-策略ID之前，其他参数为任意有效值。【check1】
4、使用接口/api/v1/qospolicer6pri调整策略优先级时调整方式为after-策略ID之后，其他参数为任意有效值。【check1】
5、使用接口/api/v1/qospolicer6pri调整策略优先级时调整方式为last-默认策略之前，其他参数为任意有效值。【check1】
6、使用接口/api/v1/qospolicer6pri调整策略优先级时调整方式为空，其他参数为任意有效值。【check2】
7、使用接口/api/v1/qospolicer6pri调整策略优先级时调整方式为其他任意字符串，其他参数为任意有效值。【check2】
8、使用接口/api/v1/qospolicer6pri调整策略优先级时调整方式为超长字符串，其他参数为任意有效值。【check2】</t>
  </si>
  <si>
    <t>1、在网元上配置大于10条IPv6带宽策略
2、使用接口/api/v1/qospolicer6pri调整策略优先级时目标策略ID为1，其他参数为任意有效值。【check1】
3、使用接口/api/v1/qospolicer6pri调整策略优先级时目标策略ID为任意不存在的ID，其他参数为任意有效值。【check1】
4、使用接口/api/v1/qospolicer6pri调整策略优先级时目标策略ID为调整方式为first时目标ID为空，其他参数为任意有效值。【check1】
5、使用接口/api/v1/qospolicer6pri调整策略优先级时目标策略ID为调整方式为last时目标ID为空，其他参数为任意有效值。【check1】
6、使用接口/api/v1/qospolicer6pri调整策略优先级时目标策略ID为0，其他参数为任意有效值。【check2】
7、使用接口/api/v1/qospolicer6pri调整策略优先级时目标策略ID为任意存在的ID，其他参数为任意有效值。【check2】
8、使用接口/api/v1/qospolicer6pri调整策略优先级时目标策略ID为与被调整ID相同，其他参数为任意有效值。【check2】
9、使用接口/api/v1/qospolicer6pri调整策略优先级时目标策略ID为调整方式为before时目标ID为空，其他参数为任意有效值。【check2】
10、使用接口/api/v1/qospolicer6pri调整策略优先级时目标策略ID为调整方式为after时目标ID为空，其他参数为任意有效值。【check2】
11、使用接口/api/v1/qospolicer6pri调整策略优先级时目标策略ID为超长字符串，其他参数为任意有效值。【check2】
12、使用接口/api/v1/qospolicer6pri调整策略优先级时目标策略ID为调整方式为first时存在目标策略ID，其他参数为任意有效值。【check2】
13、使用接口/api/v1/qospolicer6pri调整策略优先级时目标策略ID为调整方式为last时存在目标策略ID，其他参数为任意有效值。【check2】</t>
  </si>
  <si>
    <t>1、配置IPv6带宽策略引用地址对象
2、修改该地址对象，查看对象和IPv6带宽策略【check1】
3、查询该地址对象，查看对象和IPv6带宽策略【check1】
4、删除该地址对象，查看对象和IPv6带宽策略【check2】
5、配置IPv6带宽策略取消引用该地址对象后，删除该对象。【check3】</t>
  </si>
  <si>
    <t>1、配置IPv6带宽策略引用地址组对象
2、修改该地址组对象，查看对象和IPv6带宽策略【check1】
3、查询该地址组对象，查看对象和IPv6带宽策略【check1】
4、删除该地址组对象，查看对象和IPv6带宽策略【check2】
5、配置IPv6带宽策略取消引用该地址组对象后，删除该对象。【check3】</t>
  </si>
  <si>
    <t>1、配置IPv6带宽策略引用服务对象
2、修改该服务对象，查看对象和IPv6带宽策略【check1】
3、查询该服务对象，查看对象和IPv6带宽策略【check1】
4、删除该服务对象，查看对象和IPv6带宽策略【check2】
5、配置IPv6带宽策略取消引用该服务对象后，删除该对象。【check3】</t>
  </si>
  <si>
    <t>1、配置IPv6带宽策略引用服务组对象
2、修改该服务组对象，查看对象和IPv6带宽策略【check1】
3、查询该服务组对象，查看对象和IPv6带宽策略【check1】
4、删除该服务组对象，查看对象和IPv6带宽策略【check2】
5、配置IPv6带宽策略取消引用该服务组对象后，删除该对象。【check3】</t>
  </si>
  <si>
    <t>1、配置IPv6带宽策略引用时间对象
2、修改该时间对象，查看对象和IPv6带宽策略【check1】
3、查询该时间对象，查看对象和IPv6带宽策略【check1】
4、删除该时间对象，查看对象和IPv6带宽策略【check2】
5、配置IPv6带宽策略取消引用该时间对象后，删除该对象。【check3】</t>
  </si>
  <si>
    <t>1、使用put方法配置IPv6带宽策略优先级调整/api/v1/qospolicer6pri接口，参数为任意有效值。【check1】
2、使用post方法配置IPv6带宽策略优先级调整/api/v1/qospolicer6pri接口，参数为任意有效值。【check2】
3、使用delete方法配置IPv6带宽策略优先级调整/api/v1/qospolicer6pri接口，参数为任意有效值。【check2】</t>
  </si>
  <si>
    <t>1、使用/api/v1/qospolicer接口添加IPv4带宽策略时，配置状态为启用，其他参数为任意有效值,查询IPv4带宽策略配置【check1】
2、使用/api/v1/qospolicer接口添加IPv4带宽策略时，配置状态为禁用，其他参数为任意有效值,查询IPv4带宽策略配置【check1】
3、添加IPv4带宽策略时，配置状态为其他任意非法字符串，其他参数为任意有效值,查询IPv4带宽策略配置【check2】
4、添加IPv4带宽策略时，配置状态为空，其他参数为任意有效值,查询IPv4带宽策略配置【check2】
5、添加IPv4带宽策略时，配置状态为超长字符串，其他参数为任意有效值,查询IPv4带宽策略配置【check2】</t>
  </si>
  <si>
    <t>1、使用/api/v1/qospolicer接口添加IPv4QOSIPv4带宽策略时，配置名称为1个字符，其他参数为任意有效值,查询通道配置【check1】
2、添加IPv4带宽策略时，配置名称为31个字符，其他参数为任意有效值,查询通道配置【check1】
3、添加IPv4带宽策略时，配置名称为1-31任意个字符，其他参数为任意有效值,查询通道配置【check1】
4、添加IPv4带宽策略时，配置名称为0个字符，其他参数为任意有效值,查询通道配置【check2】
5、添加IPv4带宽策略时，配置名称为32个字符，其他参数为任意有效值,查询通道配置【check2】
6、添加IPv4带宽策略时，配置名称为空，其他参数为任意有效值,查询通道配置【check2】
6、添加IPv4带宽策略时，配置名称为已存在的策略名称，其他参数为任意有效值,查询通道配置【check2】</t>
  </si>
  <si>
    <t>1、使用/api/v1/qospolicer接口添加IPv4带宽策略时，配置上行接口为任意物理接口，其他参数为任意有效值,查询IPv4带宽策略配置【check1】
2、使用/api/v1/qospolicer接口添加IPv4带宽策略时，配置上行接口为任意聚合口，其他参数为任意有效值,查询IPv4带宽策略配置【check1】
3、使用/api/v1/qospolicer接口添加IPv4带宽策略时，配置上行接口为上行接口与下行接口相同，其他参数为任意有效值,查询IPv4带宽策略配置【check1】
4、添加IPv4带宽策略时，配置上行接口为管理口，其他参数为任意有效值,查询IPv4带宽策略配置【check2】
5、添加IPv4带宽策略时，配置上行接口为子接口，其他参数为任意有效值,查询IPv4带宽策略配置【check2】
6、添加IPv4带宽策略时，配置上行接口为bvi口，其他参数为任意有效值,查询IPv4带宽策略配置【check2】
7、添加IPv4带宽策略时，配置上行接口为隧道口，其他参数为任意有效值,查询IPv4带宽策略配置【check2】
8、添加IPv4带宽策略时，配置上行接口为聚合口的成员口，其他参数为任意有效值,查询IPv4带宽策略配置【check2】
9、添加IPv4带宽策略时，配置上行接口为任意不存在的接口名称，其他参数为任意有效值,查询IPv4带宽策略配置【check2】
10、添加IPv4带宽策略时，配置上行接口为空，其他参数为任意有效值,查询IPv4带宽策略配置【check2】</t>
  </si>
  <si>
    <t>1、使用/api/v1/qospolicer接口添加IPv4带宽策略时，配置下行接口为任意物理接口，其他参数为任意有效值,查询IPv4带宽策略配置【check1】
2、使用/api/v1/qospolicer接口添加IPv4带宽策略时，配置下行接口为任意聚合口，其他参数为任意有效值,查询IPv4带宽策略配置【check1】
3、使用/api/v1/qospolicer接口添加IPv4带宽策略时，配置下行接口为下行接口与上行接口相同，其他参数为任意有效值,查询IPv4带宽策略配置【check1】
4、添加IPv4带宽策略时，配置下行接口为管理口，其他参数为任意有效值,查询IPv4带宽策略配置【check2】
5、添加IPv4带宽策略时，配置下行接口为子接口，其他参数为任意有效值,查询IPv4带宽策略配置【check2】
6、添加IPv4带宽策略时，配置下行接口为bvi口，其他参数为任意有效值,查询IPv4带宽策略配置【check2】
7、添加IPv4带宽策略时，配置下行接口为隧道口，其他参数为任意有效值,查询IPv4带宽策略配置【check2】
8、添加IPv4带宽策略时，配置下行接口为聚合口的成员口，其他参数为任意有效值,查询IPv4带宽策略配置【check2】
9、添加IPv4带宽策略时，配置下行接口为任意不存在的接口名称，其他参数为任意有效值,查询IPv4带宽策略配置【check2】
10、添加IPv4带宽策略时，配置下行接口为空，其他参数为任意有效值,查询IPv4带宽策略配置【check2】</t>
  </si>
  <si>
    <t>1、使用/api/v1/qospolicer接口添加IPv4带宽策略时，配置源地址为any，其他参数为任意有效值,查询IPv4带宽策略配置【check1】
2、使用/api/v1/qospolicer接口添加IPv4带宽策略时，配置源地址为已存在地址对象名称，其他参数为任意有效值,查询IPv4带宽策略配置【check1】
3、使用/api/v1/qospolicer接口添加IPv4带宽策略时，配置源地址为多个地址对象共存，其他参数为任意有效值,查询IPv4带宽策略配置【check1】
4、添加IPv4带宽策略时，配置源地址为空，其他参数为任意有效值,查询IPv4带宽策略配置【check2】
5、添加IPv4带宽策略时，配置源地址为不存在的地址对象名称，其他参数为任意有效值,查询IPv4带宽策略配置【check2】
6、添加IPv4带宽策略时，配置源地址为any和单个对象同时存在，其他参数为任意有效值,查询IPv4带宽策略配置【check2】
7、添加IPv4带宽策略时，配置源地址为64字节字符串，其他参数为任意有效值,查询IPv4带宽策略配置【check2】</t>
  </si>
  <si>
    <t>1、使用/api/v1/qospolicer接口添加IPv4带宽策略时，配置源地址组为any，其他参数为任意有效值,查询IPv4带宽策略配置【check1】
2、使用/api/v1/qospolicer接口添加IPv4带宽策略时，配置源地址组为已存在的地址组对象名称，其他参数为任意有效值,查询IPv4带宽策略配置【check1】
3、使用/api/v1/qospolicer接口添加IPv4带宽策略时，配置源地址组为多个地址组对象共存，其他参数为任意有效值,查询IPv4带宽策略配置【check1】
4、添加IPv4带宽策略时，配置源地址组为空，其他参数为任意有效值,查询IPv4带宽策略配置【check2】
5、添加IPv4带宽策略时，配置源地址组为不存在的地址组对象名称，其他参数为任意有效值,查询IPv4带宽策略配置【check2】
6、添加IPv4带宽策略时，配置源地址组为any和单个对象同时存在，其他参数为任意有效值,查询IPv4带宽策略配置【check2】
7、添加IPv4带宽策略时，配置源地址组为64字节字符串，其他参数为任意有效值,查询IPv4带宽策略配置【check2】</t>
  </si>
  <si>
    <t>1、使用/api/v1/qospolicer接口添加IPv4带宽策略时，配置目的地址为any，其他参数为任意有效值,查询IPv4带宽策略配置【check1】
2、使用/api/v1/qospolicer接口添加IPv4带宽策略时，配置目的地址为已存在地址对象名称，其他参数为任意有效值,查询IPv4带宽策略配置【check1】
3、使用/api/v1/qospolicer接口添加IPv4带宽策略时，配置目的地址为多个地址对象共存，其他参数为任意有效值,查询IPv4带宽策略配置【check1】
4、添加IPv4带宽策略时，配置目的地址为空，其他参数为任意有效值,查询IPv4带宽策略配置【check2】
5、添加IPv4带宽策略时，配置目的地址为不存在的地址对象名称，其他参数为任意有效值,查询IPv4带宽策略配置【check2】
6、添加IPv4带宽策略时，配置目的地址为any和单个对象同时存在，其他参数为任意有效值,查询IPv4带宽策略配置【check2】
7、添加IPv4带宽策略时，配置目的地址为64字节字符串，其他参数为任意有效值,查询IPv4带宽策略配置【check2】</t>
  </si>
  <si>
    <t>1、使用/api/v1/qospolicer接口添加IPv4带宽策略时，配置目的地址组为any，其他参数为任意有效值,查询IPv4带宽策略配置【check1】
2、使用/api/v1/qospolicer接口添加IPv4带宽策略时，配置目的地址组为已存在的地址组对象名称，其他参数为任意有效值,查询IPv4带宽策略配置【check1】
3、使用/api/v1/qospolicer接口添加IPv4带宽策略时，配置目的地址组为多个地址组对象共存，其他参数为任意有效值,查询IPv4带宽策略配置【check1】
4、添加IPv4带宽策略时，配置目的地址组为空，其他参数为任意有效值,查询IPv4带宽策略配置【check2】
5、添加IPv4带宽策略时，配置目的地址组为不存在的地址组对象名称，其他参数为任意有效值,查询IPv4带宽策略配置【check2】
6、添加IPv4带宽策略时，配置目的地址组为any和单个对象同时存在，其他参数为任意有效值,查询IPv4带宽策略配置【check2】
7、添加IPv4带宽策略时，配置目的地址组为64字节字符串，其他参数为任意有效值,查询IPv4带宽策略配置【check2】</t>
  </si>
  <si>
    <t>1、使用/api/v1/qospolicer接口添加IPv4带宽策略时，配置服务为any，其他参数为任意有效值,查询IPv4带宽策略配置【check1】
2、使用/api/v1/qospolicer接口添加IPv4带宽策略时，配置服务为已存在地址对象名称，其他参数为任意有效值,查询IPv4带宽策略配置【check1】
3、使用/api/v1/qospolicer接口添加IPv4带宽策略时，配置服务为多个服务对象共存，其他参数为任意有效值,查询IPv4带宽策略配置【check1】
4、添加IPv4带宽策略时，配置服务为空，其他参数为任意有效值,查询IPv4带宽策略配置【check2】
5、添加IPv4带宽策略时，配置服务为不存在的服务对象名称，其他参数为任意有效值,查询IPv4带宽策略配置【check2】
6、添加IPv4带宽策略时，配置服务为any和单个对象同时存在，其他参数为任意有效值,查询IPv4带宽策略配置【check2】
7、添加IPv4带宽策略时，配置服务为64字节字符串，其他参数为任意有效值,查询IPv4带宽策略配置【check2】</t>
  </si>
  <si>
    <t>1、使用/api/v1/qospolicer接口添加IPv4带宽策略时，配置服务组为any，其他参数为任意有效值,查询IPv4带宽策略配置【check1】
2、使用/api/v1/qospolicer接口添加IPv4带宽策略时，配置服务组为已存在的地址组对象名称，其他参数为任意有效值,查询IPv4带宽策略配置【check1】
3、使用/api/v1/qospolicer接口添加IPv4带宽策略时，配置服务组为多个服务组对象共存，其他参数为任意有效值,查询IPv4带宽策略配置【check1】
4、添加IPv4带宽策略时，配置服务组为空，其他参数为任意有效值,查询IPv4带宽策略配置【check2】
5、添加IPv4带宽策略时，配置服务组为不存在的服务组对象名称，其他参数为任意有效值,查询IPv4带宽策略配置【check2】
6、添加IPv4带宽策略时，配置服务组为any和单个对象同时存在，其他参数为任意有效值,查询IPv4带宽策略配置【check2】
7、添加IPv4带宽策略时，配置服务组为64字节字符串，其他参数为任意有效值,查询IPv4带宽策略配置【check2】</t>
  </si>
  <si>
    <t>1、使用/api/v1/qospolicer接口添加IPv4带宽策略时，配置时间为空，其他参数为任意有效值,查询IPv4带宽策略配置【check1】
2、使用/api/v1/qospolicer接口添加IPv4带宽策略时，配置时间为已存在的时间对象，其他参数为任意有效值,查询IPv4带宽策略配置【check1】
3、添加IPv4带宽策略时，配置时间为不存在的时间对象名称，其他参数为任意有效值,查询IPv4带宽策略配置【check2】
4、添加IPv4带宽策略时，配置时间为64字节字符串，其他参数为任意有效值,查询IPv4带宽策略配置【check2】</t>
  </si>
  <si>
    <t>1、使用/api/v1/qospolicer接口添加IPv4带宽策略时，配置通道为已存在的时间对象，其他参数为任意有效值,查询IPv4带宽策略配置【check1】
2、添加IPv4带宽策略时，配置通道为空，其他参数为任意有效值,查询IPv4带宽策略配置【check2】
3、添加IPv4带宽策略时，配置通道为不存在的通道，其他参数为任意有效值,查询IPv4带宽策略配置【check2】
4、添加IPv4带宽策略时，配置通道为64字节字符串，其他参数为任意有效值,查询IPv4带宽策略配置【check2】</t>
  </si>
  <si>
    <t>1、使用/api/v1/qospolicer接口修改IPv4带宽策略时，配置ID为1，其他参数为任意有效值,查询IPv4带宽策略配置【check1】
2、使用/api/v1/qospolicer接口修改IPv4带宽策略时，配置ID为存在的任意ID，其他参数为任意有效值,查询IPv4带宽策略配置【check2】
3、修改IPv4带宽策略时，配置ID为空，其他参数为任意有效值,查询IPv4带宽策略配置【check2】
4、修改IPv4带宽策略时，配置ID为0，其他参数为任意有效值,查询IPv4带宽策略配置【check2】
5、修改IPv4带宽策略时，配置ID为不存在的ID，其他参数为任意有效值,查询IPv4带宽策略配置【check2】
6、修改IPv4带宽策略时，配置ID为其他任意非法字符串，其他参数为任意有效值,查询IPv4带宽策略配置【check2】</t>
  </si>
  <si>
    <t>1、使用/api/v1/qospolicer接口修改IPv4带宽策略时，配置状态为启用，其他参数为任意有效值,查询IPv4带宽策略配置【check1】
2、使用/api/v1/qospolicer接口修改IPv4带宽策略时，配置状态为禁用，其他参数为任意有效值,查询IPv4带宽策略配置【check1】
3、修改IPv4带宽策略时，配置状态为其他任意非法字符串，其他参数为任意有效值,查询IPv4带宽策略配置【check2】
4、修改IPv4带宽策略时，配置状态为空，其他参数为任意有效值,查询IPv4带宽策略配置【check2】
5、修改IPv4带宽策略时，配置状态为超长字符串，其他参数为任意有效值,查询IPv4带宽策略配置【check2】</t>
  </si>
  <si>
    <t>1、使用/api/v1/qospolicer接口修改IPv4带宽策略时，配置策略名称为原值相同，其他参数为任意有效值,查询IPv4带宽策略配置【check1】
2、修改IPv4带宽策略时，配置策略名称为与原值不同，其他参数为任意有效值,查询IPv4带宽策略配置【check2】
3、修改IPv4带宽策略时，配置策略名称为0个字符，其他参数为任意有效值,查询IPv4带宽策略配置【check2】
4、修改IPv4带宽策略时，配置策略名称为32个字符，其他参数为任意有效值,查询IPv4带宽策略配置【check2】
5、修改IPv4带宽策略时，配置策略名称为空，其他参数为任意有效值,查询IPv4带宽策略配置【check2】</t>
  </si>
  <si>
    <t>1、使用/api/v1/qospolicer接口修改IPv4带宽策略时，配置上行接口为任意物理接口，其他参数为任意有效值,查询IPv4带宽策略配置【check1】
2、使用/api/v1/qospolicer接口修改IPv4带宽策略时，配置上行接口为任意聚合口，其他参数为任意有效值,查询IPv4带宽策略配置【check1】
3、使用/api/v1/qospolicer接口修改IPv4带宽策略时，配置上行接口为上行接口与下行接口相同，其他参数为任意有效值,查询IPv4带宽策略配置【check1】
4、修改IPv4带宽策略时，配置上行接口为管理口，其他参数为任意有效值,查询IPv4带宽策略配置【check2】
5、修改IPv4带宽策略时，配置上行接口为子接口，其他参数为任意有效值,查询IPv4带宽策略配置【check2】
6、修改IPv4带宽策略时，配置上行接口为bvi口，其他参数为任意有效值,查询IPv4带宽策略配置【check2】
7、修改IPv4带宽策略时，配置上行接口为隧道口，其他参数为任意有效值,查询IPv4带宽策略配置【check2】
8、修改IPv4带宽策略时，配置上行接口为聚合口的成员口，其他参数为任意有效值,查询IPv4带宽策略配置【check2】
9、修改IPv4带宽策略时，配置上行接口为任意不存在的接口名称，其他参数为任意有效值,查询IPv4带宽策略配置【check2】
10、修改IPv4带宽策略时，配置上行接口为空，其他参数为任意有效值,查询IPv4带宽策略配置【check2】</t>
  </si>
  <si>
    <t>1、使用/api/v1/qospolicer接口修改IPv4带宽策略时，配置下行接口为任意物理接口，其他参数为任意有效值,查询IPv4带宽策略配置【check1】
2、使用/api/v1/qospolicer接口修改IPv4带宽策略时，配置下行接口为任意聚合口，其他参数为任意有效值,查询IPv4带宽策略配置【check1】
3、使用/api/v1/qospolicer接口修改IPv4带宽策略时，配置下行接口为下行接口与上行接口相同，其他参数为任意有效值,查询IPv4带宽策略配置【check1】
4、修改IPv4带宽策略时，配置下行接口为管理口，其他参数为任意有效值,查询IPv4带宽策略配置【check2】
5、修改IPv4带宽策略时，配置下行接口为子接口，其他参数为任意有效值,查询IPv4带宽策略配置【check2】
6、修改IPv4带宽策略时，配置下行接口为bvi口，其他参数为任意有效值,查询IPv4带宽策略配置【check2】
7、修改IPv4带宽策略时，配置下行接口为隧道口，其他参数为任意有效值,查询IPv4带宽策略配置【check2】
8、修改IPv4带宽策略时，配置下行接口为聚合口的成员口，其他参数为任意有效值,查询IPv4带宽策略配置【check2】
9、修改IPv4带宽策略时，配置下行接口为任意不存在的接口名称，其他参数为任意有效值,查询IPv4带宽策略配置【check2】
10、修改IPv4带宽策略时，配置下行接口为空，其他参数为任意有效值,查询IPv4带宽策略配置【check2】</t>
  </si>
  <si>
    <t>1、使用/api/v1/qospolicer接口修改IPv4带宽策略时，配置源地址为any，其他参数为任意有效值,查询IPv4带宽策略配置【check1】
2、使用/api/v1/qospolicer接口修改IPv4带宽策略时，配置源地址为已存在地址对象名称，其他参数为任意有效值,查询IPv4带宽策略配置【check1】
3、使用/api/v1/qospolicer接口修改IPv4带宽策略时，配置源地址为多个地址对象共存，其他参数为任意有效值,查询IPv4带宽策略配置【check1】
4、修改IPv4带宽策略时，配置源地址为空，其他参数为任意有效值,查询IPv4带宽策略配置【check2】
5、修改IPv4带宽策略时，配置源地址为不存在的地址对象名称，其他参数为任意有效值,查询IPv4带宽策略配置【check2】
6、修改IPv4带宽策略时，配置源地址为any和单个对象同时存在，其他参数为任意有效值,查询IPv4带宽策略配置【check2】
7、修改IPv4带宽策略时，配置源地址为64字节字符串，其他参数为任意有效值,查询IPv4带宽策略配置【check2】</t>
  </si>
  <si>
    <t>1、使用/api/v1/qospolicer接口修改IPv4带宽策略时，配置源地址组为any，其他参数为任意有效值,查询IPv4带宽策略配置【check1】
2、使用/api/v1/qospolicer接口修改IPv4带宽策略时，配置源地址组为已存在的地址组对象名称，其他参数为任意有效值,查询IPv4带宽策略配置【check1】
3、使用/api/v1/qospolicer接口修改IPv4带宽策略时，配置源地址组为多个地址组对象共存，其他参数为任意有效值,查询IPv4带宽策略配置【check1】
4、修改IPv4带宽策略时，配置源地址组为空，其他参数为任意有效值,查询IPv4带宽策略配置【check2】
5、修改IPv4带宽策略时，配置源地址组为不存在的地址组对象名称，其他参数为任意有效值,查询IPv4带宽策略配置【check2】
6、修改IPv4带宽策略时，配置源地址组为any和单个对象同时存在，其他参数为任意有效值,查询IPv4带宽策略配置【check2】
7、修改IPv4带宽策略时，配置源地址组为64字节字符串，其他参数为任意有效值,查询IPv4带宽策略配置【check2】</t>
  </si>
  <si>
    <t>1、使用/api/v1/qospolicer接口修改IPv4带宽策略时，配置目的地址为any，其他参数为任意有效值,查询IPv4带宽策略配置【check1】
2、使用/api/v1/qospolicer接口修改IPv4带宽策略时，配置目的地址为已存在地址对象名称，其他参数为任意有效值,查询IPv4带宽策略配置【check1】
3、使用/api/v1/qospolicer接口修改IPv4带宽策略时，配置目的地址为多个地址对象共存，其他参数为任意有效值,查询IPv4带宽策略配置【check1】
4、修改IPv4带宽策略时，配置目的地址为空，其他参数为任意有效值,查询IPv4带宽策略配置【check2】
5、修改IPv4带宽策略时，配置目的地址为不存在的地址对象名称，其他参数为任意有效值,查询IPv4带宽策略配置【check2】
6、修改IPv4带宽策略时，配置目的地址为any和单个对象同时存在，其他参数为任意有效值,查询IPv4带宽策略配置【check2】
7、修改IPv4带宽策略时，配置目的地址为64字节字符串，其他参数为任意有效值,查询IPv4带宽策略配置【check2】</t>
  </si>
  <si>
    <t>1、使用/api/v1/qospolicer接口修改IPv4带宽策略时，配置目的地址组为any，其他参数为任意有效值,查询IPv4带宽策略配置【check1】
2、使用/api/v1/qospolicer接口修改IPv4带宽策略时，配置目的地址组为已存在的地址组对象名称，其他参数为任意有效值,查询IPv4带宽策略配置【check1】
3、使用/api/v1/qospolicer接口修改IPv4带宽策略时，配置目的地址组为多个地址组对象共存，其他参数为任意有效值,查询IPv4带宽策略配置【check1】
4、修改IPv4带宽策略时，配置目的地址组为空，其他参数为任意有效值,查询IPv4带宽策略配置【check2】
5、修改IPv4带宽策略时，配置目的地址组为不存在的地址组对象名称，其他参数为任意有效值,查询IPv4带宽策略配置【check2】
6、修改IPv4带宽策略时，配置目的地址组为any和单个对象同时存在，其他参数为任意有效值,查询IPv4带宽策略配置【check2】
7、修改IPv4带宽策略时，配置目的地址组为64字节字符串，其他参数为任意有效值,查询IPv4带宽策略配置【check2】</t>
  </si>
  <si>
    <t>1、使用/api/v1/qospolicer接口修改IPv4带宽策略时，配置服务为any，其他参数为任意有效值,查询IPv4带宽策略配置【check1】
2、使用/api/v1/qospolicer接口修改IPv4带宽策略时，配置服务为已存在地址对象名称，其他参数为任意有效值,查询IPv4带宽策略配置【check1】
3、使用/api/v1/qospolicer接口修改IPv4带宽策略时，配置服务为多个服务对象共存，其他参数为任意有效值,查询IPv4带宽策略配置【check1】
4、修改IPv4带宽策略时，配置服务为空，其他参数为任意有效值,查询IPv4带宽策略配置【check2】
5、修改IPv4带宽策略时，配置服务为不存在的服务对象名称，其他参数为任意有效值,查询IPv4带宽策略配置【check2】
6、修改IPv4带宽策略时，配置服务为any和单个对象同时存在，其他参数为任意有效值,查询IPv4带宽策略配置【check2】
7、修改IPv4带宽策略时，配置服务为64字节字符串，其他参数为任意有效值,查询IPv4带宽策略配置【check2】</t>
  </si>
  <si>
    <t>1、使用/api/v1/qospolicer接口修改IPv4带宽策略时，配置服务组为any，其他参数为任意有效值,查询IPv4带宽策略配置【check1】
2、使用/api/v1/qospolicer接口修改IPv4带宽策略时，配置服务组为已存在的地址组对象名称，其他参数为任意有效值,查询IPv4带宽策略配置【check1】
3、使用/api/v1/qospolicer接口修改IPv4带宽策略时，配置服务组为多个服务组对象共存，其他参数为任意有效值,查询IPv4带宽策略配置【check1】
4、修改IPv4带宽策略时，配置服务组为空，其他参数为任意有效值,查询IPv4带宽策略配置【check2】
5、修改IPv4带宽策略时，配置服务组为不存在的服务组对象名称，其他参数为任意有效值,查询IPv4带宽策略配置【check2】
6、修改IPv4带宽策略时，配置服务组为any和单个对象同时存在，其他参数为任意有效值,查询IPv4带宽策略配置【check2】
7、修改IPv4带宽策略时，配置服务组为64字节字符串，其他参数为任意有效值,查询IPv4带宽策略配置【check2】</t>
  </si>
  <si>
    <t>1、使用/api/v1/qospolicer接口修改IPv4带宽策略时，配置时间为空，其他参数为任意有效值,查询IPv4带宽策略配置【check1】
2、使用/api/v1/qospolicer接口修改IPv4带宽策略时，配置时间为已存在的时间对象，其他参数为任意有效值,查询IPv4带宽策略配置【check1】
3、修改IPv4带宽策略时，配置时间为不存在的时间对象名称，其他参数为任意有效值,查询IPv4带宽策略配置【check2】
4、修改IPv4带宽策略时，配置时间为64字节字符串，其他参数为任意有效值,查询IPv4带宽策略配置【check2】</t>
  </si>
  <si>
    <t>1、使用/api/v1/qospolicer接口修改IPv4带宽策略时，配置通道为已存在的时间对象，其他参数为任意有效值,查询IPv4带宽策略配置【check1】
2、修改IPv4带宽策略时，配置通道为空，其他参数为任意有效值,查询IPv4带宽策略配置【check2】
3、修改IPv4带宽策略时，配置通道为不存在的通道，其他参数为任意有效值,查询IPv4带宽策略配置【check2】
4、修改IPv4带宽策略时，配置通道为64字节字符串，其他参数为任意有效值,查询IPv4带宽策略配置【check2】</t>
  </si>
  <si>
    <t>1、配置大于3条QosIPv4带宽策略
2、使用/api/v1/qospolicer?id=&lt;id&gt;删除IPv4带宽策略。【check1】【check2】【check3】
3、使用/api/v1/qospolicer?id=&lt;id&gt;删除不存在的IPv4带宽策略id。【check4】
4、使用/api/v1/batch接口删除不存在的QosIPv4带宽策略id。【check5】
5、使用/api/v1/batch接口删除部分存在部分不存在的QOSIPv4带宽策略【check5】
6、使用/api/v1/batch接口删除大于两条存在QoSIPv4带宽策略。【check1】【check2】【check3】</t>
  </si>
  <si>
    <t>1、使用/api/v1/qospolicer接口查询QosIPv4带宽策略，不传入page和size参数【check1】
2、使用/api/v1/qospolicer接口查询QosIPv4带宽策略，传入page和size为0【check1】
3、使用/api/v1/qospolicer接口查询QosIPv4带宽策略，传入page和size为任意非0值【check1】
4、使用/api/v1/qospolicer接口查询QosIPv4带宽策略，传入page和size为最大值【check1】
5、使用/api/v1/qospolicer接口查询QosIPv4带宽策略，传入page和size为任意非数字【check1】</t>
  </si>
  <si>
    <t>1、配置大于3条QosIPv4带宽策略
2、使用/api/v1/batch接口启用不存在的QosIPv4带宽策略id。【check1】
3、使用/api/v1/batch接口启用部分存在部分不存在的QOSIPv4带宽策略【check1】
4、使用/api/v1/batch接口启用大于两条存在QoSIPv4带宽策略。【check2】【check3】【check4】
5、使用/api/v1/batch接口禁用不存在的QosIPv4带宽策略id。【check1】
6、使用/api/v1/batch接口禁用部分存在部分不存在的QOSIPv4带宽策略【check1】
7、使用/api/v1/batch接口禁用大于两条存在QoSIPv4带宽策略。【check2】【check3】【check4】</t>
  </si>
  <si>
    <t>1、配置最大数量的QosIPv4带宽策略【check1】
2、修改ID最大的QosIPv4带宽策略【check2】
3、删除部分QosIPv4带宽策略。【check3】
4、再次配置IPv4带宽策略到最大数量。【check1】</t>
  </si>
  <si>
    <t xml:space="preserve">1、构造创建QosIPv4带宽策略成功后观察Oplog【check1】
2、构造删除QosIPv4带宽策略成功后观察Oplog【check1】
3、构造修改QosIPv4带宽策略成功后观察Oplog【check1】
4、构造创建QosIPv4带宽策略失败后观察Oplog【check2】
5、构造删除QosIPv4带宽策略失败后观察Oplog【check2】
6、构造修改QosIPv4带宽策略失败后观察Oplog【check2】
</t>
  </si>
  <si>
    <t>1、在网元上配置大于10条IPv4带宽策略
2、使用接口/api/v1/qospolicerpri调整策略优先级时被调整策略ID为1，其他参数为任意有效值。【check1】
3、使用接口/api/v1/qospolicerpri调整策略优先级时被调整策略ID为任意存在的ID，其他参数为任意有效值。【check1】
4、使用接口/api/v1/qospolicerpri调整策略优先级时被调整策略ID为0，其他参数为任意有效值。【check2】
5、使用接口/api/v1/qospolicerpri调整策略优先级时被调整策略ID为任意不存在的ID，其他参数为任意有效值。【check2】
6、使用接口/api/v1/qospolicerpri调整策略优先级时被调整策略ID为空，其他参数为任意有效值。【check2】
7、使用接口/api/v1/qospolicerpri调整策略优先级时被调整策略ID为超长字符串，其他参数为任意有效值。【check2】</t>
  </si>
  <si>
    <t>1、在网元上配置大于10条IPv4带宽策略
2、使用接口/api/v1/qospolicerpri调整策略优先级时调整方式为first-策略最前，其他参数为任意有效值。【check1】
3、使用接口/api/v1/qospolicerpri调整策略优先级时调整方式为before-策略ID之前，其他参数为任意有效值。【check1】
4、使用接口/api/v1/qospolicerpri调整策略优先级时调整方式为after-策略ID之后，其他参数为任意有效值。【check1】
5、使用接口/api/v1/qospolicerpri调整策略优先级时调整方式为last-默认策略之前，其他参数为任意有效值。【check1】
6、使用接口/api/v1/qospolicerpri调整策略优先级时调整方式为空，其他参数为任意有效值。【check2】
7、使用接口/api/v1/qospolicerpri调整策略优先级时调整方式为其他任意字符串，其他参数为任意有效值。【check2】
8、使用接口/api/v1/qospolicerpri调整策略优先级时调整方式为超长字符串，其他参数为任意有效值。【check2】</t>
  </si>
  <si>
    <t>1、在网元上配置大于10条IPv4带宽策略
2、使用接口/api/v1/qospolicerpri调整策略优先级时目标策略ID为1，其他参数为任意有效值。【check1】
3、使用接口/api/v1/qospolicerpri调整策略优先级时目标策略ID为任意不存在的ID，其他参数为任意有效值。【check1】
4、使用接口/api/v1/qospolicerpri调整策略优先级时目标策略ID为调整方式为first时目标ID为空，其他参数为任意有效值。【check1】
5、使用接口/api/v1/qospolicerpri调整策略优先级时目标策略ID为调整方式为last时目标ID为空，其他参数为任意有效值。【check1】
6、使用接口/api/v1/qospolicerpri调整策略优先级时目标策略ID为0，其他参数为任意有效值。【check2】
7、使用接口/api/v1/qospolicerpri调整策略优先级时目标策略ID为任意存在的ID，其他参数为任意有效值。【check2】
8、使用接口/api/v1/qospolicerpri调整策略优先级时目标策略ID为与被调整ID相同，其他参数为任意有效值。【check2】
9、使用接口/api/v1/qospolicerpri调整策略优先级时目标策略ID为调整方式为before时目标ID为空，其他参数为任意有效值。【check2】
10、使用接口/api/v1/qospolicerpri调整策略优先级时目标策略ID为调整方式为after时目标ID为空，其他参数为任意有效值。【check2】
11、使用接口/api/v1/qospolicerpri调整策略优先级时目标策略ID为超长字符串，其他参数为任意有效值。【check2】
12、使用接口/api/v1/qospolicerpri调整策略优先级时目标策略ID为调整方式为first时存在目标策略ID，其他参数为任意有效值。【check2】
13、使用接口/api/v1/qospolicerpri调整策略优先级时目标策略ID为调整方式为last时存在目标策略ID，其他参数为任意有效值。【check2】</t>
  </si>
  <si>
    <t>1、配置IPv4带宽策略引用地址对象
2、修改该地址对象，查看对象和IPv4带宽策略【check1】
3、查询该地址对象，查看对象和IPv4带宽策略【check1】
4、删除该地址对象，查看对象和IPv4带宽策略【check2】
5、配置IPv4带宽策略取消引用该地址对象后，删除该对象。【check3】</t>
  </si>
  <si>
    <t>1、配置IPv4带宽策略引用地址组对象
2、修改该地址组对象，查看对象和IPv4带宽策略【check1】
3、查询该地址组对象，查看对象和IPv4带宽策略【check1】
4、删除该地址组对象，查看对象和IPv4带宽策略【check2】
5、配置IPv4带宽策略取消引用该地址组对象后，删除该对象。【check3】</t>
  </si>
  <si>
    <t>1、配置IPv4带宽策略引用服务对象
2、修改该服务对象，查看对象和IPv4带宽策略【check1】
3、查询该服务对象，查看对象和IPv4带宽策略【check1】
4、删除该服务对象，查看对象和IPv4带宽策略【check2】
5、配置IPv4带宽策略取消引用该服务对象后，删除该对象。【check3】</t>
  </si>
  <si>
    <t>1、配置IPv4带宽策略引用服务组对象
2、修改该服务组对象，查看对象和IPv4带宽策略【check1】
3、查询该服务组对象，查看对象和IPv4带宽策略【check1】
4、删除该服务组对象，查看对象和IPv4带宽策略【check2】
5、配置IPv4带宽策略取消引用该服务组对象后，删除该对象。【check3】</t>
  </si>
  <si>
    <t>1、配置IPv4带宽策略引用时间对象
2、修改该时间对象，查看对象和IPv4带宽策略【check1】
3、查询该时间对象，查看对象和IPv4带宽策略【check1】
4、删除该时间对象，查看对象和IPv4带宽策略【check2】
5、配置IPv4带宽策略取消引用该时间对象后，删除该对象。【check3】</t>
  </si>
  <si>
    <t>1、使用put方法配置IPv4带宽策略优先级调整/api/v1/qospolicerpri接口，参数为任意有效值。【check1】
2、使用post方法配置IPv4带宽策略优先级调整/api/v1/qospolicerpri接口，参数为任意有效值。【check2】
3、使用delete方法配置IPv4带宽策略优先级调整/api/v1/qospolicerpri接口，参数为任意有效值。【check2】</t>
  </si>
  <si>
    <t>验证最大数量的通道带宽管理功能</t>
    <phoneticPr fontId="1" type="noConversion"/>
  </si>
  <si>
    <t>验证单条IPv4带宽策略不同入口同时匹配目的地址组和服务功能</t>
    <phoneticPr fontId="1" type="noConversion"/>
  </si>
  <si>
    <t>验证单条IPv6带宽策略不同出口同时匹配源地址组和目的地址组功能</t>
    <phoneticPr fontId="1" type="noConversion"/>
  </si>
  <si>
    <t>1、在网元上选取任意两个以上的接口（记为port1，port2，port3）配置二层转发或者路由转发
2、在Port1（入接口）和Port2（出接口）上配置IPv4带宽策略，带宽策略匹配目的地址组和服务其他参数均为any，引用Qos通道的上下行限制最大带宽。
3、在Port1和Port2之间双向发送同时匹配目的地址组和服务，流量大于通道的最大带宽，观察流量。【check1】
4、在Port3与Port1之间双向发送大于通道最大带宽的流量。【check2】
5、在Port1与Port2之间双向发送仅匹配目的地址组不匹配服务的流量，流量大于通道最大带宽的流量。【check2】
6、在Port1与Port2之间双向发送仅匹配服务不匹配目的地址组的流量，流量大于通道最大带宽的流量。【check2】</t>
    <phoneticPr fontId="1" type="noConversion"/>
  </si>
  <si>
    <t>1、在网元上选取任意两个以上的接口（记为port1，port2，port3）配置二层转发或者路由转发
2、在Port1（入接口）和Port2（出接口）上配置IPv6带宽策略，带宽策略匹配源地址组和目的地址组其他参数均为any，引用Qos通道的上下行限制最大带宽。
3、在Port1和Port2之间双向发送同时匹配源地址组和目的地址组，流量大于通道的最大带宽，观察流量。【check1】
4、在Port3与Port2之间双向发送大于通道最大带宽的流量。【check2】
5、在Port1与Port2之间双向发送仅匹配源地址组不匹配目的地址组的流量，流量大于通道最大带宽的流量。【check2】
6、在Port1与Port2之间双向发送仅匹配目的地址组不匹配源地址组的流量，流量大于通道最大带宽的流量。【check2】</t>
    <phoneticPr fontId="1" type="noConversion"/>
  </si>
  <si>
    <t>1、在port1（入）和port2（出）之间配置带宽策略P1，匹配参数任意，并引用独占通道，在通道上配置保障带宽保障带宽为cir1，最大带宽为pir1
2、在port1（入）和port2（出）之间配置两条带宽策略P2和P3，匹配参数任意，并引用共享通道，在通道上配置保障带宽保障带宽为cir2，最大带宽为pir2
3、配置port2的接口带宽，空闲阈值为80%，繁忙阈值为90%。cir1+cir2&gt;接口带宽的70%，pir1+pir2&lt;接口带宽的75%
4、在port1和port2之间发送匹配p1的流量流量略高于pir1，发送匹配P2和P3的流量，流量之和略高于pir2。三条流量之和小于接口带宽的80%。观察流量。【check1】
5、从port3向port2发送线速的背景流量。观察流量通过情况【check2】
6、停止背景流量，观察流量。【check1】</t>
    <phoneticPr fontId="1" type="noConversion"/>
  </si>
  <si>
    <t>验证独占通道不同接口间入接口到出接口方向总额限制功能</t>
    <phoneticPr fontId="1" type="noConversion"/>
  </si>
  <si>
    <t>1、在port1（入）和port2（出）上配置带宽策略，匹配任意参数，引用Qos独占通道配置总额限制
2、从Port1向Port2发送线速带宽的流量，流量正向匹配带宽策略，观察流量通过情况。【check1】
3、不停止流量，禁用带宽策略，观察流量。【check2】</t>
    <phoneticPr fontId="1" type="noConversion"/>
  </si>
  <si>
    <t>【check1】该流通过的流量等于带宽策略引用通道的最大带宽。
【check2】从Port1到Port2的流量不被限制</t>
    <phoneticPr fontId="1" type="noConversion"/>
  </si>
  <si>
    <t>是</t>
    <phoneticPr fontId="1" type="noConversion"/>
  </si>
  <si>
    <t>1、在port1（入）和port2（出）上配置带宽策略，匹配任意参数，引用Qos独占通道最大带宽小于接口带宽
2、从Port1向Port2发送线速带宽的流量，流量正向匹配带宽策略，观察流量通过情况。【check1】
3、不停止流量，禁用带宽策略，观察流量。【check2】</t>
    <phoneticPr fontId="1" type="noConversion"/>
  </si>
  <si>
    <t>【check1】该流通过的流量等于带宽策略引用通道的最大带宽。
【check2】从Port1到Port2的流量不被限制</t>
    <phoneticPr fontId="1" type="noConversion"/>
  </si>
  <si>
    <t>1、在port1（入）和port2（出）上配置带宽策略，匹配任意参数，引用Qos独占通道最大带宽小于接口带宽
2、从Port2向Port1发送线速带宽的流量，流量反向匹配带宽策略，观察流量通过情况。（此时无正向会话，必要时可以清除会话）【check2】
3、不停止流量，从Port1向Port2发送正向匹配带宽策略的流量，观察流量。【check1】
4、不停止流量，禁用带宽策略，观察流量。【check3】</t>
    <phoneticPr fontId="1" type="noConversion"/>
  </si>
  <si>
    <t>验证IPv4共享通道不同接口间入接口到出接口方向带宽限制功能</t>
    <phoneticPr fontId="1" type="noConversion"/>
  </si>
  <si>
    <t>1、在port1（入）和port2（出）上配置至少三条带宽策略，匹配任意参数，三条策略都引用同一共享带宽通道，带宽通道的最大带宽小于接口带宽。
2、从Port1向Port2发送至少三条流，流量之和为接口线速，流量正向匹配带宽策略，观察流量通过情况。【check1】
3、不停止流量，禁用带宽策略，观察流量。【check2】</t>
    <phoneticPr fontId="1" type="noConversion"/>
  </si>
  <si>
    <t>验证IPv4共享通道不同接口间出接口到入接口方向带宽限制功能</t>
    <phoneticPr fontId="1" type="noConversion"/>
  </si>
  <si>
    <t>1、在port1（入）和port2（出）上配置至少三条带宽策略，匹配任意参数，三条策略都引用同一共享带宽通道，带宽通道的最大带宽小于接口带宽。
2、从Port2向Port1至少发送3条流，流量之和为接口线速，流量反向匹配带宽策略，观察流量通过情况。（此时无正向会话，必要时可以清除会话）【check2】
3、不停止流量，从Port1向Port2发送正向匹配带宽策略的流量，观察流量。（此时无正向会话，必要时可以清除会话）【check1】
4、不停止流量，禁用带宽策略，观察流量。【check3】</t>
    <phoneticPr fontId="1" type="noConversion"/>
  </si>
  <si>
    <t xml:space="preserve"> </t>
    <phoneticPr fontId="1" type="noConversion"/>
  </si>
  <si>
    <t>是</t>
    <phoneticPr fontId="1" type="noConversion"/>
  </si>
  <si>
    <t>验证IPv4带宽策略匹配在修改入接口后即时生效</t>
  </si>
  <si>
    <t>验证IPv4带宽策略匹配在修改出接口后即时生效</t>
  </si>
  <si>
    <t>验证IPv4带宽策略匹配在修改源地址后即时生效</t>
  </si>
  <si>
    <t>验证IPv4带宽策略匹配在修改源地址组后即时生效</t>
  </si>
  <si>
    <t>验证IPv4带宽策略匹配在修改目的地址后即时生效</t>
  </si>
  <si>
    <t>验证IPv4带宽策略匹配在修改目的地址组后即时生效</t>
  </si>
  <si>
    <t>验证IPv4带宽策略匹配在修改服务后即时生效</t>
  </si>
  <si>
    <t>验证IPv4带宽策略匹配在修改服务组后即时生效</t>
  </si>
  <si>
    <t>验证IPv4带宽策略匹配在修改时间对象后即时生效</t>
  </si>
  <si>
    <t>验证IPv4带宽策略匹配在修改入安全域后即时生效</t>
  </si>
  <si>
    <t>验证IPv4带宽策略匹配在修改出安全域后即时生效</t>
  </si>
  <si>
    <t>1、在网元上选取任意两个接口配置二层转发或者路由转发
2、在这两个接口上配置带宽策略，带宽策略匹配非标准服务（非TCP和UDP），其他匹配内容全部为any，引用Qos通道的上下行限制最大带宽。
3、在上行发送匹配服务的流量，流量大于带宽通道上行最大带宽，观察流量。【check1】
4、在下行方向匹配会话的流量（五元组与上行流量相同，源目的和端口互换）的流量，流量大于带宽通道下行方法的最大带宽，观察流量。【check2】
5、在上行发送仅服务不同其他字段均相同的流量，下行同时发送匹配该会话的流量，双向流量大小大于通道最大带宽，观察流量。【check3】</t>
    <phoneticPr fontId="1" type="noConversion"/>
  </si>
  <si>
    <t>1、在网元上配置接口IP和业务
2、在port1和port2上配置IPv4带宽策略，引用步骤1中配置的入接口，他参数均为any，引用Qos通道的上下行限制最大带宽。
3、在Port1和Port2之间双向发送五元组变化的流量，流量大于通道的最大带宽，观察流量。【check1】
4、不停止流量修改入接口使其不在匹配该流量，观察流量。【check2】</t>
  </si>
  <si>
    <t>1、在网元上配置接口IP和业务
2、在port1和port2上配置IPv4带宽策略，引用步骤1中配置的出接口，他参数均为any，引用Qos通道的上下行限制最大带宽。
3、在Port1和Port2之间双向发送五元组变化的流量，流量大于通道的最大带宽，观察流量。【check1】
4、不停止流量修改出接口使其不在匹配该流量，观察流量。【check2】</t>
  </si>
  <si>
    <t>1、在网元上创建源地址
2、在port1和port2上配置IPv4带宽策略，引用步骤1中配置的源地址，他参数均为any，引用Qos通道的上下行限制最大带宽。
3、在Port1和Port2之间双向发送五元组变化的流量，流量大于通道的最大带宽，观察流量。【check1】
4、不停止流量修改源地址使其不在匹配该流量，观察流量。【check2】</t>
  </si>
  <si>
    <t>1、在网元上创建源地址组
2、在port1和port2上配置IPv4带宽策略，引用步骤1中配置的源地址组，他参数均为any，引用Qos通道的上下行限制最大带宽。
3、在Port1和Port2之间双向发送五元组变化的流量，流量大于通道的最大带宽，观察流量。【check1】
4、不停止流量修改源地址组使其不在匹配该流量，观察流量。【check2】</t>
  </si>
  <si>
    <t>1、在网元上创建目的地址
2、在port1和port2上配置IPv4带宽策略，引用步骤1中配置的目的地址，他参数均为any，引用Qos通道的上下行限制最大带宽。
3、在Port1和Port2之间双向发送五元组变化的流量，流量大于通道的最大带宽，观察流量。【check1】
4、不停止流量修改目的地址使其不在匹配该流量，观察流量。【check2】</t>
  </si>
  <si>
    <t>1、在网元上创建目的地址组
2、在port1和port2上配置IPv4带宽策略，引用步骤1中配置的目的地址组，他参数均为any，引用Qos通道的上下行限制最大带宽。
3、在Port1和Port2之间双向发送五元组变化的流量，流量大于通道的最大带宽，观察流量。【check1】
4、不停止流量修改目的地址组使其不在匹配该流量，观察流量。【check2】</t>
  </si>
  <si>
    <t>1、在网元上创建服务
2、在port1和port2上配置IPv4带宽策略，引用步骤1中配置的服务，他参数均为any，引用Qos通道的上下行限制最大带宽。
3、在Port1和Port2之间双向发送五元组变化的流量，流量大于通道的最大带宽，观察流量。【check1】
4、不停止流量修改服务使其不在匹配该流量，观察流量。【check2】</t>
  </si>
  <si>
    <t>1、在网元上创建服务组
2、在port1和port2上配置IPv4带宽策略，引用步骤1中配置的服务组，他参数均为any，引用Qos通道的上下行限制最大带宽。
3、在Port1和Port2之间双向发送五元组变化的流量，流量大于通道的最大带宽，观察流量。【check1】
4、不停止流量修改服务组使其不在匹配该流量，观察流量。【check2】</t>
  </si>
  <si>
    <t>1、在网元上创建时间对象,系统时间在时间对象的生效范围内
2、在port1和port2上配置IPv4带宽策略，引用步骤1中配置的时间对象，他参数均为any，引用Qos通道的上下行限制最大带宽。
3、在Port1和Port2之间双向发送五元组变化的流量，流量大于通道的最大带宽，观察流量。【check1】
4、不停止流量修改时间对象使系统时间不在生效范围内，观察带宽策略和流量。【check2】</t>
  </si>
  <si>
    <t>1、配置port1和port2分别属于不同的安全域，并在两个安全域上配置IPv4带宽策略，匹配参数任意，引用Qos通道的上下行限制最大带宽。
2、在Port1和Port2之间双向发送匹配的流量，流量大于通道的最大带宽，观察流量。【check1】
3、不停止流量修改带宽策略的入安全域（该安全域的接口为port3），观察流量。【check2】
4、在Port2和Port3之间双向发送匹配的流量，流量大于通道的最大带宽，观察流量。【check1】</t>
  </si>
  <si>
    <t>1、配置port1和port2分别属于不同的安全域，并在安全域上配置IPv4带宽策略，匹配参数任意，引用Qos通道的上下行限制最大带宽。
2、在Port1和Port2之间双向发送匹配的流量，流量大于通道的最大带宽，观察流量。【check1】
3、不停止流量修改带宽策略的出接口另外的安全域（该安全域的接口为port3），观察流量。【check2】
4、在Port2和Port3之间双向发送匹配的流量，流量大于通道的最大带宽，观察流量。【check1】</t>
  </si>
  <si>
    <t>1、配置网元二层或者路由转发
2、配置最大数量的IPv4和IPv6带宽策略，并发送流量【check1】
3、删除部分带宽策略，观察流量【check1】【check2】
4、再次配置最大数量的带宽策略，观察流量【check1】【check3】</t>
    <phoneticPr fontId="1" type="noConversion"/>
  </si>
  <si>
    <t>验证最大数量的IPv4和IPv6带宽策略带宽管理功能</t>
    <phoneticPr fontId="1" type="noConversion"/>
  </si>
  <si>
    <t>P2</t>
    <phoneticPr fontId="1" type="noConversion"/>
  </si>
  <si>
    <t>验证IPv6带宽策略匹配在修改源地址后即时生效</t>
  </si>
  <si>
    <t>1、在网元上创建源地址
2、在port1和port2上配置IPv6带宽策略，引用步骤1中配置的源地址，他参数均为any，引用Qos通道的上下行限制最大带宽。
3、在Port1和Port2之间双向发送五元组变化的流量，流量大于通道的最大带宽，观察流量。【check1】
4、不停止流量修改源地址使其不在匹配该流量，观察流量。【check2】</t>
  </si>
  <si>
    <t>验证IPv6带宽策略匹配在修改源地址组后即时生效</t>
  </si>
  <si>
    <t>1、在网元上创建源地址组
2、在port1和port2上配置IPv6带宽策略，引用步骤1中配置的源地址组，他参数均为any，引用Qos通道的上下行限制最大带宽。
3、在Port1和Port2之间双向发送五元组变化的流量，流量大于通道的最大带宽，观察流量。【check1】
4、不停止流量修改源地址组使其不在匹配该流量，观察流量。【check2】</t>
  </si>
  <si>
    <t>验证IPv6带宽策略匹配在修改目的地址后即时生效</t>
  </si>
  <si>
    <t>1、在网元上创建目的地址
2、在port1和port2上配置IPv6带宽策略，引用步骤1中配置的目的地址，他参数均为any，引用Qos通道的上下行限制最大带宽。
3、在Port1和Port2之间双向发送五元组变化的流量，流量大于通道的最大带宽，观察流量。【check1】
4、不停止流量修改目的地址使其不在匹配该流量，观察流量。【check2】</t>
  </si>
  <si>
    <t>验证IPv6带宽策略匹配在修改目的地址组后即时生效</t>
  </si>
  <si>
    <t>1、在网元上创建目的地址组
2、在port1和port2上配置IPv6带宽策略，引用步骤1中配置的目的地址组，他参数均为any，引用Qos通道的上下行限制最大带宽。
3、在Port1和Port2之间双向发送五元组变化的流量，流量大于通道的最大带宽，观察流量。【check1】
4、不停止流量修改目的地址组使其不在匹配该流量，观察流量。【check2】</t>
  </si>
  <si>
    <t>验证IPv6带宽策略匹配在修改服务后即时生效</t>
  </si>
  <si>
    <t>1、在网元上创建服务
2、在port1和port2上配置IPv6带宽策略，引用步骤1中配置的服务，他参数均为any，引用Qos通道的上下行限制最大带宽。
3、在Port1和Port2之间双向发送五元组变化的流量，流量大于通道的最大带宽，观察流量。【check1】
4、不停止流量修改服务使其不在匹配该流量，观察流量。【check2】</t>
  </si>
  <si>
    <t>验证IPv6带宽策略匹配在修改服务组后即时生效</t>
  </si>
  <si>
    <t>1、在网元上创建服务组
2、在port1和port2上配置IPv6带宽策略，引用步骤1中配置的服务组，他参数均为any，引用Qos通道的上下行限制最大带宽。
3、在Port1和Port2之间双向发送五元组变化的流量，流量大于通道的最大带宽，观察流量。【check1】
4、不停止流量修改服务组使其不在匹配该流量，观察流量。【check2】</t>
  </si>
  <si>
    <t>验证IPv6带宽策略匹配在修改时间对象后即时生效</t>
  </si>
  <si>
    <t>1、在网元上创建时间对象,系统时间在时间对象的生效范围内
2、在port1和port2上配置IPv6带宽策略，引用步骤1中配置的时间对象，他参数均为any，引用Qos通道的上下行限制最大带宽。
3、在Port1和Port2之间双向发送五元组变化的流量，流量大于通道的最大带宽，观察流量。【check1】
4、不停止流量修改时间对象使系统时间不在生效范围内，观察带宽策略和流量。【check2】</t>
  </si>
  <si>
    <t>验证IPv6带宽策略匹配在修改入安全域后即时生效</t>
  </si>
  <si>
    <t>1、配置port1和port2分别属于不同的安全域，并在两个安全域上配置IPv6带宽策略，匹配参数任意，引用Qos通道的上下行限制最大带宽。
2、在Port1和Port2之间双向发送匹配的流量，流量大于通道的最大带宽，观察流量。【check1】
3、不停止流量修改带宽策略的入安全域（该安全域的接口为port3），观察流量。【check2】
4、在Port2和Port3之间双向发送匹配的流量，流量大于通道的最大带宽，观察流量。【check1】</t>
  </si>
  <si>
    <t>验证IPv6带宽策略匹配在修改出安全域后即时生效</t>
  </si>
  <si>
    <t>1、配置port1和port2分别属于不同的安全域，并在安全域上配置IPv6带宽策略，匹配参数任意，引用Qos通道的上下行限制最大带宽。
2、在Port1和Port2之间双向发送匹配的流量，流量大于通道的最大带宽，观察流量。【check1】
3、不停止流量修改带宽策略的出接口另外的安全域（该安全域的接口为port3），观察流量。【check2】
4、在Port2和Port3之间双向发送匹配的流量，流量大于通道的最大带宽，观察流量。【check1】</t>
  </si>
  <si>
    <t>验证IPv6带宽策略匹配在修改入接口后即时生效</t>
    <phoneticPr fontId="1" type="noConversion"/>
  </si>
  <si>
    <t>验证IPv6带宽策略匹配在修改源地址后即时生效</t>
    <phoneticPr fontId="1" type="noConversion"/>
  </si>
  <si>
    <t>1、在网元上配置接口IP和业务
2、在port1和port2上配置IPv6带宽策略，引用步骤1中配置的入接口，他参数均为any，引用Qos通道的上下行限制最大带宽。
3、在Port1和Port2之间双向发送五元组变化的流量，流量大于通道的最大带宽，观察流量。【check1】
4、不停止流量修改入接口使其不在匹配该流量，观察流量。【check2】</t>
    <phoneticPr fontId="1" type="noConversion"/>
  </si>
  <si>
    <t>1、在网元上创建源地址
2、在port1和port2上配置IPv6带宽策略，引用步骤1中配置的源地址，他参数均为any，引用Qos通道的上下行限制最大带宽。
3、在Port1和Port2之间双向发送五元组变化的流量，流量大于通道的最大带宽，观察流量。【check1】
4、不停止流量修改源地址使其不在匹配该流量，观察流量。【check2】</t>
    <phoneticPr fontId="1" type="noConversion"/>
  </si>
  <si>
    <t>P3</t>
    <phoneticPr fontId="1" type="noConversion"/>
  </si>
  <si>
    <t>P1</t>
    <phoneticPr fontId="1" type="noConversion"/>
  </si>
  <si>
    <t>P3</t>
    <phoneticPr fontId="1" type="noConversion"/>
  </si>
  <si>
    <t>【check1】该流通过的流量等于带宽策略引用通道的最大带宽。
【check2】Port1上单臂转发的流量不被限制</t>
    <phoneticPr fontId="1" type="noConversion"/>
  </si>
  <si>
    <t>1、在port1（出入接口均为Port1）上配置带宽策略，匹配任意参数，引用Qos独占通道最大带宽小于接口带宽
2、向Port1发送线速带宽的流量形成单臂转发，流量正向匹配带宽策略，观察流量通过情况。【check1】
3、不停止流量，禁用带宽策略，观察流量。【check2】</t>
    <phoneticPr fontId="1" type="noConversion"/>
  </si>
  <si>
    <t>验证不同接口业务共享通道和独占通道共存时的最大带宽限制</t>
    <phoneticPr fontId="1" type="noConversion"/>
  </si>
  <si>
    <t>否</t>
    <phoneticPr fontId="1" type="noConversion"/>
  </si>
  <si>
    <t>验证独占通道不同接口间出接口到入接口方向带宽限制功能</t>
    <phoneticPr fontId="1" type="noConversion"/>
  </si>
  <si>
    <t>验证IPv4独占通道单臂路由入接口到出接口方向带宽保障功能</t>
    <phoneticPr fontId="1" type="noConversion"/>
  </si>
  <si>
    <t>验证独占通道不同接口间入接口到出接口方向带宽限制功能</t>
    <phoneticPr fontId="1" type="noConversion"/>
  </si>
  <si>
    <t>验证独占通道单臂路由入接口到出接口方向带宽限制功能</t>
    <phoneticPr fontId="1" type="noConversion"/>
  </si>
  <si>
    <t>是</t>
    <phoneticPr fontId="1" type="noConversion"/>
  </si>
  <si>
    <t>是</t>
    <phoneticPr fontId="1" type="noConversion"/>
  </si>
  <si>
    <t>验证IPv4带宽策略入接口和出接口相同时策略匹配功能</t>
    <phoneticPr fontId="1" type="noConversion"/>
  </si>
  <si>
    <t>P3</t>
    <phoneticPr fontId="1" type="noConversion"/>
  </si>
  <si>
    <t>验证单条带宽策略不同入口同时匹配源地址和目的地址功能</t>
    <phoneticPr fontId="1" type="noConversion"/>
  </si>
  <si>
    <t>1、在网元上选取任意两个接口配置二层转发或者路由转发
2、在这两个接口上配置带宽策略，带宽策略匹配非标准服务（非TCP和UDP），其他匹配内容全部为any，引用Qos通道的上下行限制最大带宽。
3、在上行发送匹配服务的流量，流量大于带宽通道上行最大带宽，观察流量。【check1】
4、在下行方向匹配会话的流量（五元组与上行流量相同，源目的和端口互换）的流量，流量大于带宽通道下行方法的最大带宽，观察流量。【check2】
5、在上行发送仅服务不同其他字段均相同的流量，下行同时发送匹配该会话的流量，双向流量大小大于通道最大带宽，观察流量。【check3】</t>
    <phoneticPr fontId="1" type="noConversion"/>
  </si>
  <si>
    <t>验证IPv4共享通道可以匹配多个接口功能</t>
    <phoneticPr fontId="1" type="noConversion"/>
  </si>
  <si>
    <t>1、在网元上选取任意两个以上的接口（记为port1，port2，port3）配置二层转发或者路由转发
2、在port1和port2上配置IPv4带宽策略，仅匹配接口其他参数均为any，引用Qos通道的上下行限制最大带宽。
3、在Port1和Port2之间双向发送五元组变化的流量，流量大于通道的最大带宽，观察流量。【check1】
4、在Port3与Port1之间双向发送大于通道最大带宽的流量。【check2】
5、在Port3与Port2之间双向发送大于通道最大带宽的流量。【check2】</t>
  </si>
  <si>
    <t>1、在网元上选取任意两个接口（记为port1，port2）配置路由转发，其中Port1上配置单臂路由转发
2、在port1配置IPv4带宽策略（出入接口均为port1），仅匹配接口其他参数均为any，引用Qos通道的上下行限制最大带宽。
3、在Port1上内双向发送流量形成单臂转发，流量大于通道的最大带宽，观察流量。【check1】
4、在Port1与Port2之间双向发送大于通道最大带宽的流量。【check2】</t>
  </si>
  <si>
    <t>1、在网元上选取任意1个或多个接口创建两个安全域（记为Domain1、Domain2和Domain3，三个域之间不包含相同的接口）并在安全域内的接口上配置二层转发或者路由转发。选取另外的接口配置安全域
2、在Domain1和Domain2上配置IPv4带宽策略，仅匹配接口其他参数均为any，引用Qos通道的上下行限制最大带宽。
3、在Domain1和Domain2之间双向发送五元组变化的流量，流量大于通道的最大带宽，观察流量。【check1】
4、在Domain3与Domain1之间双向发送大于通道最大带宽的流量。【check2】
5、在Domain3与Domain2之间双向发送大于通道最大带宽的流量。【check2】</t>
  </si>
  <si>
    <t>1、在网元上选取任意接口创建两个安全域（记为Domain1，Domain2）配置路由转发或者二层转发，其中Domain1上存在域内转发（不同接口间的路由转发）
2、在Domain1配置IPv4带宽策略（出入接口均为Domain1），仅匹配接口其他参数均为any，引用Qos通道的上下行限制最大带宽。
3、在Domain1的域内双向发送流量，流量大于通道的最大带宽，观察流量。【check1】
4、在Domain1与Domain2之间双向发送大于通道最大带宽的流量。【check2】</t>
  </si>
  <si>
    <t>1、在网元上选取任意接口配置安全域（记为Domain1）其他任意两个接口记为Port2，Port3），并在域和接口之间配置二层转发或者路由转发
2、在Domain1（入）和Port2（出）上配置IPv4带宽策略，仅匹配接口其他参数均为any，引用Qos通道的上下行限制最大带宽。
3、在Domain1和Port2之间双向发送五元组变化的流量，流量大于通道的最大带宽，观察流量。【check1】
4、在Port3与Domain1之间双向发送大于通道最大带宽的流量。【check2】
5、在Port3与Port2之间双向发送大于通道最大带宽的流量。【check2】</t>
  </si>
  <si>
    <t>1、在网元上选取任意接口配置安全域（记为Domain1），在域内选取任意接口Port2，域外选取任意接口Port3），并在域和接口之间配置二层转发或者路由转发
2、在Domain1（出）和Port2（入）上配置IPv4带宽策略，仅匹配接口其他参数均为any，引用Qos通道的上下行限制最大带宽。
3、在Domain1和Port2之间双向发送五元组变化的流量，流量大于通道的最大带宽，观察流量。【check1】
4、在Port3与Domain1之间双向发送大于通道最大带宽的流量。【check2】
5、在Port3与Port2之间双向发送大于通道最大带宽的流量。【check2】</t>
  </si>
  <si>
    <t>1、在网元上选取任意两个接口配置二层转发或者路由转发
2、在这两个接口上配置IPv4带宽策略，带宽策略匹配源地址，其他匹配内容全部为any，引用Qos通道的上下行限制最大带宽。
3、在上行发送匹配源地址的流量，流量大于带宽通道上行最大带宽，观察流量。【check1】
4、在下行方向匹配会话的流量（五元组与上行流量相同，源目的和端口互换）的流量，流量大于带宽通道下行方法的最大带宽，观察流量。【check2】
5、在上行发送仅源地址不同其他字段均相同的流量，下行同时发送匹配该会话的流量，双向流量大小大于通道最大带宽，观察流量。【check3】</t>
  </si>
  <si>
    <t>1、在网元上选取任意两个接口配置二层转发或者路由转发
2、在这两个接口上配置IPv4带宽策略，带宽策略匹配源地址组，其他匹配内容全部为any，引用Qos通道的上下行限制最大带宽。
3、在上行发送匹配源地址组的流量，流量大于带宽通道上行最大带宽，观察流量。【check1】
4、在下行方向匹配会话的流量（五元组与上行流量相同，源目的和端口互换）的流量，流量大于带宽通道下行方法的最大带宽，观察流量。【check2】
5、在上行发送仅源地址组不同其他字段均相同的流量，下行同时发送匹配该会话的流量，双向流量大小大于通道最大带宽，观察流量。【check3】</t>
  </si>
  <si>
    <t>1、在网元上选取任意两个接口配置二层转发或者路由转发
2、在这两个接口上配置IPv4带宽策略，带宽策略匹配目的地址，其他匹配内容全部为any，引用Qos通道的上下行限制最大带宽。
3、在上行发送匹配目的地址的流量，流量大于带宽通道上行最大带宽，观察流量。【check1】
4、在下行方向匹配会话的流量（五元组与上行流量相同，源目的和端口互换）的流量，流量大于带宽通道下行方法的最大带宽，观察流量。【check2】
5、在上行发送仅目的地址不同其他字段均相同的流量，下行同时发送匹配该会话的流量，双向流量大小大于通道最大带宽，观察流量。【check3】</t>
  </si>
  <si>
    <t>1、在网元上选取任意两个接口配置二层转发或者路由转发
2、在这两个接口上配置IPv4带宽策略，带宽策略匹配目的地址组，其他匹配内容全部为any，引用Qos通道的上下行限制最大带宽。
3、在上行发送匹配目的地址组的流量，流量大于带宽通道上行最大带宽，观察流量。【check1】
4、在下行方向匹配会话的流量（五元组与上行流量相同，源目的和端口互换）的流量，流量大于带宽通道下行方法的最大带宽，观察流量。【check2】
5、在上行发送仅目的地址组不同其他字段均相同的流量，下行同时发送匹配该会话的流量，双向流量大小大于通道最大带宽，观察流量。【check3】</t>
  </si>
  <si>
    <t>1、在网元上选取任意两个接口配置二层转发或者路由转发
2、在这两个接口上配置IPv4带宽策略，带宽策略匹配服务，其他匹配内容全部为any，引用Qos通道的上下行限制最大带宽。
3、在上行发送匹配服务的流量，流量大于带宽通道上行最大带宽，观察流量。【check1】
4、在下行方向匹配会话的流量（五元组与上行流量相同，源目的和端口互换）的流量，流量大于带宽通道下行方法的最大带宽，观察流量。【check2】
5、在上行发送仅服务不同其他字段均相同的流量，下行同时发送匹配该会话的流量，双向流量大小大于通道最大带宽，观察流量。【check3】</t>
  </si>
  <si>
    <t>1、在网元上选取任意两个接口配置二层转发或者路由转发
2、在这两个接口上配置IPv4带宽策略，带宽策略匹配服务组，其他匹配内容全部为any，引用Qos通道的上下行限制最大带宽。
3、在上行发送匹配服务组的流量，流量大于带宽通道上行最大带宽，观察流量。【check1】
4、在下行方向匹配会话的流量（五元组与上行流量相同，源目的和端口互换）的流量，流量大于带宽通道下行方法的最大带宽，观察流量。【check2】
5、在上行发送仅服务组不同其他字段均相同的流量，下行同时发送匹配该会话的流量，双向流量大小大于通道最大带宽，观察流量。【check3】</t>
  </si>
  <si>
    <t>1、在网元上选取任意两个接口配置二层转发或者路由转发
2、在这两个接口上配置IPv4带宽策略，带宽策略匹配时间对象，其他匹配内容全部为any，引用Qos通道的上下行限制最大带宽。
3、在上行发送匹配时间对象的流量，流量大于带宽通道上行最大带宽，观察流量。【check1】
4、在下行方向匹配会话的流量（五元组与上行流量相同，源目的和端口互换）的流量，流量大于带宽通道下行方法的最大带宽，观察流量。【check2】
5、在上行发送仅时间对象不同其他字段均相同的流量，下行同时发送匹配该会话的流量，双向流量大小大于通道最大带宽，观察流量。【check3】</t>
  </si>
  <si>
    <t>1、在网元上选取任意两个以上的接口（记为port1，port2，port3）配置二层转发或者路由转发
2、在port1和port2上配置IPv6带宽策略，仅匹配接口其他参数均为any，引用Qos通道的上下行限制最大带宽。
3、在Port1和Port2之间双向发送五元组变化的流量，流量大于通道的最大带宽，观察流量。【check1】
4、在Port3与Port1之间双向发送大于通道最大带宽的流量。【check2】
5、在Port3与Port2之间双向发送大于通道最大带宽的流量。【check2】</t>
  </si>
  <si>
    <t>1、在网元上选取任意两个接口（记为port1，port2）配置路由转发，其中Port1上配置单臂路由转发
2、在port1配置IPv6带宽策略（出入接口均为port1），仅匹配接口其他参数均为any，引用Qos通道的上下行限制最大带宽。
3、在Port1上内双向发送流量形成单臂转发，流量大于通道的最大带宽，观察流量。【check1】
4、在Port1与Port2之间双向发送大于通道最大带宽的流量。【check2】</t>
  </si>
  <si>
    <t>1、在网元上选取任意1个或多个接口创建两个安全域（记为Domain1、Domain2和Domain3，三个域之间不包含相同的接口）并在安全域内的接口上配置二层转发或者路由转发。选取另外的接口配置安全域
2、在Domain1和Domain2上配置IPv6带宽策略，仅匹配接口其他参数均为any，引用Qos通道的上下行限制最大带宽。
3、在Domain1和Domain2之间双向发送五元组变化的流量，流量大于通道的最大带宽，观察流量。【check1】
4、在Domain3与Domain1之间双向发送大于通道最大带宽的流量。【check2】
5、在Domain3与Domain2之间双向发送大于通道最大带宽的流量。【check2】</t>
  </si>
  <si>
    <t>1、在网元上选取任意接口创建两个安全域（记为Domain1，Domain2）配置路由转发或者二层转发，其中Domain1上存在域内转发（不同接口间的路由转发）
2、在Domain1配置IPv6带宽策略（出入接口均为Domain1），仅匹配接口其他参数均为any，引用Qos通道的上下行限制最大带宽。
3、在Domain1的域内双向发送流量，流量大于通道的最大带宽，观察流量。【check1】
4、在Domain1与Domain2之间双向发送大于通道最大带宽的流量。【check2】</t>
  </si>
  <si>
    <t>1、在网元上选取任意接口配置安全域（记为Domain1）其他任意两个接口记为Port2，Port3），并在域和接口之间配置二层转发或者路由转发
2、在Domain1（入）和Port2（出）上配置IPv6带宽策略，仅匹配接口其他参数均为any，引用Qos通道的上下行限制最大带宽。
3、在Domain1和Port2之间双向发送五元组变化的流量，流量大于通道的最大带宽，观察流量。【check1】
4、在Port3与Domain1之间双向发送大于通道最大带宽的流量。【check2】
5、在Port3与Port2之间双向发送大于通道最大带宽的流量。【check2】</t>
  </si>
  <si>
    <t>1、在网元上选取任意接口配置安全域（记为Domain1），在域内选取任意接口Port2，域外选取任意接口Port3），并在域和接口之间配置二层转发或者路由转发
2、在Domain1（出）和Port2（入）上配置IPv6带宽策略，仅匹配接口其他参数均为any，引用Qos通道的上下行限制最大带宽。
3、在Domain1和Port2之间双向发送五元组变化的流量，流量大于通道的最大带宽，观察流量。【check1】
4、在Port3与Domain1之间双向发送大于通道最大带宽的流量。【check2】
5、在Port3与Port2之间双向发送大于通道最大带宽的流量。【check2】</t>
  </si>
  <si>
    <t>1、在网元上选取任意两个接口配置二层转发或者路由转发
2、在这两个接口上配置IPv6带宽策略，带宽策略匹配源地址，其他匹配内容全部为any，引用Qos通道的上下行限制最大带宽。
3、在上行发送匹配源地址的流量，流量大于带宽通道上行最大带宽，观察流量。【check1】
4、在下行方向匹配会话的流量（五元组与上行流量相同，源目的和端口互换）的流量，流量大于带宽通道下行方法的最大带宽，观察流量。【check2】
5、在上行发送仅源地址不同其他字段均相同的流量，下行同时发送匹配该会话的流量，双向流量大小大于通道最大带宽，观察流量。【check3】</t>
  </si>
  <si>
    <t>1、在网元上选取任意两个接口配置二层转发或者路由转发
2、在这两个接口上配置IPv6带宽策略，带宽策略匹配源地址组，其他匹配内容全部为any，引用Qos通道的上下行限制最大带宽。
3、在上行发送匹配源地址组的流量，流量大于带宽通道上行最大带宽，观察流量。【check1】
4、在下行方向匹配会话的流量（五元组与上行流量相同，源目的和端口互换）的流量，流量大于带宽通道下行方法的最大带宽，观察流量。【check2】
5、在上行发送仅源地址组不同其他字段均相同的流量，下行同时发送匹配该会话的流量，双向流量大小大于通道最大带宽，观察流量。【check3】</t>
  </si>
  <si>
    <t>1、在网元上选取任意两个接口配置二层转发或者路由转发
2、在这两个接口上配置IPv6带宽策略，带宽策略匹配目的地址，其他匹配内容全部为any，引用Qos通道的上下行限制最大带宽。
3、在上行发送匹配目的地址的流量，流量大于带宽通道上行最大带宽，观察流量。【check1】
4、在下行方向匹配会话的流量（五元组与上行流量相同，源目的和端口互换）的流量，流量大于带宽通道下行方法的最大带宽，观察流量。【check2】
5、在上行发送仅目的地址不同其他字段均相同的流量，下行同时发送匹配该会话的流量，双向流量大小大于通道最大带宽，观察流量。【check3】</t>
  </si>
  <si>
    <t>1、在网元上选取任意两个接口配置二层转发或者路由转发
2、在这两个接口上配置IPv6带宽策略，带宽策略匹配目的地址组，其他匹配内容全部为any，引用Qos通道的上下行限制最大带宽。
3、在上行发送匹配目的地址组的流量，流量大于带宽通道上行最大带宽，观察流量。【check1】
4、在下行方向匹配会话的流量（五元组与上行流量相同，源目的和端口互换）的流量，流量大于带宽通道下行方法的最大带宽，观察流量。【check2】
5、在上行发送仅目的地址组不同其他字段均相同的流量，下行同时发送匹配该会话的流量，双向流量大小大于通道最大带宽，观察流量。【check3】</t>
  </si>
  <si>
    <t>1、在网元上选取任意两个接口配置二层转发或者路由转发
2、在这两个接口上配置IPv6带宽策略，带宽策略匹配服务，其他匹配内容全部为any，引用Qos通道的上下行限制最大带宽。
3、在上行发送匹配服务的流量，流量大于带宽通道上行最大带宽，观察流量。【check1】
4、在下行方向匹配会话的流量（五元组与上行流量相同，源目的和端口互换）的流量，流量大于带宽通道下行方法的最大带宽，观察流量。【check2】
5、在上行发送仅服务不同其他字段均相同的流量，下行同时发送匹配该会话的流量，双向流量大小大于通道最大带宽，观察流量。【check3】</t>
  </si>
  <si>
    <t>1、在网元上选取任意两个接口配置二层转发或者路由转发
2、在这两个接口上配置IPv6带宽策略，带宽策略匹配服务组，其他匹配内容全部为any，引用Qos通道的上下行限制最大带宽。
3、在上行发送匹配服务组的流量，流量大于带宽通道上行最大带宽，观察流量。【check1】
4、在下行方向匹配会话的流量（五元组与上行流量相同，源目的和端口互换）的流量，流量大于带宽通道下行方法的最大带宽，观察流量。【check2】
5、在上行发送仅服务组不同其他字段均相同的流量，下行同时发送匹配该会话的流量，双向流量大小大于通道最大带宽，观察流量。【check3】</t>
  </si>
  <si>
    <t>1、在网元上选取任意两个接口配置二层转发或者路由转发
2、在这两个接口上配置IPv6带宽策略，带宽策略匹配用户，其他匹配内容全部为any，引用Qos通道的上下行限制最大带宽。
3、在上行发送匹配用户的流量，流量大于带宽通道上行最大带宽，观察流量。【check1】
4、在下行方向匹配会话的流量（五元组与上行流量相同，源目的和端口互换）的流量，流量大于带宽通道下行方法的最大带宽，观察流量。【check2】
5、在上行发送仅用户不同其他字段均相同的流量，下行同时发送匹配该会话的流量，双向流量大小大于通道最大带宽，观察流量。【check3】</t>
  </si>
  <si>
    <t>1、在网元上选取任意两个接口配置二层转发或者路由转发
2、在这两个接口上配置IPv6带宽策略，带宽策略匹配应用，其他匹配内容全部为any，引用Qos通道的上下行限制最大带宽。
3、在上行发送匹配应用的流量，流量大于带宽通道上行最大带宽，观察流量。【check1】
4、在下行方向匹配会话的流量（五元组与上行流量相同，源目的和端口互换）的流量，流量大于带宽通道下行方法的最大带宽，观察流量。【check2】
5、在上行发送仅应用不同其他字段均相同的流量，下行同时发送匹配该会话的流量，双向流量大小大于通道最大带宽，观察流量。【check3】</t>
  </si>
  <si>
    <t>1、在网元上选取任意两个接口配置二层转发或者路由转发
2、在这两个接口上配置IPv6带宽策略，带宽策略匹配时间对象，其他匹配内容全部为any，引用Qos通道的上下行限制最大带宽。
3、在上行发送匹配时间对象的流量，流量大于带宽通道上行最大带宽，观察流量。【check1】
4、在下行方向匹配会话的流量（五元组与上行流量相同，源目的和端口互换）的流量，流量大于带宽通道下行方法的最大带宽，观察流量。【check2】
5、在上行发送仅时间对象不同其他字段均相同的流量，下行同时发送匹配该会话的流量，双向流量大小大于通道最大带宽，观察流量。【check3】</t>
  </si>
  <si>
    <t>是</t>
    <phoneticPr fontId="1" type="noConversion"/>
  </si>
  <si>
    <t>是</t>
    <phoneticPr fontId="1" type="noConversion"/>
  </si>
  <si>
    <t>1、使用/api/v1/qosintf接口修改接口带宽时，配置ID为1，其他参数为任意有效值,查询接口带宽配置【check1】
2、使用/api/v1/qosintf接口修改接口带宽时，配置ID为存在的任意ID，其他参数为任意有效值,查询接口带宽配置【check2】
3、修改接口带宽时，配置ID为空，其他参数为任意有效值,查询接口带宽配置【check2】
4、修改接口带宽时，配置ID为0，其他参数为任意有效值,查询接口带宽配置【check2】
5、修改接口带宽时，配置ID为不存在的ID，其他参数为任意有效值,查询接口带宽配置【check2】
6、修改接口带宽时，配置ID为其他任意非法字符串，其他参数为任意有效值,查询接口带宽配置【check2】</t>
    <phoneticPr fontId="1" type="noConversion"/>
  </si>
  <si>
    <t>【check1】配置成功，使用restful查询接口带宽配置与下发的配置相同。使用etcd查询接口带宽配置，查询的值与配置的值相同
【check2】配置失败，网元无异常。使用rest接口和etcd查询接口带宽配置与配置前相同</t>
    <phoneticPr fontId="1" type="noConversion"/>
  </si>
  <si>
    <t>1、使用/api/v1/qosintf接口添加接口带宽时，配置空闲阈值为10，其他参数为任意有效值,查询接口带宽配置【check1】
2、使用/api/v1/qosintf接口添加接口带宽时，配置空闲阈值为80，其他参数为任意有效值,查询接口带宽配置【check1】
3、使用/api/v1/qosintf接口添加接口带宽时，配置空闲阈值为10-80间任意10的整数倍，其他参数为任意有效值,查询接口带宽配置【check1】
4、添加接口带宽时，配置空闲阈值为0，其他参数为任意有效值,查询接口带宽配置【check2】
5、添加接口带宽时，配置空闲阈值为90，其他参数为任意有效值,查询接口带宽配置【check2】
6、添加接口带宽时，配置空闲阈值为空闲阈值大于繁忙阈值，其他参数为任意有效值,查询接口带宽配置【check2】
7、添加接口带宽时，配置空闲阈值为空闲阈值等于于繁忙阈值，其他参数为任意有效值,查询接口带宽配置【check2】
8、添加接口带宽时，配置空闲阈值为10-80间任意非10的整数倍，其他参数为任意有效值,查询接口带宽配置【check2】
9、添加接口带宽时，配置空闲阈值为空，其他参数为任意有效值,查询接口带宽配置【check2】
10、添加接口带宽时，配置空闲阈值为非数字，其他参数为任意有效值,查询接口带宽配置【check2】</t>
    <phoneticPr fontId="1" type="noConversion"/>
  </si>
  <si>
    <t>验证IPv6带宽策略单策略匹配源地址功能</t>
    <phoneticPr fontId="1" type="noConversion"/>
  </si>
  <si>
    <t>1、使用/api/v1/qoschannel接口添加Qos通道时，配置上行保障带宽为0，其他参数为任意有效值,查询通道配置【check2】
2、使用/api/v1/qoschannel接口添加Qos通道时，配置上行保障带宽为60，其他参数为任意有效值,查询通道配置【check1】
3、使用/api/v1/qoschannel接口添加Qos通道时，配置上行保障带宽为200000000，其他参数为任意有效值,查询通道配置【check1】
4、使用/api/v1/qoschannel接口添加Qos通道时，配置上行保障带宽为60-200000000间任意值，其他参数为任意有效值,查询通道配置【check1】
5、使用/api/v1/qoschannel接口添加Qos通道时，配置上行保障带宽为保障带宽等于最大带宽，其他参数为任意有效值,查询通道配置【check1】
6、添加Qos通道时，配置上行保障带宽为1，其他参数为任意有效值,查询通道配置【check2】
7、添加Qos通道时，配置上行保障带宽为-1，其他参数为任意有效值,查询通道配置【check2】
8、添加Qos通道时，配置上行保障带宽为59，其他参数为任意有效值,查询通道配置【check2】
9、添加Qos通道时，配置上行保障带宽为200000000，其他参数为任意有效值,查询通道配置【check2】
10、添加Qos通道时，配置上行保障带宽为上行保障带宽大于上行最大带宽，其他参数为任意有效值,查询通道配置【check2】
11、添加Qos通道时，配置上行保障带宽为非数字，其他参数为任意有效值,查询通道配置【check2】
12、添加Qos通道时，配置上行保障带宽为空，其他参数为任意有效值,查询通道配置【check2】</t>
    <phoneticPr fontId="1" type="noConversion"/>
  </si>
  <si>
    <t>1、使用/api/v1/qoschannel接口修改Qos通道时，配置上行保障带宽为0，其他参数为任意有效值,查询通道配置【check2】
2、使用/api/v1/qoschannel接口修改Qos通道时，配置上行保障带宽为60，其他参数为任意有效值,查询通道配置【check1】
3、使用/api/v1/qoschannel接口修改Qos通道时，配置上行保障带宽为200000000，其他参数为任意有效值,查询通道配置【check1】
4、使用/api/v1/qoschannel接口修改Qos通道时，配置上行保障带宽为60-200000000间任意值，其他参数为任意有效值,查询通道配置【check1】
5、使用/api/v1/qoschannel接口修改Qos通道时，配置上行保障带宽为保障带宽等于最大带宽，其他参数为任意有效值,查询通道配置【check1】
6、修改Qos通道时，配置上行保障带宽为1，其他参数为任意有效值,查询通道配置【check2】
7、修改Qos通道时，配置上行保障带宽为-1，其他参数为任意有效值,查询通道配置【check2】
8、修改Qos通道时，配置上行保障带宽为59，其他参数为任意有效值,查询通道配置【check2】
9、修改Qos通道时，配置上行保障带宽为200000000，其他参数为任意有效值,查询通道配置【check2】
10、修改Qos通道时，配置上行保障带宽为上行保障带宽大于上行最大带宽，其他参数为任意有效值,查询通道配置【check2】
11、修改Qos通道时，配置上行保障带宽为非数字，其他参数为任意有效值,查询通道配置【check2】
12、修改Qos通道时，配置上行保障带宽为空，其他参数为任意有效值,查询通道配置【check2】</t>
    <phoneticPr fontId="1" type="noConversion"/>
  </si>
  <si>
    <t>验证修改QOS通道时上行保障带宽有效值和无效值测试</t>
    <phoneticPr fontId="1" type="noConversion"/>
  </si>
  <si>
    <t>1、使用/api/v1/qoschannel接口修改Qos通道时，配置下行保障带宽为0，其他参数为任意有效值,查询通道配置【check2】
2、使用/api/v1/qoschannel接口修改Qos通道时，配置下行保障带宽为60，其他参数为任意有效值,查询通道配置【check1】
3、使用/api/v1/qoschannel接口修改Qos通道时，配置下行保障带宽为200000000，其他参数为任意有效值,查询通道配置【check1】
4、使用/api/v1/qoschannel接口修改Qos通道时，配置下行保障带宽为60-200000000间任意值，其他参数为任意有效值,查询通道配置【check1】
5、使用/api/v1/qoschannel接口修改Qos通道时，配置下行保障带宽为保障带宽等于最大带宽，其他参数为任意有效值,查询通道配置【check1】
6、修改Qos通道时，配置下行保障带宽为1，其他参数为任意有效值,查询通道配置【check2】
7、修改Qos通道时，配置下行保障带宽为-1，其他参数为任意有效值,查询通道配置【check2】
8、修改Qos通道时，配置下行保障带宽为59，其他参数为任意有效值,查询通道配置【check2】
9、修改Qos通道时，配置下行保障带宽为200000000，其他参数为任意有效值,查询通道配置【check2】
10、修改Qos通道时，配置下行保障带宽为下行保障带宽大于下行最大带宽，其他参数为任意有效值,查询通道配置【check2】
11、修改Qos通道时，配置下行保障带宽为非数字，其他参数为任意有效值,查询通道配置【check2】
12、修改Qos通道时，配置下行保障带宽为空，其他参数为任意有效值,查询通道配置【check2】</t>
    <phoneticPr fontId="1" type="noConversion"/>
  </si>
  <si>
    <t>1、使用/api/v1/qoschannel接口添加Qos通道时，配置下行保障带宽为0，其他参数为任意有效值,查询通道配置【check2】
2、使用/api/v1/qoschannel接口添加Qos通道时，配置下行保障带宽为60，其他参数为任意有效值,查询通道配置【check1】
3、使用/api/v1/qoschannel接口添加Qos通道时，配置下行保障带宽为200000000，其他参数为任意有效值,查询通道配置【check1】
4、使用/api/v1/qoschannel接口添加Qos通道时，配置下行保障带宽为60-200000000间任意值，其他参数为任意有效值,查询通道配置【check1】
5、使用/api/v1/qoschannel接口添加Qos通道时，配置下行保障带宽为保障带宽等于最大带宽，其他参数为任意有效值,查询通道配置【check1】
6、添加Qos通道时，配置下行保障带宽为1，其他参数为任意有效值,查询通道配置【check2】
7、添加Qos通道时，配置下行保障带宽为-1，其他参数为任意有效值,查询通道配置【check2】
8、添加Qos通道时，配置下行保障带宽为59，其他参数为任意有效值,查询通道配置【check2】
9、添加Qos通道时，配置下行保障带宽为200000001，其他参数为任意有效值,查询通道配置【check2】
10、添加Qos通道时，配置下行保障带宽为下行保障带宽大于下行最大带宽，其他参数为任意有效值,查询通道配置【check2】
11、添加Qos通道时，配置下行保障带宽为非数字，其他参数为任意有效值,查询通道配置【check2】
12、添加Qos通道时，配置下行保障带宽为空，其他参数为任意有效值,查询通道配置【check2】</t>
    <phoneticPr fontId="1" type="noConversion"/>
  </si>
  <si>
    <t>P1</t>
  </si>
  <si>
    <t>P1</t>
    <phoneticPr fontId="1" type="noConversion"/>
  </si>
  <si>
    <t>P2</t>
  </si>
  <si>
    <t>P2</t>
    <phoneticPr fontId="1" type="noConversion"/>
  </si>
  <si>
    <t>P3</t>
  </si>
  <si>
    <t>P3</t>
    <phoneticPr fontId="1" type="noConversion"/>
  </si>
  <si>
    <t>P4</t>
  </si>
  <si>
    <t>P4</t>
    <phoneticPr fontId="1" type="noConversion"/>
  </si>
  <si>
    <t>P2</t>
    <phoneticPr fontId="1" type="noConversion"/>
  </si>
  <si>
    <t>特殊要求</t>
  </si>
  <si>
    <t>接口用例</t>
    <phoneticPr fontId="1" type="noConversion"/>
  </si>
  <si>
    <t>冒烟/预测试用例</t>
  </si>
  <si>
    <t>接收/回归/必测用例</t>
  </si>
  <si>
    <t>全量测试用例（测试验证，全量验证）</t>
  </si>
  <si>
    <t>描述</t>
    <phoneticPr fontId="1" type="noConversion"/>
  </si>
  <si>
    <t>应用场景</t>
    <phoneticPr fontId="1" type="noConversion"/>
  </si>
  <si>
    <t>主要作用</t>
    <phoneticPr fontId="1" type="noConversion"/>
  </si>
  <si>
    <t>选取原则</t>
    <phoneticPr fontId="1" type="noConversion"/>
  </si>
  <si>
    <t>【应用场景】API接口级测试</t>
    <phoneticPr fontId="1" type="noConversion"/>
  </si>
  <si>
    <t>【主要作用】验证设备所有功能配置接口可以正常下发，为所有测试活动开展的基础</t>
    <phoneticPr fontId="1" type="noConversion"/>
  </si>
  <si>
    <t>【选取原则】所有API接口测试的用例，不需要组网和仪表即可完成的测试用例</t>
    <phoneticPr fontId="1" type="noConversion"/>
  </si>
  <si>
    <t>【特殊要求】该层级的用例要求100%实现自动化</t>
    <phoneticPr fontId="1" type="noConversion"/>
  </si>
  <si>
    <t>【应用场景】开发转测前自验证</t>
    <phoneticPr fontId="1" type="noConversion"/>
  </si>
  <si>
    <t>【主要作用】保证代码修改合入不会影响特性基本功能，主要是保障转发测试的入口质量要求</t>
    <phoneticPr fontId="1" type="noConversion"/>
  </si>
  <si>
    <t>【选取原则】保证特性中最核心功能，测试通过后不会出现三分之一的用例阻塞</t>
    <phoneticPr fontId="1" type="noConversion"/>
  </si>
  <si>
    <t>【特殊要求】至少占特性功能用例的5%左右，对于老版本特性需要100%实现自动化</t>
    <phoneticPr fontId="1" type="noConversion"/>
  </si>
  <si>
    <t>【应用场景】用于版本转发测试评估（接收用例集），用于版本发布必须测试的用例（回归用例集/必测用例集）</t>
    <phoneticPr fontId="1" type="noConversion"/>
  </si>
  <si>
    <t>【主要作用】用于版本转发测试评估是否存在阻塞的特性或功能，用于发布版本验证保证发布版本不存在客户必用的功能存在问题和性能不达标等</t>
    <phoneticPr fontId="1" type="noConversion"/>
  </si>
  <si>
    <t>【选取原则】特性中最基本功能、客户必然会使用的功能以及客户可以接受的最低性能要求</t>
    <phoneticPr fontId="1" type="noConversion"/>
  </si>
  <si>
    <t>【应用场景】用于覆盖客户可能存在的使用场景和功能，以及验证产品满足设计规格以及相关的DFX要求</t>
    <phoneticPr fontId="1" type="noConversion"/>
  </si>
  <si>
    <t>【主要作用】验证保障版本发布后能够满足客户的使用，并满足相关的DFX需求</t>
    <phoneticPr fontId="1" type="noConversion"/>
  </si>
  <si>
    <t>【选取原则】全量用例集，包括可靠性、耦合、升级等测试用例</t>
    <phoneticPr fontId="1" type="noConversion"/>
  </si>
  <si>
    <t>【特殊要求】验证周期小于2天，占比所有非接口用例xx%以上，对于老版本用例自动化率高于xx%</t>
    <phoneticPr fontId="1" type="noConversion"/>
  </si>
  <si>
    <t>【特殊要求】在非特性配置用例中占比低于xx%</t>
    <phoneticPr fontId="1" type="noConversion"/>
  </si>
  <si>
    <t>接口测试</t>
  </si>
  <si>
    <t>接口测试</t>
    <phoneticPr fontId="1" type="noConversion"/>
  </si>
  <si>
    <t>性能测试</t>
    <phoneticPr fontId="1" type="noConversion"/>
  </si>
  <si>
    <t>耦合测试</t>
    <phoneticPr fontId="1" type="noConversion"/>
  </si>
  <si>
    <t>安装部署</t>
  </si>
  <si>
    <t>安装部署</t>
    <phoneticPr fontId="1" type="noConversion"/>
  </si>
  <si>
    <t>配置相关</t>
    <phoneticPr fontId="1" type="noConversion"/>
  </si>
  <si>
    <t>安全相关</t>
    <phoneticPr fontId="1" type="noConversion"/>
  </si>
  <si>
    <t>接口测试:API测试对应P0
功能测试:
可靠性测试:报错容错、容限、疲劳、配置恢复等测试
性能测试:
耦合测试:
安装部署:升级测试,安装测试
配置相关:UI
安全相关:设备安全性</t>
    <phoneticPr fontId="1" type="noConversion"/>
  </si>
  <si>
    <t>验证IPv4带宽策略单策略匹配用户功能</t>
    <phoneticPr fontId="1" type="noConversion"/>
  </si>
  <si>
    <t>验证IPv4带宽策略单策略匹配应用功能</t>
    <phoneticPr fontId="1" type="noConversion"/>
  </si>
  <si>
    <t>Qos.ipv4.match.1p1c.optional.6</t>
    <phoneticPr fontId="1" type="noConversion"/>
  </si>
  <si>
    <t>Qos.ipv4.match.1p1c.optional.7</t>
    <phoneticPr fontId="1" type="noConversion"/>
  </si>
  <si>
    <t>1、在网元上选取任意两个接口配置二层转发或者路由转发
2、在这两个接口上配置IPv4带宽策略，带宽策略匹配用户，其他匹配内容全部为any，引用Qos通道的上下行限制最大带宽。
3、在上行发送匹配用户的流量，流量大于带宽通道上行最大带宽，观察流量。【check1】
4、在下行方向匹配会话的流量（五元组与上行流量相同，源目的和端口互换）的流量，流量大于带宽通道下行方法的最大带宽，观察流量。【check2】
5、在上行发送仅用户不同其他字段均相同的流量，下行同时发送匹配该会话的流量，双向流量大小大于通道最大带宽，观察流量。【check3】</t>
    <phoneticPr fontId="1" type="noConversion"/>
  </si>
  <si>
    <t>1、在网元上选取任意两个接口配置二层转发或者路由转发
2、在这两个接口上配置IPv4带宽策略，带宽策略匹配应用，其他匹配内容全部为any，引用Qos通道的上下行限制最大带宽。
3、在上行发送匹配应用的流量，流量大于带宽通道上行最大带宽，观察流量。【check1】
4、在下行方向匹配会话的流量（五元组与上行流量相同，源目的和端口互换）的流量，流量大于带宽通道下行方法的最大带宽，观察流量。【check2】
5、在上行发送仅应用不同其他字段均相同的流量，下行同时发送匹配该会话的流量，双向流量大小大于通道最大带宽，观察流量。【check3】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</si>
</sst>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宋体"/>
      <family val="2"/>
      <charset val="134"/>
      <scheme val="minor"/>
    </font>
    <font>
      <sz val="9"/>
      <name val="宋体"/>
      <family val="2"/>
      <charset val="134"/>
      <scheme val="minor"/>
    </font>
    <font>
      <b/>
      <sz val="34"/>
      <color theme="1"/>
      <name val="华文细黑"/>
      <family val="3"/>
      <charset val="134"/>
    </font>
    <font>
      <b/>
      <sz val="14"/>
      <color theme="1"/>
      <name val="华文细黑"/>
      <family val="3"/>
      <charset val="134"/>
    </font>
    <font>
      <sz val="14"/>
      <color theme="1"/>
      <name val="宋体"/>
      <family val="3"/>
      <charset val="134"/>
      <scheme val="minor"/>
    </font>
    <font>
      <b/>
      <sz val="14"/>
      <color theme="1"/>
      <name val="宋体"/>
      <family val="3"/>
      <charset val="134"/>
      <scheme val="minor"/>
    </font>
    <font>
      <b/>
      <sz val="16"/>
      <color theme="1"/>
      <name val="华文细黑"/>
      <family val="3"/>
      <charset val="134"/>
    </font>
    <font>
      <sz val="11"/>
      <color theme="1"/>
      <name val="华文细黑"/>
      <family val="3"/>
      <charset val="134"/>
    </font>
    <font>
      <sz val="11"/>
      <name val="宋体"/>
      <family val="3"/>
      <charset val="134"/>
      <scheme val="minor"/>
    </font>
    <font>
      <b/>
      <sz val="11"/>
      <color theme="1"/>
      <name val="宋体"/>
      <family val="3"/>
      <charset val="134"/>
      <scheme val="minor"/>
    </font>
    <font>
      <b/>
      <sz val="11"/>
      <name val="宋体"/>
      <family val="3"/>
      <charset val="134"/>
      <scheme val="minor"/>
    </font>
    <font>
      <sz val="11"/>
      <color theme="1"/>
      <name val="宋体"/>
      <family val="2"/>
      <charset val="134"/>
      <scheme val="minor"/>
    </font>
    <font>
      <b/>
      <sz val="11"/>
      <color rgb="FFFF0000"/>
      <name val="宋体"/>
      <family val="3"/>
      <charset val="134"/>
      <scheme val="minor"/>
    </font>
    <font>
      <strike/>
      <sz val="11"/>
      <color theme="1"/>
      <name val="宋体"/>
      <family val="2"/>
      <charset val="134"/>
      <scheme val="minor"/>
    </font>
    <font>
      <strike/>
      <sz val="11"/>
      <color theme="1"/>
      <name val="宋体"/>
      <family val="3"/>
      <charset val="134"/>
      <scheme val="minor"/>
    </font>
    <font>
      <strike/>
      <sz val="11"/>
      <name val="宋体"/>
      <family val="3"/>
      <charset val="134"/>
      <scheme val="minor"/>
    </font>
    <font>
      <strike/>
      <sz val="11"/>
      <color rgb="FFFF0000"/>
      <name val="宋体"/>
      <family val="3"/>
      <charset val="134"/>
      <scheme val="minor"/>
    </font>
    <font>
      <sz val="11"/>
      <color theme="1"/>
      <name val="宋体"/>
      <family val="3"/>
      <charset val="134"/>
      <scheme val="minor"/>
    </font>
    <font>
      <sz val="14"/>
      <color indexed="81"/>
      <name val="宋体"/>
      <family val="3"/>
      <charset val="134"/>
    </font>
    <font>
      <b/>
      <sz val="14"/>
      <color indexed="81"/>
      <name val="宋体"/>
      <family val="3"/>
      <charset val="134"/>
    </font>
    <font>
      <sz val="11"/>
      <color rgb="FFFF0000"/>
      <name val="宋体"/>
      <family val="2"/>
      <charset val="134"/>
      <scheme val="minor"/>
    </font>
    <font>
      <sz val="11"/>
      <color rgb="FFFF0000"/>
      <name val="宋体"/>
      <family val="3"/>
      <charset val="134"/>
      <scheme val="minor"/>
    </font>
  </fonts>
  <fills count="11">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bgColor indexed="64"/>
      </patternFill>
    </fill>
    <fill>
      <patternFill patternType="solid">
        <fgColor theme="0" tint="-0.249977111117893"/>
        <bgColor indexed="64"/>
      </patternFill>
    </fill>
    <fill>
      <patternFill patternType="solid">
        <fgColor theme="9" tint="0.39994506668294322"/>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style="thin">
        <color auto="1"/>
      </bottom>
      <diagonal/>
    </border>
    <border>
      <left/>
      <right style="thin">
        <color indexed="64"/>
      </right>
      <top style="thin">
        <color indexed="64"/>
      </top>
      <bottom style="thin">
        <color auto="1"/>
      </bottom>
      <diagonal/>
    </border>
    <border>
      <left/>
      <right/>
      <top style="thin">
        <color indexed="64"/>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s>
  <cellStyleXfs count="2">
    <xf numFmtId="0" fontId="0" fillId="0" borderId="0">
      <alignment vertical="center"/>
    </xf>
    <xf numFmtId="9" fontId="11" fillId="0" borderId="0">
      <alignment vertical="center"/>
    </xf>
  </cellStyleXfs>
  <cellXfs count="181">
    <xf numFmtId="0" fontId="0" fillId="0" borderId="0" xfId="0" applyAlignment="1">
      <alignment vertical="center"/>
    </xf>
    <xf numFmtId="0" fontId="0" fillId="2" borderId="2" xfId="0" applyFill="1" applyBorder="1" applyAlignment="1">
      <alignment vertical="center"/>
    </xf>
    <xf numFmtId="0" fontId="0" fillId="2" borderId="3"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2" borderId="6" xfId="0" applyFill="1" applyBorder="1" applyAlignment="1">
      <alignment vertical="center"/>
    </xf>
    <xf numFmtId="0" fontId="3" fillId="2" borderId="0" xfId="0" applyFont="1" applyFill="1" applyAlignment="1">
      <alignment horizontal="center" vertical="center"/>
    </xf>
    <xf numFmtId="0" fontId="4" fillId="2" borderId="7" xfId="0" applyFont="1" applyFill="1" applyBorder="1" applyAlignment="1">
      <alignment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4" fillId="2" borderId="0" xfId="0" applyFont="1" applyFill="1" applyAlignment="1">
      <alignment vertical="center"/>
    </xf>
    <xf numFmtId="14" fontId="7" fillId="2" borderId="1" xfId="0" applyNumberFormat="1" applyFont="1" applyFill="1" applyBorder="1" applyAlignment="1">
      <alignment horizontal="center" vertical="center"/>
    </xf>
    <xf numFmtId="0" fontId="0" fillId="2" borderId="10" xfId="0" applyFill="1" applyBorder="1" applyAlignment="1">
      <alignment vertical="center"/>
    </xf>
    <xf numFmtId="0" fontId="0" fillId="2" borderId="11" xfId="0" applyFill="1" applyBorder="1" applyAlignment="1">
      <alignment vertical="center"/>
    </xf>
    <xf numFmtId="0" fontId="0" fillId="2" borderId="12" xfId="0" applyFill="1" applyBorder="1" applyAlignment="1">
      <alignment vertical="center"/>
    </xf>
    <xf numFmtId="0" fontId="0" fillId="0" borderId="1" xfId="0" applyBorder="1" applyAlignment="1">
      <alignment vertical="center"/>
    </xf>
    <xf numFmtId="0" fontId="8" fillId="0" borderId="0" xfId="0" applyFont="1" applyAlignment="1">
      <alignment vertical="center"/>
    </xf>
    <xf numFmtId="0" fontId="9" fillId="3" borderId="1" xfId="0" applyFont="1" applyFill="1" applyBorder="1" applyAlignment="1">
      <alignment horizontal="center" vertical="center"/>
    </xf>
    <xf numFmtId="0" fontId="9" fillId="7" borderId="1" xfId="0" applyFont="1" applyFill="1" applyBorder="1" applyAlignment="1">
      <alignment vertical="center"/>
    </xf>
    <xf numFmtId="9" fontId="0" fillId="0" borderId="0" xfId="0" applyNumberFormat="1" applyAlignment="1">
      <alignment horizontal="center" vertical="center"/>
    </xf>
    <xf numFmtId="0" fontId="9" fillId="6" borderId="1" xfId="0" applyFont="1" applyFill="1" applyBorder="1" applyAlignment="1">
      <alignment vertical="center"/>
    </xf>
    <xf numFmtId="0" fontId="0" fillId="6" borderId="1" xfId="0" applyFill="1" applyBorder="1" applyAlignment="1">
      <alignment horizontal="center" vertical="center"/>
    </xf>
    <xf numFmtId="9" fontId="0" fillId="5" borderId="1" xfId="0" applyNumberFormat="1" applyFill="1" applyBorder="1" applyAlignment="1">
      <alignment horizontal="center" vertical="center"/>
    </xf>
    <xf numFmtId="10" fontId="0" fillId="5" borderId="1" xfId="0" applyNumberFormat="1" applyFill="1" applyBorder="1" applyAlignment="1">
      <alignment horizontal="center" vertical="center"/>
    </xf>
    <xf numFmtId="9" fontId="0" fillId="0" borderId="1" xfId="0" applyNumberFormat="1" applyBorder="1" applyAlignment="1">
      <alignment horizontal="center" vertical="center"/>
    </xf>
    <xf numFmtId="0" fontId="0" fillId="8" borderId="1" xfId="0" applyFill="1" applyBorder="1" applyAlignment="1">
      <alignment horizontal="left" vertical="center"/>
    </xf>
    <xf numFmtId="9" fontId="0" fillId="8" borderId="1" xfId="1" applyFont="1" applyFill="1" applyBorder="1" applyAlignment="1">
      <alignment horizontal="left" vertical="center"/>
    </xf>
    <xf numFmtId="0" fontId="0" fillId="0" borderId="0" xfId="0" applyAlignment="1">
      <alignment horizontal="center" vertical="center"/>
    </xf>
    <xf numFmtId="0" fontId="9" fillId="7" borderId="0" xfId="0" applyFont="1" applyFill="1" applyAlignment="1">
      <alignment vertical="center"/>
    </xf>
    <xf numFmtId="0" fontId="0" fillId="0" borderId="0" xfId="0" applyAlignment="1">
      <alignment horizontal="center" vertical="center" wrapText="1"/>
    </xf>
    <xf numFmtId="0" fontId="0" fillId="0" borderId="0" xfId="0" applyAlignment="1"/>
    <xf numFmtId="49" fontId="0" fillId="0" borderId="0" xfId="0" applyNumberFormat="1" applyAlignment="1"/>
    <xf numFmtId="0" fontId="0" fillId="0" borderId="0" xfId="0" applyAlignment="1">
      <alignment wrapText="1"/>
    </xf>
    <xf numFmtId="0" fontId="8" fillId="5" borderId="20" xfId="0" applyFont="1" applyFill="1" applyBorder="1" applyAlignment="1">
      <alignment vertical="center"/>
    </xf>
    <xf numFmtId="0" fontId="10" fillId="5" borderId="20" xfId="0" applyFont="1" applyFill="1" applyBorder="1" applyAlignment="1">
      <alignment vertical="center" wrapText="1"/>
    </xf>
    <xf numFmtId="0" fontId="8" fillId="0" borderId="20" xfId="0" applyFont="1" applyBorder="1" applyAlignment="1">
      <alignment vertical="center"/>
    </xf>
    <xf numFmtId="0" fontId="0" fillId="0" borderId="20" xfId="0" applyBorder="1" applyAlignment="1">
      <alignment vertical="center" wrapText="1"/>
    </xf>
    <xf numFmtId="0" fontId="8" fillId="4" borderId="20" xfId="0" applyFont="1" applyFill="1" applyBorder="1" applyAlignment="1">
      <alignment vertical="center" wrapText="1"/>
    </xf>
    <xf numFmtId="0" fontId="14" fillId="0" borderId="20" xfId="0" applyFont="1" applyBorder="1" applyAlignment="1">
      <alignment horizontal="center" vertical="center"/>
    </xf>
    <xf numFmtId="0" fontId="10" fillId="5" borderId="20" xfId="0" applyFont="1" applyFill="1" applyBorder="1" applyAlignment="1">
      <alignment vertical="center"/>
    </xf>
    <xf numFmtId="0" fontId="12" fillId="0" borderId="20" xfId="0" applyFont="1" applyBorder="1" applyAlignment="1">
      <alignment vertical="center" wrapText="1"/>
    </xf>
    <xf numFmtId="0" fontId="8" fillId="0" borderId="20" xfId="0" quotePrefix="1" applyFont="1" applyBorder="1" applyAlignment="1">
      <alignment vertical="center" wrapText="1"/>
    </xf>
    <xf numFmtId="0" fontId="15" fillId="0" borderId="20" xfId="0" applyFont="1" applyBorder="1" applyAlignment="1">
      <alignment vertical="center" wrapText="1"/>
    </xf>
    <xf numFmtId="0" fontId="0" fillId="0" borderId="20" xfId="0" applyBorder="1" applyAlignment="1">
      <alignment vertical="center"/>
    </xf>
    <xf numFmtId="0" fontId="0" fillId="2" borderId="0" xfId="0" applyFill="1" applyAlignment="1">
      <alignment vertical="center"/>
    </xf>
    <xf numFmtId="0" fontId="7" fillId="2" borderId="1" xfId="0" applyFont="1" applyFill="1" applyBorder="1" applyAlignment="1">
      <alignment horizontal="center" vertical="center"/>
    </xf>
    <xf numFmtId="0" fontId="0" fillId="0" borderId="0" xfId="0" applyAlignment="1">
      <alignment vertical="center"/>
    </xf>
    <xf numFmtId="0" fontId="8" fillId="0" borderId="20" xfId="0" applyFont="1" applyBorder="1" applyAlignment="1">
      <alignment horizontal="center" vertical="center" wrapText="1"/>
    </xf>
    <xf numFmtId="0" fontId="10" fillId="5" borderId="20" xfId="0" applyFont="1" applyFill="1" applyBorder="1" applyAlignment="1">
      <alignment horizontal="left" vertical="center" wrapText="1"/>
    </xf>
    <xf numFmtId="0" fontId="9" fillId="6" borderId="20" xfId="0" applyFont="1" applyFill="1" applyBorder="1" applyAlignment="1">
      <alignment horizontal="center" vertical="center"/>
    </xf>
    <xf numFmtId="0" fontId="8" fillId="0" borderId="20" xfId="0" applyFont="1" applyBorder="1" applyAlignment="1">
      <alignment vertical="center" wrapText="1"/>
    </xf>
    <xf numFmtId="0" fontId="0" fillId="0" borderId="1" xfId="0" applyBorder="1" applyAlignment="1">
      <alignment horizontal="center" vertical="center"/>
    </xf>
    <xf numFmtId="0" fontId="9" fillId="6" borderId="1" xfId="0" applyFont="1" applyFill="1" applyBorder="1" applyAlignment="1">
      <alignment horizontal="center" vertical="center"/>
    </xf>
    <xf numFmtId="0" fontId="9" fillId="9" borderId="20" xfId="0" applyFont="1" applyFill="1" applyBorder="1" applyAlignment="1">
      <alignment horizontal="center" vertical="center"/>
    </xf>
    <xf numFmtId="0" fontId="9" fillId="3" borderId="24" xfId="0" applyFont="1" applyFill="1" applyBorder="1" applyAlignment="1">
      <alignment horizontal="center" vertical="center"/>
    </xf>
    <xf numFmtId="49" fontId="9" fillId="3" borderId="24" xfId="0" applyNumberFormat="1" applyFont="1" applyFill="1" applyBorder="1" applyAlignment="1">
      <alignment horizontal="center" vertical="center"/>
    </xf>
    <xf numFmtId="0" fontId="9" fillId="3" borderId="24" xfId="0" applyFont="1" applyFill="1" applyBorder="1" applyAlignment="1">
      <alignment horizontal="center" vertical="center" wrapText="1"/>
    </xf>
    <xf numFmtId="0" fontId="0" fillId="0" borderId="24" xfId="0" applyBorder="1" applyAlignment="1">
      <alignment vertical="center"/>
    </xf>
    <xf numFmtId="0" fontId="0" fillId="0" borderId="24" xfId="0" applyBorder="1" applyAlignment="1"/>
    <xf numFmtId="0" fontId="0" fillId="2" borderId="20" xfId="0" applyFill="1" applyBorder="1" applyAlignment="1">
      <alignment vertical="top"/>
    </xf>
    <xf numFmtId="0" fontId="0" fillId="0" borderId="0" xfId="0">
      <alignment vertical="center"/>
    </xf>
    <xf numFmtId="0" fontId="8" fillId="0" borderId="20" xfId="0" applyFont="1" applyBorder="1" applyAlignment="1">
      <alignment vertical="center" wrapText="1"/>
    </xf>
    <xf numFmtId="0" fontId="0" fillId="0" borderId="20" xfId="0" applyBorder="1" applyAlignment="1">
      <alignment horizontal="center" vertical="center"/>
    </xf>
    <xf numFmtId="0" fontId="0" fillId="0" borderId="20" xfId="0" applyBorder="1">
      <alignment vertical="center"/>
    </xf>
    <xf numFmtId="0" fontId="8" fillId="0" borderId="20" xfId="0" applyFont="1" applyBorder="1" applyAlignment="1">
      <alignment horizontal="center" vertical="center" wrapText="1"/>
    </xf>
    <xf numFmtId="0" fontId="10" fillId="5" borderId="20" xfId="0" applyFont="1" applyFill="1" applyBorder="1" applyAlignment="1">
      <alignment horizontal="left" vertical="center" wrapText="1"/>
    </xf>
    <xf numFmtId="0" fontId="8" fillId="0" borderId="20" xfId="0" applyFont="1" applyBorder="1" applyAlignment="1">
      <alignment horizontal="left" vertical="center"/>
    </xf>
    <xf numFmtId="0" fontId="9" fillId="6" borderId="20" xfId="0" applyFont="1" applyFill="1" applyBorder="1" applyAlignment="1">
      <alignment horizontal="center" vertical="center"/>
    </xf>
    <xf numFmtId="0" fontId="0" fillId="0" borderId="20" xfId="0" applyBorder="1" applyAlignment="1">
      <alignment horizontal="center" vertical="center"/>
    </xf>
    <xf numFmtId="0" fontId="9" fillId="6" borderId="1" xfId="0" applyFont="1" applyFill="1" applyBorder="1" applyAlignment="1">
      <alignment horizontal="center" vertical="center"/>
    </xf>
    <xf numFmtId="0" fontId="13" fillId="0" borderId="20" xfId="0" applyFont="1" applyBorder="1">
      <alignment vertical="center"/>
    </xf>
    <xf numFmtId="0" fontId="14" fillId="0" borderId="20" xfId="0" applyFont="1" applyBorder="1">
      <alignment vertical="center"/>
    </xf>
    <xf numFmtId="49" fontId="8" fillId="0" borderId="20" xfId="0" applyNumberFormat="1" applyFont="1" applyBorder="1" applyAlignment="1">
      <alignment vertical="center" wrapText="1"/>
    </xf>
    <xf numFmtId="49" fontId="8" fillId="5" borderId="20" xfId="0" applyNumberFormat="1" applyFont="1" applyFill="1" applyBorder="1" applyAlignment="1">
      <alignment vertical="center"/>
    </xf>
    <xf numFmtId="49" fontId="8" fillId="4" borderId="20" xfId="0" applyNumberFormat="1" applyFont="1" applyFill="1" applyBorder="1" applyAlignment="1">
      <alignment vertical="center" wrapText="1"/>
    </xf>
    <xf numFmtId="49" fontId="8" fillId="0" borderId="20" xfId="0" quotePrefix="1" applyNumberFormat="1" applyFont="1" applyBorder="1" applyAlignment="1">
      <alignment vertical="center" wrapText="1"/>
    </xf>
    <xf numFmtId="0" fontId="0" fillId="0" borderId="20" xfId="0" applyFont="1" applyBorder="1">
      <alignment vertical="center"/>
    </xf>
    <xf numFmtId="0" fontId="17" fillId="0" borderId="20" xfId="0" applyFont="1" applyBorder="1">
      <alignment vertical="center"/>
    </xf>
    <xf numFmtId="0" fontId="17" fillId="0" borderId="20" xfId="0" applyFont="1" applyBorder="1" applyAlignment="1">
      <alignment horizontal="center" vertical="center"/>
    </xf>
    <xf numFmtId="0" fontId="8" fillId="0" borderId="20" xfId="0" applyFont="1" applyBorder="1" applyAlignment="1">
      <alignment horizontal="center" vertical="center" wrapText="1"/>
    </xf>
    <xf numFmtId="0" fontId="10" fillId="5" borderId="20" xfId="0" applyFont="1" applyFill="1" applyBorder="1" applyAlignment="1">
      <alignment horizontal="left" vertical="center" wrapText="1"/>
    </xf>
    <xf numFmtId="0" fontId="8" fillId="0" borderId="20" xfId="0" applyFont="1" applyBorder="1" applyAlignment="1">
      <alignment horizontal="left" vertical="center"/>
    </xf>
    <xf numFmtId="0" fontId="0" fillId="0" borderId="20" xfId="0" applyBorder="1" applyAlignment="1">
      <alignment horizontal="center" vertical="center"/>
    </xf>
    <xf numFmtId="0" fontId="0" fillId="0" borderId="24" xfId="0" applyBorder="1" applyAlignment="1">
      <alignment wrapText="1"/>
    </xf>
    <xf numFmtId="0" fontId="8" fillId="0" borderId="20" xfId="0" applyFont="1" applyBorder="1" applyAlignment="1">
      <alignment horizontal="center" vertical="center" wrapText="1"/>
    </xf>
    <xf numFmtId="0" fontId="10" fillId="5" borderId="20" xfId="0" applyFont="1" applyFill="1" applyBorder="1" applyAlignment="1">
      <alignment horizontal="left" vertical="center" wrapText="1"/>
    </xf>
    <xf numFmtId="0" fontId="8" fillId="0" borderId="20" xfId="0" applyFont="1" applyBorder="1" applyAlignment="1">
      <alignment horizontal="left" vertical="center" wrapText="1"/>
    </xf>
    <xf numFmtId="0" fontId="9" fillId="6" borderId="20" xfId="0" applyFont="1" applyFill="1" applyBorder="1" applyAlignment="1">
      <alignment horizontal="center" vertical="center"/>
    </xf>
    <xf numFmtId="0" fontId="8" fillId="0" borderId="20" xfId="0" applyFont="1" applyBorder="1" applyAlignment="1">
      <alignment horizontal="left" vertical="center"/>
    </xf>
    <xf numFmtId="0" fontId="0" fillId="0" borderId="20" xfId="0" applyBorder="1" applyAlignment="1">
      <alignment horizontal="center" vertical="center"/>
    </xf>
    <xf numFmtId="0" fontId="8" fillId="0" borderId="20" xfId="0" applyFont="1" applyBorder="1" applyAlignment="1">
      <alignment horizontal="center" vertical="center" wrapText="1"/>
    </xf>
    <xf numFmtId="0" fontId="10" fillId="5" borderId="20" xfId="0" applyFont="1" applyFill="1" applyBorder="1" applyAlignment="1">
      <alignment horizontal="left" vertical="center" wrapText="1"/>
    </xf>
    <xf numFmtId="0" fontId="8" fillId="0" borderId="20" xfId="0" applyFont="1" applyBorder="1" applyAlignment="1">
      <alignment horizontal="left" vertical="center"/>
    </xf>
    <xf numFmtId="0" fontId="0" fillId="0" borderId="20" xfId="0" applyBorder="1" applyAlignment="1">
      <alignment horizontal="center" vertical="center"/>
    </xf>
    <xf numFmtId="49" fontId="8" fillId="2" borderId="20" xfId="0" applyNumberFormat="1" applyFont="1" applyFill="1" applyBorder="1" applyAlignment="1">
      <alignment vertical="center"/>
    </xf>
    <xf numFmtId="0" fontId="8" fillId="2" borderId="20" xfId="0" applyFont="1" applyFill="1" applyBorder="1" applyAlignment="1">
      <alignment vertical="center"/>
    </xf>
    <xf numFmtId="0" fontId="8" fillId="0" borderId="22" xfId="0" applyFont="1" applyBorder="1" applyAlignment="1">
      <alignment vertical="center" wrapText="1"/>
    </xf>
    <xf numFmtId="0" fontId="8" fillId="0" borderId="13" xfId="0" applyFont="1" applyBorder="1" applyAlignment="1">
      <alignment horizontal="center" vertical="center" wrapText="1"/>
    </xf>
    <xf numFmtId="0" fontId="8" fillId="0" borderId="13" xfId="0" applyFont="1" applyBorder="1" applyAlignment="1">
      <alignment horizontal="left" vertical="center" wrapText="1"/>
    </xf>
    <xf numFmtId="0" fontId="15" fillId="0" borderId="20" xfId="0" applyFont="1" applyBorder="1" applyAlignment="1">
      <alignment horizontal="center" vertical="center" wrapText="1"/>
    </xf>
    <xf numFmtId="49" fontId="15" fillId="0" borderId="20" xfId="0" applyNumberFormat="1" applyFont="1" applyBorder="1" applyAlignment="1">
      <alignment vertical="center" wrapText="1"/>
    </xf>
    <xf numFmtId="0" fontId="8" fillId="0" borderId="20" xfId="0" applyFont="1" applyBorder="1" applyAlignment="1">
      <alignment horizontal="center" vertical="center" wrapText="1"/>
    </xf>
    <xf numFmtId="0" fontId="10" fillId="5" borderId="20" xfId="0" applyFont="1" applyFill="1" applyBorder="1" applyAlignment="1">
      <alignment horizontal="left" vertical="center" wrapText="1"/>
    </xf>
    <xf numFmtId="0" fontId="8" fillId="0" borderId="20" xfId="0" applyFont="1" applyBorder="1" applyAlignment="1">
      <alignment horizontal="left" vertical="center"/>
    </xf>
    <xf numFmtId="0" fontId="9" fillId="6" borderId="20" xfId="0" applyFont="1" applyFill="1" applyBorder="1" applyAlignment="1">
      <alignment horizontal="center" vertical="center"/>
    </xf>
    <xf numFmtId="0" fontId="0" fillId="0" borderId="20" xfId="0" applyBorder="1" applyAlignment="1">
      <alignment horizontal="center" vertical="center"/>
    </xf>
    <xf numFmtId="0" fontId="8" fillId="0" borderId="20" xfId="0" applyFont="1" applyBorder="1" applyAlignment="1">
      <alignment horizontal="center" vertical="center" wrapText="1"/>
    </xf>
    <xf numFmtId="0" fontId="10" fillId="5" borderId="20" xfId="0" applyFont="1" applyFill="1" applyBorder="1" applyAlignment="1">
      <alignment horizontal="left" vertical="center" wrapText="1"/>
    </xf>
    <xf numFmtId="0" fontId="8" fillId="0" borderId="20" xfId="0" applyFont="1" applyBorder="1" applyAlignment="1">
      <alignment horizontal="left" vertical="center"/>
    </xf>
    <xf numFmtId="0" fontId="0" fillId="0" borderId="19" xfId="0" applyBorder="1" applyAlignment="1"/>
    <xf numFmtId="49" fontId="12" fillId="10" borderId="20" xfId="0" applyNumberFormat="1" applyFont="1" applyFill="1" applyBorder="1" applyAlignment="1">
      <alignment vertical="center" wrapText="1"/>
    </xf>
    <xf numFmtId="49" fontId="8" fillId="0" borderId="13" xfId="0" applyNumberFormat="1" applyFont="1" applyBorder="1" applyAlignment="1">
      <alignment vertical="center" wrapText="1"/>
    </xf>
    <xf numFmtId="0" fontId="12" fillId="10" borderId="20" xfId="0" applyFont="1" applyFill="1" applyBorder="1" applyAlignment="1"/>
    <xf numFmtId="0" fontId="20" fillId="0" borderId="24" xfId="0" applyFont="1" applyBorder="1" applyAlignment="1"/>
    <xf numFmtId="0" fontId="21" fillId="0" borderId="24" xfId="0" applyFont="1" applyBorder="1" applyAlignment="1"/>
    <xf numFmtId="0" fontId="0" fillId="0" borderId="20" xfId="0" applyBorder="1" applyAlignment="1"/>
    <xf numFmtId="0" fontId="0" fillId="0" borderId="20" xfId="0" applyBorder="1" applyAlignment="1">
      <alignment horizontal="center" vertical="center"/>
    </xf>
    <xf numFmtId="0" fontId="0" fillId="5" borderId="20" xfId="0" applyFill="1" applyBorder="1" applyAlignment="1">
      <alignment vertical="center"/>
    </xf>
    <xf numFmtId="0" fontId="0" fillId="0" borderId="20" xfId="0" applyBorder="1" applyAlignment="1">
      <alignment horizontal="left" vertical="center"/>
    </xf>
    <xf numFmtId="0" fontId="0" fillId="5" borderId="20" xfId="0" applyFill="1" applyBorder="1" applyAlignment="1">
      <alignment horizontal="left" vertical="center"/>
    </xf>
    <xf numFmtId="0" fontId="7" fillId="2" borderId="16" xfId="0" applyFont="1" applyFill="1" applyBorder="1" applyAlignment="1">
      <alignment horizontal="left" vertical="center"/>
    </xf>
    <xf numFmtId="0" fontId="0" fillId="0" borderId="8" xfId="0" applyBorder="1" applyAlignment="1"/>
    <xf numFmtId="0" fontId="0" fillId="0" borderId="9" xfId="0" applyBorder="1" applyAlignment="1"/>
    <xf numFmtId="0" fontId="2" fillId="2" borderId="0" xfId="0" applyFont="1" applyFill="1" applyAlignment="1">
      <alignment horizontal="center" vertical="center" wrapText="1"/>
    </xf>
    <xf numFmtId="0" fontId="0" fillId="2" borderId="0" xfId="0" applyFill="1" applyAlignment="1">
      <alignment vertical="center"/>
    </xf>
    <xf numFmtId="0" fontId="4" fillId="2" borderId="7" xfId="0" applyFont="1" applyFill="1" applyBorder="1" applyAlignment="1">
      <alignment horizontal="center" vertical="center"/>
    </xf>
    <xf numFmtId="0" fontId="0" fillId="0" borderId="7" xfId="0" applyBorder="1" applyAlignment="1"/>
    <xf numFmtId="0" fontId="6" fillId="2" borderId="0" xfId="0" applyFont="1" applyFill="1" applyAlignment="1">
      <alignment horizontal="center" vertical="center"/>
    </xf>
    <xf numFmtId="0" fontId="7" fillId="2" borderId="1" xfId="0" applyFont="1" applyFill="1" applyBorder="1" applyAlignment="1">
      <alignment horizontal="center" vertical="center"/>
    </xf>
    <xf numFmtId="0" fontId="0" fillId="0" borderId="17" xfId="0" applyBorder="1" applyAlignment="1"/>
    <xf numFmtId="0" fontId="0" fillId="0" borderId="18" xfId="0" applyBorder="1" applyAlignment="1"/>
    <xf numFmtId="14" fontId="4" fillId="2" borderId="7" xfId="0" applyNumberFormat="1" applyFont="1" applyFill="1" applyBorder="1" applyAlignment="1">
      <alignment horizontal="center" vertical="center"/>
    </xf>
    <xf numFmtId="0" fontId="0" fillId="0" borderId="20" xfId="0" applyBorder="1" applyAlignment="1">
      <alignment horizontal="left" vertical="center" wrapText="1"/>
    </xf>
    <xf numFmtId="0" fontId="9" fillId="3" borderId="20" xfId="0" applyFont="1" applyFill="1" applyBorder="1" applyAlignment="1">
      <alignment horizontal="center" vertical="center"/>
    </xf>
    <xf numFmtId="0" fontId="0" fillId="0" borderId="22" xfId="0" applyBorder="1" applyAlignment="1"/>
    <xf numFmtId="0" fontId="0" fillId="2" borderId="25" xfId="0" applyFill="1" applyBorder="1" applyAlignment="1">
      <alignment horizontal="left" vertical="top"/>
    </xf>
    <xf numFmtId="0" fontId="0" fillId="2" borderId="23" xfId="0" applyFill="1" applyBorder="1" applyAlignment="1">
      <alignment horizontal="left" vertical="top"/>
    </xf>
    <xf numFmtId="0" fontId="0" fillId="2" borderId="22" xfId="0" applyFill="1" applyBorder="1" applyAlignment="1">
      <alignment horizontal="left" vertical="top"/>
    </xf>
    <xf numFmtId="0" fontId="0" fillId="2" borderId="20" xfId="0" applyFill="1" applyBorder="1" applyAlignment="1">
      <alignment vertical="center"/>
    </xf>
    <xf numFmtId="0" fontId="0" fillId="2" borderId="20" xfId="0" applyFill="1" applyBorder="1" applyAlignment="1">
      <alignment horizontal="center" vertical="top"/>
    </xf>
    <xf numFmtId="0" fontId="14" fillId="0" borderId="20" xfId="0" applyFont="1" applyBorder="1" applyAlignment="1">
      <alignment horizontal="left" vertical="center" wrapText="1"/>
    </xf>
    <xf numFmtId="0" fontId="8" fillId="0" borderId="20" xfId="0" applyFont="1" applyBorder="1" applyAlignment="1">
      <alignment horizontal="center" vertical="center" wrapText="1"/>
    </xf>
    <xf numFmtId="0" fontId="8" fillId="0" borderId="14" xfId="0" applyFont="1" applyBorder="1" applyAlignment="1"/>
    <xf numFmtId="0" fontId="8" fillId="0" borderId="19" xfId="0" applyFont="1" applyBorder="1" applyAlignment="1"/>
    <xf numFmtId="0" fontId="8" fillId="0" borderId="21" xfId="0" applyFont="1" applyBorder="1" applyAlignment="1"/>
    <xf numFmtId="0" fontId="10" fillId="3" borderId="20" xfId="0" applyFont="1" applyFill="1" applyBorder="1" applyAlignment="1">
      <alignment horizontal="center" vertical="center" wrapText="1"/>
    </xf>
    <xf numFmtId="0" fontId="0" fillId="0" borderId="23" xfId="0" applyBorder="1" applyAlignment="1"/>
    <xf numFmtId="0" fontId="10" fillId="5" borderId="20"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0" fillId="0" borderId="14" xfId="0" applyBorder="1" applyAlignment="1"/>
    <xf numFmtId="0" fontId="0" fillId="0" borderId="19" xfId="0" applyBorder="1" applyAlignment="1"/>
    <xf numFmtId="0" fontId="0" fillId="0" borderId="21" xfId="0" applyBorder="1" applyAlignment="1"/>
    <xf numFmtId="0" fontId="8" fillId="0" borderId="20" xfId="0" applyFont="1" applyBorder="1" applyAlignment="1">
      <alignment horizontal="left" vertical="center" wrapText="1"/>
    </xf>
    <xf numFmtId="0" fontId="8" fillId="0" borderId="19" xfId="0" applyFont="1" applyBorder="1" applyAlignment="1">
      <alignment horizontal="center" vertical="center" wrapText="1"/>
    </xf>
    <xf numFmtId="0" fontId="8" fillId="0" borderId="19" xfId="0" applyFont="1" applyBorder="1" applyAlignment="1">
      <alignment horizontal="left" vertical="center" wrapText="1"/>
    </xf>
    <xf numFmtId="0" fontId="0" fillId="0" borderId="20" xfId="0" applyBorder="1" applyAlignment="1">
      <alignment horizontal="center" vertical="center" wrapText="1"/>
    </xf>
    <xf numFmtId="0" fontId="9" fillId="6" borderId="20" xfId="0" applyFont="1" applyFill="1" applyBorder="1" applyAlignment="1">
      <alignment horizontal="center" vertical="center"/>
    </xf>
    <xf numFmtId="0" fontId="10" fillId="0" borderId="20" xfId="0" applyFont="1" applyBorder="1" applyAlignment="1">
      <alignment horizontal="center" vertical="center" wrapText="1"/>
    </xf>
    <xf numFmtId="0" fontId="8" fillId="0" borderId="20" xfId="0" applyFont="1" applyBorder="1" applyAlignment="1">
      <alignment horizontal="left" vertical="center"/>
    </xf>
    <xf numFmtId="0" fontId="10" fillId="0" borderId="19" xfId="0" applyFont="1" applyBorder="1" applyAlignment="1">
      <alignment horizontal="center" vertical="center" wrapText="1"/>
    </xf>
    <xf numFmtId="0" fontId="0" fillId="0" borderId="20" xfId="0" applyBorder="1" applyAlignment="1"/>
    <xf numFmtId="0" fontId="10" fillId="0" borderId="13" xfId="0" applyFont="1" applyBorder="1" applyAlignment="1">
      <alignment horizontal="center" vertical="center" wrapText="1"/>
    </xf>
    <xf numFmtId="0" fontId="0" fillId="0" borderId="20" xfId="0" applyBorder="1" applyAlignment="1">
      <alignment horizontal="center" vertical="center"/>
    </xf>
    <xf numFmtId="0" fontId="17" fillId="0" borderId="20" xfId="0" applyFont="1" applyBorder="1" applyAlignment="1">
      <alignment horizontal="left" vertical="center" wrapText="1"/>
    </xf>
    <xf numFmtId="0" fontId="8" fillId="0" borderId="1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13" xfId="0" applyFont="1" applyBorder="1" applyAlignment="1">
      <alignment horizontal="left" vertical="center" wrapText="1"/>
    </xf>
    <xf numFmtId="0" fontId="8" fillId="0" borderId="21" xfId="0" applyFont="1" applyBorder="1" applyAlignment="1">
      <alignment horizontal="left" vertical="center" wrapText="1"/>
    </xf>
    <xf numFmtId="0" fontId="10" fillId="0" borderId="21" xfId="0" applyFont="1" applyBorder="1" applyAlignment="1">
      <alignment horizontal="center" vertical="center" wrapText="1"/>
    </xf>
    <xf numFmtId="0" fontId="0" fillId="0" borderId="1" xfId="0" applyBorder="1" applyAlignment="1">
      <alignment horizontal="center" vertical="center"/>
    </xf>
    <xf numFmtId="0" fontId="0" fillId="0" borderId="15" xfId="0" applyBorder="1" applyAlignment="1"/>
    <xf numFmtId="0" fontId="9" fillId="6" borderId="1" xfId="0" applyFont="1" applyFill="1" applyBorder="1" applyAlignment="1">
      <alignment horizontal="center" vertical="center"/>
    </xf>
    <xf numFmtId="0" fontId="9" fillId="9" borderId="20" xfId="0" applyFont="1" applyFill="1" applyBorder="1" applyAlignment="1">
      <alignment horizontal="center" vertical="center"/>
    </xf>
    <xf numFmtId="0" fontId="17" fillId="4" borderId="20" xfId="0" applyFont="1" applyFill="1" applyBorder="1" applyAlignment="1">
      <alignment horizontal="left" vertical="center"/>
    </xf>
    <xf numFmtId="0" fontId="0" fillId="4" borderId="20" xfId="0" applyFill="1" applyBorder="1" applyAlignment="1">
      <alignment horizontal="left" vertical="center"/>
    </xf>
    <xf numFmtId="0" fontId="0" fillId="4" borderId="25" xfId="0" applyFill="1" applyBorder="1" applyAlignment="1">
      <alignment horizontal="left" vertical="center"/>
    </xf>
    <xf numFmtId="0" fontId="0" fillId="4" borderId="23" xfId="0" applyFill="1" applyBorder="1" applyAlignment="1">
      <alignment horizontal="left" vertical="center"/>
    </xf>
    <xf numFmtId="0" fontId="0" fillId="4" borderId="22" xfId="0" applyFill="1" applyBorder="1" applyAlignment="1">
      <alignment horizontal="left" vertical="center"/>
    </xf>
    <xf numFmtId="0" fontId="0" fillId="5" borderId="20" xfId="0" applyFill="1" applyBorder="1" applyAlignment="1">
      <alignment horizontal="left" vertical="center"/>
    </xf>
    <xf numFmtId="0" fontId="0" fillId="0" borderId="20" xfId="0" applyBorder="1" applyAlignment="1">
      <alignment horizontal="left" vertical="center"/>
    </xf>
    <xf numFmtId="0" fontId="0" fillId="4" borderId="25" xfId="0" applyFill="1" applyBorder="1" applyAlignment="1">
      <alignment horizontal="left" vertical="center" wrapText="1"/>
    </xf>
  </cellXfs>
  <cellStyles count="2">
    <cellStyle name="百分比" xfId="1" builtinId="5"/>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641350</xdr:colOff>
          <xdr:row>1</xdr:row>
          <xdr:rowOff>165100</xdr:rowOff>
        </xdr:from>
        <xdr:to>
          <xdr:col>5</xdr:col>
          <xdr:colOff>450850</xdr:colOff>
          <xdr:row>7</xdr:row>
          <xdr:rowOff>12700</xdr:rowOff>
        </xdr:to>
        <xdr:sp macro="" textlink="">
          <xdr:nvSpPr>
            <xdr:cNvPr id="3073" name="Object 1" hidden="1">
              <a:extLst>
                <a:ext uri="{63B3BB69-23CF-44E3-9099-C40C66FF867C}">
                  <a14:compatExt spid="_x0000_s3073"/>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508000</xdr:colOff>
          <xdr:row>26</xdr:row>
          <xdr:rowOff>69850</xdr:rowOff>
        </xdr:from>
        <xdr:to>
          <xdr:col>4</xdr:col>
          <xdr:colOff>165100</xdr:colOff>
          <xdr:row>32</xdr:row>
          <xdr:rowOff>69850</xdr:rowOff>
        </xdr:to>
        <xdr:sp macro="" textlink="">
          <xdr:nvSpPr>
            <xdr:cNvPr id="3074" name="Object 2" hidden="1">
              <a:extLst>
                <a:ext uri="{63B3BB69-23CF-44E3-9099-C40C66FF867C}">
                  <a14:compatExt spid="_x0000_s3074"/>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146050</xdr:colOff>
          <xdr:row>48</xdr:row>
          <xdr:rowOff>50800</xdr:rowOff>
        </xdr:from>
        <xdr:to>
          <xdr:col>4</xdr:col>
          <xdr:colOff>412750</xdr:colOff>
          <xdr:row>55</xdr:row>
          <xdr:rowOff>146050</xdr:rowOff>
        </xdr:to>
        <xdr:sp macro="" textlink="">
          <xdr:nvSpPr>
            <xdr:cNvPr id="3075" name="Object 3" hidden="1">
              <a:extLst>
                <a:ext uri="{63B3BB69-23CF-44E3-9099-C40C66FF867C}">
                  <a14:compatExt spid="_x0000_s3075"/>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68</xdr:row>
          <xdr:rowOff>88900</xdr:rowOff>
        </xdr:from>
        <xdr:to>
          <xdr:col>8</xdr:col>
          <xdr:colOff>260350</xdr:colOff>
          <xdr:row>85</xdr:row>
          <xdr:rowOff>69850</xdr:rowOff>
        </xdr:to>
        <xdr:sp macro="" textlink="">
          <xdr:nvSpPr>
            <xdr:cNvPr id="3076" name="Object 4" hidden="1">
              <a:extLst>
                <a:ext uri="{63B3BB69-23CF-44E3-9099-C40C66FF867C}">
                  <a14:compatExt spid="_x0000_s3076"/>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ackage" Target="../embeddings/Microsoft_Visio___2.vsdx"/><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package" Target="../embeddings/Microsoft_Visio___1.vsdx"/><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package" Target="../embeddings/Microsoft_Visio___3.vsdx"/><Relationship Id="rId4" Type="http://schemas.openxmlformats.org/officeDocument/2006/relationships/package" Target="../embeddings/Microsoft_Visio___.vsdx"/><Relationship Id="rId9" Type="http://schemas.openxmlformats.org/officeDocument/2006/relationships/image" Target="../media/image3.emf"/></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J35"/>
  <sheetViews>
    <sheetView workbookViewId="0">
      <selection activeCell="E28" sqref="E28:H28"/>
    </sheetView>
  </sheetViews>
  <sheetFormatPr defaultColWidth="9" defaultRowHeight="14" x14ac:dyDescent="0.25"/>
  <cols>
    <col min="1" max="1" width="2.36328125" style="44" customWidth="1"/>
    <col min="2" max="2" width="9" style="44" customWidth="1"/>
    <col min="3" max="3" width="11.90625" style="44" customWidth="1"/>
    <col min="4" max="6" width="9" style="44" customWidth="1"/>
    <col min="7" max="7" width="13.08984375" style="44" customWidth="1"/>
    <col min="8" max="23" width="9" style="44" customWidth="1"/>
    <col min="24" max="16384" width="9" style="44"/>
  </cols>
  <sheetData>
    <row r="1" spans="2:10" ht="14.5" customHeight="1" thickBot="1" x14ac:dyDescent="0.3"/>
    <row r="2" spans="2:10" ht="14.5" customHeight="1" thickTop="1" x14ac:dyDescent="0.25">
      <c r="B2" s="1"/>
      <c r="C2" s="2"/>
      <c r="D2" s="2"/>
      <c r="E2" s="2"/>
      <c r="F2" s="2"/>
      <c r="G2" s="2"/>
      <c r="H2" s="2"/>
      <c r="I2" s="2"/>
      <c r="J2" s="3"/>
    </row>
    <row r="3" spans="2:10" ht="14.15" customHeight="1" x14ac:dyDescent="0.25">
      <c r="B3" s="4"/>
      <c r="J3" s="5"/>
    </row>
    <row r="4" spans="2:10" ht="13.5" customHeight="1" x14ac:dyDescent="0.25">
      <c r="B4" s="4"/>
      <c r="C4" s="123" t="s">
        <v>0</v>
      </c>
      <c r="D4" s="124"/>
      <c r="E4" s="124"/>
      <c r="F4" s="124"/>
      <c r="G4" s="124"/>
      <c r="H4" s="124"/>
      <c r="I4" s="124"/>
      <c r="J4" s="5"/>
    </row>
    <row r="5" spans="2:10" ht="13.5" customHeight="1" x14ac:dyDescent="0.25">
      <c r="B5" s="4"/>
      <c r="C5" s="124"/>
      <c r="D5" s="124"/>
      <c r="E5" s="124"/>
      <c r="F5" s="124"/>
      <c r="G5" s="124"/>
      <c r="H5" s="124"/>
      <c r="I5" s="124"/>
      <c r="J5" s="5"/>
    </row>
    <row r="6" spans="2:10" ht="13.5" customHeight="1" x14ac:dyDescent="0.25">
      <c r="B6" s="4"/>
      <c r="C6" s="124"/>
      <c r="D6" s="124"/>
      <c r="E6" s="124"/>
      <c r="F6" s="124"/>
      <c r="G6" s="124"/>
      <c r="H6" s="124"/>
      <c r="I6" s="124"/>
      <c r="J6" s="5"/>
    </row>
    <row r="7" spans="2:10" ht="13.5" customHeight="1" x14ac:dyDescent="0.25">
      <c r="B7" s="4"/>
      <c r="C7" s="124"/>
      <c r="D7" s="124"/>
      <c r="E7" s="124"/>
      <c r="F7" s="124"/>
      <c r="G7" s="124"/>
      <c r="H7" s="124"/>
      <c r="I7" s="124"/>
      <c r="J7" s="5"/>
    </row>
    <row r="8" spans="2:10" ht="13.5" customHeight="1" x14ac:dyDescent="0.25">
      <c r="B8" s="4"/>
      <c r="C8" s="124"/>
      <c r="D8" s="124"/>
      <c r="E8" s="124"/>
      <c r="F8" s="124"/>
      <c r="G8" s="124"/>
      <c r="H8" s="124"/>
      <c r="I8" s="124"/>
      <c r="J8" s="5"/>
    </row>
    <row r="9" spans="2:10" ht="13.5" customHeight="1" x14ac:dyDescent="0.25">
      <c r="B9" s="4"/>
      <c r="C9" s="124"/>
      <c r="D9" s="124"/>
      <c r="E9" s="124"/>
      <c r="F9" s="124"/>
      <c r="G9" s="124"/>
      <c r="H9" s="124"/>
      <c r="I9" s="124"/>
      <c r="J9" s="5"/>
    </row>
    <row r="10" spans="2:10" ht="13.5" customHeight="1" x14ac:dyDescent="0.25">
      <c r="B10" s="4"/>
      <c r="C10" s="124"/>
      <c r="D10" s="124"/>
      <c r="E10" s="124"/>
      <c r="F10" s="124"/>
      <c r="G10" s="124"/>
      <c r="H10" s="124"/>
      <c r="I10" s="124"/>
      <c r="J10" s="5"/>
    </row>
    <row r="11" spans="2:10" ht="13.5" customHeight="1" x14ac:dyDescent="0.25">
      <c r="B11" s="4"/>
      <c r="C11" s="124"/>
      <c r="D11" s="124"/>
      <c r="E11" s="124"/>
      <c r="F11" s="124"/>
      <c r="G11" s="124"/>
      <c r="H11" s="124"/>
      <c r="I11" s="124"/>
      <c r="J11" s="5"/>
    </row>
    <row r="12" spans="2:10" ht="14.15" customHeight="1" x14ac:dyDescent="0.25">
      <c r="B12" s="4"/>
      <c r="J12" s="5"/>
    </row>
    <row r="13" spans="2:10" ht="14.15" customHeight="1" x14ac:dyDescent="0.25">
      <c r="B13" s="4"/>
      <c r="J13" s="5"/>
    </row>
    <row r="14" spans="2:10" ht="14.15" customHeight="1" x14ac:dyDescent="0.25">
      <c r="B14" s="4"/>
      <c r="J14" s="5"/>
    </row>
    <row r="15" spans="2:10" ht="20.5" customHeight="1" x14ac:dyDescent="0.25">
      <c r="B15" s="4"/>
      <c r="C15" s="6" t="s">
        <v>1</v>
      </c>
      <c r="D15" s="125" t="s">
        <v>2</v>
      </c>
      <c r="E15" s="126"/>
      <c r="F15" s="6" t="s">
        <v>3</v>
      </c>
      <c r="G15" s="131">
        <v>44764</v>
      </c>
      <c r="H15" s="126"/>
      <c r="J15" s="5"/>
    </row>
    <row r="16" spans="2:10" ht="17.5" customHeight="1" x14ac:dyDescent="0.25">
      <c r="B16" s="4"/>
      <c r="C16" s="8"/>
      <c r="D16" s="10"/>
      <c r="E16" s="10"/>
      <c r="F16" s="9"/>
      <c r="G16" s="10"/>
      <c r="H16" s="10"/>
      <c r="J16" s="5"/>
    </row>
    <row r="17" spans="2:10" ht="20.5" customHeight="1" x14ac:dyDescent="0.25">
      <c r="B17" s="4"/>
      <c r="C17" s="6" t="s">
        <v>4</v>
      </c>
      <c r="D17" s="125"/>
      <c r="E17" s="126"/>
      <c r="F17" s="6" t="s">
        <v>3</v>
      </c>
      <c r="G17" s="131" t="s">
        <v>5</v>
      </c>
      <c r="H17" s="126"/>
      <c r="J17" s="5"/>
    </row>
    <row r="18" spans="2:10" ht="17.5" customHeight="1" x14ac:dyDescent="0.25">
      <c r="B18" s="4"/>
      <c r="C18" s="8"/>
      <c r="D18" s="10"/>
      <c r="E18" s="10"/>
      <c r="F18" s="9"/>
      <c r="G18" s="10"/>
      <c r="H18" s="10"/>
      <c r="J18" s="5"/>
    </row>
    <row r="19" spans="2:10" ht="20.5" customHeight="1" x14ac:dyDescent="0.25">
      <c r="B19" s="4"/>
      <c r="C19" s="6" t="s">
        <v>6</v>
      </c>
      <c r="D19" s="7"/>
      <c r="E19" s="7"/>
      <c r="F19" s="6" t="s">
        <v>3</v>
      </c>
      <c r="G19" s="7"/>
      <c r="H19" s="7"/>
      <c r="J19" s="5"/>
    </row>
    <row r="20" spans="2:10" ht="14.15" customHeight="1" x14ac:dyDescent="0.25">
      <c r="B20" s="4"/>
      <c r="J20" s="5"/>
    </row>
    <row r="21" spans="2:10" ht="14.15" customHeight="1" x14ac:dyDescent="0.25">
      <c r="B21" s="4"/>
      <c r="J21" s="5"/>
    </row>
    <row r="22" spans="2:10" ht="14.15" customHeight="1" x14ac:dyDescent="0.25">
      <c r="B22" s="4"/>
      <c r="J22" s="5"/>
    </row>
    <row r="23" spans="2:10" ht="24" customHeight="1" x14ac:dyDescent="0.25">
      <c r="B23" s="4"/>
      <c r="E23" s="127" t="s">
        <v>7</v>
      </c>
      <c r="F23" s="124"/>
      <c r="J23" s="5"/>
    </row>
    <row r="24" spans="2:10" ht="14.15" customHeight="1" x14ac:dyDescent="0.25">
      <c r="B24" s="4"/>
      <c r="J24" s="5"/>
    </row>
    <row r="25" spans="2:10" ht="17.149999999999999" customHeight="1" x14ac:dyDescent="0.25">
      <c r="B25" s="4"/>
      <c r="C25" s="45" t="s">
        <v>3</v>
      </c>
      <c r="D25" s="45" t="s">
        <v>8</v>
      </c>
      <c r="E25" s="128" t="s">
        <v>9</v>
      </c>
      <c r="F25" s="129"/>
      <c r="G25" s="129"/>
      <c r="H25" s="130"/>
      <c r="I25" s="45" t="s">
        <v>10</v>
      </c>
      <c r="J25" s="5"/>
    </row>
    <row r="26" spans="2:10" ht="17.149999999999999" customHeight="1" x14ac:dyDescent="0.25">
      <c r="B26" s="4"/>
      <c r="C26" s="11">
        <v>44764</v>
      </c>
      <c r="D26" s="45" t="s">
        <v>11</v>
      </c>
      <c r="E26" s="120" t="s">
        <v>12</v>
      </c>
      <c r="F26" s="121"/>
      <c r="G26" s="121"/>
      <c r="H26" s="122"/>
      <c r="I26" s="45" t="s">
        <v>2</v>
      </c>
      <c r="J26" s="5"/>
    </row>
    <row r="27" spans="2:10" ht="17.149999999999999" customHeight="1" x14ac:dyDescent="0.25">
      <c r="B27" s="4"/>
      <c r="C27" s="11"/>
      <c r="D27" s="45"/>
      <c r="E27" s="120"/>
      <c r="F27" s="121"/>
      <c r="G27" s="121"/>
      <c r="H27" s="122"/>
      <c r="I27" s="45"/>
      <c r="J27" s="5"/>
    </row>
    <row r="28" spans="2:10" ht="17.149999999999999" customHeight="1" x14ac:dyDescent="0.25">
      <c r="B28" s="4"/>
      <c r="C28" s="45"/>
      <c r="D28" s="45"/>
      <c r="E28" s="120"/>
      <c r="F28" s="121"/>
      <c r="G28" s="121"/>
      <c r="H28" s="122"/>
      <c r="I28" s="45"/>
      <c r="J28" s="5"/>
    </row>
    <row r="29" spans="2:10" ht="17.149999999999999" customHeight="1" x14ac:dyDescent="0.25">
      <c r="B29" s="4"/>
      <c r="C29" s="45"/>
      <c r="D29" s="45"/>
      <c r="E29" s="120"/>
      <c r="F29" s="121"/>
      <c r="G29" s="121"/>
      <c r="H29" s="122"/>
      <c r="I29" s="45"/>
      <c r="J29" s="5"/>
    </row>
    <row r="30" spans="2:10" ht="17.149999999999999" customHeight="1" x14ac:dyDescent="0.25">
      <c r="B30" s="4"/>
      <c r="C30" s="45"/>
      <c r="D30" s="45"/>
      <c r="E30" s="120"/>
      <c r="F30" s="121"/>
      <c r="G30" s="121"/>
      <c r="H30" s="122"/>
      <c r="I30" s="45"/>
      <c r="J30" s="5"/>
    </row>
    <row r="31" spans="2:10" ht="17.149999999999999" customHeight="1" x14ac:dyDescent="0.25">
      <c r="B31" s="4"/>
      <c r="C31" s="45"/>
      <c r="D31" s="45"/>
      <c r="E31" s="120"/>
      <c r="F31" s="121"/>
      <c r="G31" s="121"/>
      <c r="H31" s="122"/>
      <c r="I31" s="45"/>
      <c r="J31" s="5"/>
    </row>
    <row r="32" spans="2:10" ht="14.15" customHeight="1" x14ac:dyDescent="0.25">
      <c r="B32" s="4"/>
      <c r="J32" s="5"/>
    </row>
    <row r="33" spans="2:10" ht="14.15" customHeight="1" x14ac:dyDescent="0.25">
      <c r="B33" s="4"/>
      <c r="J33" s="5"/>
    </row>
    <row r="34" spans="2:10" ht="14.5" customHeight="1" thickBot="1" x14ac:dyDescent="0.3">
      <c r="B34" s="12"/>
      <c r="C34" s="13"/>
      <c r="D34" s="13"/>
      <c r="E34" s="13"/>
      <c r="F34" s="13"/>
      <c r="G34" s="13"/>
      <c r="H34" s="13"/>
      <c r="I34" s="13"/>
      <c r="J34" s="14"/>
    </row>
    <row r="35" spans="2:10" ht="14.5" customHeight="1" thickTop="1" x14ac:dyDescent="0.25"/>
  </sheetData>
  <mergeCells count="13">
    <mergeCell ref="E29:H29"/>
    <mergeCell ref="E30:H30"/>
    <mergeCell ref="E31:H31"/>
    <mergeCell ref="C4:I11"/>
    <mergeCell ref="D15:E15"/>
    <mergeCell ref="D17:E17"/>
    <mergeCell ref="E27:H27"/>
    <mergeCell ref="E28:H28"/>
    <mergeCell ref="E23:F23"/>
    <mergeCell ref="E25:H25"/>
    <mergeCell ref="E26:H26"/>
    <mergeCell ref="G15:H15"/>
    <mergeCell ref="G17:H17"/>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103"/>
  <sheetViews>
    <sheetView zoomScale="115" zoomScaleNormal="115" workbookViewId="0">
      <pane xSplit="1" ySplit="1" topLeftCell="B84" activePane="bottomRight" state="frozen"/>
      <selection pane="topRight" activeCell="B1" sqref="B1"/>
      <selection pane="bottomLeft" activeCell="A2" sqref="A2"/>
      <selection pane="bottomRight" activeCell="G93" sqref="G93:H93"/>
    </sheetView>
  </sheetViews>
  <sheetFormatPr defaultColWidth="9" defaultRowHeight="14" x14ac:dyDescent="0.25"/>
  <cols>
    <col min="1" max="1" width="10" style="46" customWidth="1"/>
    <col min="2" max="2" width="22.36328125" style="46" customWidth="1"/>
    <col min="3" max="3" width="40" style="46" customWidth="1"/>
    <col min="4" max="4" width="19.90625" style="46" customWidth="1"/>
    <col min="5" max="5" width="10.453125" style="46" hidden="1" customWidth="1"/>
    <col min="6" max="6" width="16.36328125" style="27" customWidth="1"/>
    <col min="7" max="7" width="53.90625" style="46" customWidth="1"/>
    <col min="8" max="9" width="9" style="46" customWidth="1"/>
    <col min="10" max="10" width="11.6328125" style="46" bestFit="1" customWidth="1"/>
    <col min="11" max="26" width="9" style="46" customWidth="1"/>
    <col min="27" max="16384" width="9" style="46"/>
  </cols>
  <sheetData>
    <row r="1" spans="1:8" ht="27.75" customHeight="1" x14ac:dyDescent="0.25">
      <c r="A1" s="17" t="s">
        <v>13</v>
      </c>
      <c r="B1" s="17" t="s">
        <v>14</v>
      </c>
      <c r="C1" s="17" t="s">
        <v>15</v>
      </c>
      <c r="D1" s="17" t="s">
        <v>16</v>
      </c>
      <c r="E1" s="17" t="s">
        <v>17</v>
      </c>
      <c r="F1" s="17" t="s">
        <v>18</v>
      </c>
      <c r="G1" s="133" t="s">
        <v>19</v>
      </c>
      <c r="H1" s="134"/>
    </row>
    <row r="2" spans="1:8" x14ac:dyDescent="0.25">
      <c r="A2" s="63" t="s">
        <v>20</v>
      </c>
      <c r="B2" s="63"/>
      <c r="C2" s="63"/>
      <c r="D2" s="63"/>
      <c r="E2" s="63"/>
      <c r="F2" s="62"/>
      <c r="G2" s="132"/>
      <c r="H2" s="132"/>
    </row>
    <row r="3" spans="1:8" x14ac:dyDescent="0.25">
      <c r="A3" s="63"/>
      <c r="B3" s="63" t="s">
        <v>171</v>
      </c>
      <c r="C3" s="63"/>
      <c r="D3" s="63"/>
      <c r="E3" s="63"/>
      <c r="F3" s="62"/>
      <c r="G3" s="132"/>
      <c r="H3" s="132"/>
    </row>
    <row r="4" spans="1:8" x14ac:dyDescent="0.25">
      <c r="A4" s="63"/>
      <c r="B4" s="63"/>
      <c r="C4" s="63" t="s">
        <v>172</v>
      </c>
      <c r="D4" s="63" t="s">
        <v>21</v>
      </c>
      <c r="E4" s="63"/>
      <c r="F4" s="62">
        <v>4</v>
      </c>
      <c r="G4" s="132" t="s">
        <v>173</v>
      </c>
      <c r="H4" s="132"/>
    </row>
    <row r="5" spans="1:8" ht="14.15" customHeight="1" x14ac:dyDescent="0.25">
      <c r="A5" s="63"/>
      <c r="B5" s="63"/>
      <c r="C5" s="63" t="s">
        <v>174</v>
      </c>
      <c r="D5" s="63" t="s">
        <v>21</v>
      </c>
      <c r="E5" s="63"/>
      <c r="F5" s="62">
        <v>4</v>
      </c>
      <c r="G5" s="132" t="s">
        <v>173</v>
      </c>
      <c r="H5" s="132"/>
    </row>
    <row r="6" spans="1:8" x14ac:dyDescent="0.25">
      <c r="A6" s="63"/>
      <c r="B6" s="63"/>
      <c r="C6" s="63" t="s">
        <v>175</v>
      </c>
      <c r="D6" s="63" t="s">
        <v>22</v>
      </c>
      <c r="E6" s="63"/>
      <c r="F6" s="62">
        <v>2</v>
      </c>
      <c r="G6" s="132" t="s">
        <v>176</v>
      </c>
      <c r="H6" s="132"/>
    </row>
    <row r="7" spans="1:8" x14ac:dyDescent="0.25">
      <c r="A7" s="63"/>
      <c r="B7" s="63"/>
      <c r="C7" s="63" t="s">
        <v>177</v>
      </c>
      <c r="D7" s="63" t="s">
        <v>22</v>
      </c>
      <c r="E7" s="63"/>
      <c r="F7" s="62">
        <v>2</v>
      </c>
      <c r="G7" s="132" t="s">
        <v>178</v>
      </c>
      <c r="H7" s="132"/>
    </row>
    <row r="8" spans="1:8" ht="14.5" hidden="1" customHeight="1" x14ac:dyDescent="0.25">
      <c r="A8" s="63"/>
      <c r="B8" s="63"/>
      <c r="C8" s="63" t="s">
        <v>179</v>
      </c>
      <c r="D8" s="63" t="s">
        <v>22</v>
      </c>
      <c r="E8" s="63"/>
      <c r="F8" s="62">
        <v>1</v>
      </c>
      <c r="G8" s="132"/>
      <c r="H8" s="132"/>
    </row>
    <row r="9" spans="1:8" x14ac:dyDescent="0.25">
      <c r="A9" s="63"/>
      <c r="B9" s="63"/>
      <c r="C9" s="63" t="s">
        <v>180</v>
      </c>
      <c r="D9" s="63" t="s">
        <v>22</v>
      </c>
      <c r="E9" s="63"/>
      <c r="F9" s="62">
        <v>1</v>
      </c>
      <c r="G9" s="132"/>
      <c r="H9" s="132"/>
    </row>
    <row r="10" spans="1:8" x14ac:dyDescent="0.25">
      <c r="A10" s="63"/>
      <c r="B10" s="63"/>
      <c r="C10" s="63" t="s">
        <v>181</v>
      </c>
      <c r="D10" s="63" t="s">
        <v>22</v>
      </c>
      <c r="E10" s="63"/>
      <c r="F10" s="62">
        <v>5</v>
      </c>
      <c r="G10" s="132" t="s">
        <v>183</v>
      </c>
      <c r="H10" s="132"/>
    </row>
    <row r="11" spans="1:8" ht="14.15" customHeight="1" x14ac:dyDescent="0.25">
      <c r="A11" s="63"/>
      <c r="B11" s="63"/>
      <c r="C11" s="63" t="s">
        <v>184</v>
      </c>
      <c r="D11" s="63" t="s">
        <v>22</v>
      </c>
      <c r="E11" s="63"/>
      <c r="F11" s="62">
        <v>1</v>
      </c>
      <c r="G11" s="132"/>
      <c r="H11" s="132"/>
    </row>
    <row r="12" spans="1:8" x14ac:dyDescent="0.25">
      <c r="A12" s="63"/>
      <c r="B12" s="63"/>
      <c r="C12" s="63" t="s">
        <v>185</v>
      </c>
      <c r="D12" s="63" t="s">
        <v>22</v>
      </c>
      <c r="E12" s="63"/>
      <c r="F12" s="62">
        <v>5</v>
      </c>
      <c r="G12" s="132" t="s">
        <v>186</v>
      </c>
      <c r="H12" s="132"/>
    </row>
    <row r="13" spans="1:8" ht="14.15" customHeight="1" x14ac:dyDescent="0.25">
      <c r="A13" s="63"/>
      <c r="B13" s="63" t="s">
        <v>187</v>
      </c>
      <c r="C13" s="63"/>
      <c r="D13" s="63"/>
      <c r="E13" s="63"/>
      <c r="F13" s="62"/>
      <c r="G13" s="132"/>
      <c r="H13" s="132"/>
    </row>
    <row r="14" spans="1:8" x14ac:dyDescent="0.25">
      <c r="A14" s="63"/>
      <c r="B14" s="63"/>
      <c r="C14" s="63" t="s">
        <v>188</v>
      </c>
      <c r="D14" s="63" t="s">
        <v>21</v>
      </c>
      <c r="E14" s="63"/>
      <c r="F14" s="62">
        <v>19</v>
      </c>
      <c r="G14" s="132" t="s">
        <v>189</v>
      </c>
      <c r="H14" s="132"/>
    </row>
    <row r="15" spans="1:8" x14ac:dyDescent="0.25">
      <c r="A15" s="63"/>
      <c r="B15" s="63"/>
      <c r="C15" s="63" t="s">
        <v>190</v>
      </c>
      <c r="D15" s="63" t="s">
        <v>21</v>
      </c>
      <c r="E15" s="63"/>
      <c r="F15" s="62">
        <v>19</v>
      </c>
      <c r="G15" s="132" t="s">
        <v>189</v>
      </c>
      <c r="H15" s="132"/>
    </row>
    <row r="16" spans="1:8" x14ac:dyDescent="0.25">
      <c r="A16" s="63"/>
      <c r="B16" s="63"/>
      <c r="C16" s="63" t="s">
        <v>191</v>
      </c>
      <c r="D16" s="63" t="s">
        <v>22</v>
      </c>
      <c r="E16" s="63"/>
      <c r="F16" s="62">
        <v>2</v>
      </c>
      <c r="G16" s="132"/>
      <c r="H16" s="132"/>
    </row>
    <row r="17" spans="1:8" ht="14.15" customHeight="1" x14ac:dyDescent="0.25">
      <c r="A17" s="63"/>
      <c r="B17" s="63"/>
      <c r="C17" s="63" t="s">
        <v>192</v>
      </c>
      <c r="D17" s="63" t="s">
        <v>22</v>
      </c>
      <c r="E17" s="63"/>
      <c r="F17" s="62">
        <v>2</v>
      </c>
      <c r="G17" s="132"/>
      <c r="H17" s="132"/>
    </row>
    <row r="18" spans="1:8" x14ac:dyDescent="0.25">
      <c r="A18" s="63"/>
      <c r="B18" s="63"/>
      <c r="C18" s="63" t="s">
        <v>193</v>
      </c>
      <c r="D18" s="63" t="s">
        <v>22</v>
      </c>
      <c r="E18" s="63"/>
      <c r="F18" s="62">
        <v>1</v>
      </c>
      <c r="G18" s="132"/>
      <c r="H18" s="132"/>
    </row>
    <row r="19" spans="1:8" x14ac:dyDescent="0.25">
      <c r="A19" s="63"/>
      <c r="B19" s="63"/>
      <c r="C19" s="63" t="s">
        <v>194</v>
      </c>
      <c r="D19" s="63" t="s">
        <v>22</v>
      </c>
      <c r="E19" s="63"/>
      <c r="F19" s="62">
        <v>1</v>
      </c>
      <c r="G19" s="132"/>
      <c r="H19" s="132"/>
    </row>
    <row r="20" spans="1:8" x14ac:dyDescent="0.25">
      <c r="A20" s="63"/>
      <c r="B20" s="63"/>
      <c r="C20" s="63" t="s">
        <v>195</v>
      </c>
      <c r="D20" s="63" t="s">
        <v>22</v>
      </c>
      <c r="E20" s="63"/>
      <c r="F20" s="62">
        <v>2</v>
      </c>
      <c r="G20" s="132" t="s">
        <v>196</v>
      </c>
      <c r="H20" s="132"/>
    </row>
    <row r="21" spans="1:8" x14ac:dyDescent="0.25">
      <c r="A21" s="63"/>
      <c r="B21" s="63"/>
      <c r="C21" s="63" t="s">
        <v>197</v>
      </c>
      <c r="D21" s="63" t="s">
        <v>22</v>
      </c>
      <c r="E21" s="63"/>
      <c r="F21" s="62">
        <v>1</v>
      </c>
      <c r="G21" s="132"/>
      <c r="H21" s="132"/>
    </row>
    <row r="22" spans="1:8" x14ac:dyDescent="0.25">
      <c r="A22" s="63"/>
      <c r="B22" s="63" t="s">
        <v>198</v>
      </c>
      <c r="C22" s="63"/>
      <c r="D22" s="63"/>
      <c r="E22" s="63"/>
      <c r="F22" s="62"/>
      <c r="G22" s="132"/>
      <c r="H22" s="132"/>
    </row>
    <row r="23" spans="1:8" x14ac:dyDescent="0.25">
      <c r="A23" s="63"/>
      <c r="B23" s="63"/>
      <c r="C23" s="63" t="s">
        <v>199</v>
      </c>
      <c r="D23" s="63" t="s">
        <v>21</v>
      </c>
      <c r="E23" s="63"/>
      <c r="F23" s="62">
        <v>13</v>
      </c>
      <c r="G23" s="132" t="s">
        <v>200</v>
      </c>
      <c r="H23" s="132"/>
    </row>
    <row r="24" spans="1:8" x14ac:dyDescent="0.25">
      <c r="A24" s="63"/>
      <c r="B24" s="63"/>
      <c r="C24" s="63" t="s">
        <v>201</v>
      </c>
      <c r="D24" s="63" t="s">
        <v>21</v>
      </c>
      <c r="E24" s="63"/>
      <c r="F24" s="62">
        <v>13</v>
      </c>
      <c r="G24" s="132" t="s">
        <v>200</v>
      </c>
      <c r="H24" s="132"/>
    </row>
    <row r="25" spans="1:8" ht="14.15" customHeight="1" x14ac:dyDescent="0.25">
      <c r="A25" s="63"/>
      <c r="B25" s="63"/>
      <c r="C25" s="63" t="s">
        <v>202</v>
      </c>
      <c r="D25" s="63" t="s">
        <v>22</v>
      </c>
      <c r="E25" s="63"/>
      <c r="F25" s="62">
        <v>2</v>
      </c>
      <c r="G25" s="132"/>
      <c r="H25" s="132"/>
    </row>
    <row r="26" spans="1:8" x14ac:dyDescent="0.25">
      <c r="A26" s="63"/>
      <c r="B26" s="63"/>
      <c r="C26" s="63" t="s">
        <v>203</v>
      </c>
      <c r="D26" s="63" t="s">
        <v>22</v>
      </c>
      <c r="E26" s="63"/>
      <c r="F26" s="62">
        <v>2</v>
      </c>
      <c r="G26" s="132"/>
      <c r="H26" s="132"/>
    </row>
    <row r="27" spans="1:8" x14ac:dyDescent="0.25">
      <c r="A27" s="63"/>
      <c r="B27" s="63"/>
      <c r="C27" s="63" t="s">
        <v>204</v>
      </c>
      <c r="D27" s="63" t="s">
        <v>22</v>
      </c>
      <c r="E27" s="63"/>
      <c r="F27" s="62">
        <v>1</v>
      </c>
      <c r="G27" s="132"/>
      <c r="H27" s="132"/>
    </row>
    <row r="28" spans="1:8" x14ac:dyDescent="0.25">
      <c r="A28" s="63"/>
      <c r="B28" s="63"/>
      <c r="C28" s="63" t="s">
        <v>205</v>
      </c>
      <c r="D28" s="63" t="s">
        <v>22</v>
      </c>
      <c r="E28" s="63"/>
      <c r="F28" s="62">
        <v>1</v>
      </c>
      <c r="G28" s="132"/>
      <c r="H28" s="132"/>
    </row>
    <row r="29" spans="1:8" ht="14.15" customHeight="1" x14ac:dyDescent="0.25">
      <c r="A29" s="63"/>
      <c r="B29" s="63"/>
      <c r="C29" s="63" t="s">
        <v>206</v>
      </c>
      <c r="D29" s="63" t="s">
        <v>22</v>
      </c>
      <c r="E29" s="63"/>
      <c r="F29" s="62">
        <v>2</v>
      </c>
      <c r="G29" s="132" t="s">
        <v>207</v>
      </c>
      <c r="H29" s="132"/>
    </row>
    <row r="30" spans="1:8" x14ac:dyDescent="0.25">
      <c r="A30" s="63"/>
      <c r="B30" s="63"/>
      <c r="C30" s="63" t="s">
        <v>208</v>
      </c>
      <c r="D30" s="63" t="s">
        <v>22</v>
      </c>
      <c r="E30" s="63"/>
      <c r="F30" s="62">
        <v>1</v>
      </c>
      <c r="G30" s="132"/>
      <c r="H30" s="132"/>
    </row>
    <row r="31" spans="1:8" x14ac:dyDescent="0.25">
      <c r="A31" s="63"/>
      <c r="B31" s="63"/>
      <c r="C31" s="63" t="s">
        <v>209</v>
      </c>
      <c r="D31" s="63" t="s">
        <v>22</v>
      </c>
      <c r="E31" s="63"/>
      <c r="F31" s="62">
        <v>6</v>
      </c>
      <c r="G31" s="132" t="s">
        <v>210</v>
      </c>
      <c r="H31" s="132"/>
    </row>
    <row r="32" spans="1:8" x14ac:dyDescent="0.25">
      <c r="A32" s="63"/>
      <c r="B32" s="63"/>
      <c r="C32" s="63" t="s">
        <v>211</v>
      </c>
      <c r="D32" s="63" t="s">
        <v>22</v>
      </c>
      <c r="E32" s="63"/>
      <c r="F32" s="62">
        <v>6</v>
      </c>
      <c r="G32" s="132" t="s">
        <v>212</v>
      </c>
      <c r="H32" s="132"/>
    </row>
    <row r="33" spans="1:8" x14ac:dyDescent="0.25">
      <c r="A33" s="63"/>
      <c r="B33" s="63"/>
      <c r="C33" s="63" t="s">
        <v>213</v>
      </c>
      <c r="D33" s="63" t="s">
        <v>22</v>
      </c>
      <c r="E33" s="63"/>
      <c r="F33" s="62">
        <v>1</v>
      </c>
      <c r="G33" s="132" t="s">
        <v>214</v>
      </c>
      <c r="H33" s="132"/>
    </row>
    <row r="34" spans="1:8" ht="14.15" customHeight="1" x14ac:dyDescent="0.25">
      <c r="A34" s="63"/>
      <c r="B34" s="63"/>
      <c r="C34" s="63" t="s">
        <v>215</v>
      </c>
      <c r="D34" s="63" t="s">
        <v>22</v>
      </c>
      <c r="E34" s="63"/>
      <c r="F34" s="62">
        <v>1</v>
      </c>
      <c r="G34" s="132"/>
      <c r="H34" s="132"/>
    </row>
    <row r="35" spans="1:8" ht="14.15" customHeight="1" x14ac:dyDescent="0.25">
      <c r="A35" s="63"/>
      <c r="B35" s="63"/>
      <c r="C35" s="63" t="s">
        <v>216</v>
      </c>
      <c r="D35" s="63" t="s">
        <v>22</v>
      </c>
      <c r="E35" s="63"/>
      <c r="F35" s="62">
        <v>5</v>
      </c>
      <c r="G35" s="132" t="s">
        <v>186</v>
      </c>
      <c r="H35" s="132"/>
    </row>
    <row r="36" spans="1:8" ht="14.15" customHeight="1" x14ac:dyDescent="0.25">
      <c r="A36" s="63" t="s">
        <v>955</v>
      </c>
      <c r="B36" s="63"/>
      <c r="C36" s="63"/>
      <c r="D36" s="63"/>
      <c r="E36" s="63"/>
      <c r="F36" s="62"/>
      <c r="G36" s="132"/>
      <c r="H36" s="132"/>
    </row>
    <row r="37" spans="1:8" x14ac:dyDescent="0.25">
      <c r="A37" s="63"/>
      <c r="B37" s="63" t="s">
        <v>217</v>
      </c>
      <c r="C37" s="63"/>
      <c r="D37" s="63"/>
      <c r="E37" s="63"/>
      <c r="F37" s="62"/>
      <c r="G37" s="132"/>
      <c r="H37" s="132"/>
    </row>
    <row r="38" spans="1:8" x14ac:dyDescent="0.25">
      <c r="A38" s="63"/>
      <c r="B38" s="63"/>
      <c r="C38" s="63" t="s">
        <v>218</v>
      </c>
      <c r="D38" s="63" t="s">
        <v>21</v>
      </c>
      <c r="E38" s="63"/>
      <c r="F38" s="62">
        <v>10</v>
      </c>
      <c r="G38" s="132" t="s">
        <v>219</v>
      </c>
      <c r="H38" s="132"/>
    </row>
    <row r="39" spans="1:8" x14ac:dyDescent="0.25">
      <c r="A39" s="63"/>
      <c r="B39" s="63"/>
      <c r="C39" s="63" t="s">
        <v>220</v>
      </c>
      <c r="D39" s="63" t="s">
        <v>21</v>
      </c>
      <c r="E39" s="63"/>
      <c r="F39" s="62">
        <v>5</v>
      </c>
      <c r="G39" s="132" t="s">
        <v>219</v>
      </c>
      <c r="H39" s="132"/>
    </row>
    <row r="40" spans="1:8" ht="14.15" customHeight="1" x14ac:dyDescent="0.25">
      <c r="A40" s="63"/>
      <c r="B40" s="63"/>
      <c r="C40" s="63" t="s">
        <v>221</v>
      </c>
      <c r="D40" s="63" t="s">
        <v>21</v>
      </c>
      <c r="E40" s="63"/>
      <c r="F40" s="62">
        <v>4</v>
      </c>
      <c r="G40" s="132" t="s">
        <v>222</v>
      </c>
      <c r="H40" s="132"/>
    </row>
    <row r="41" spans="1:8" ht="14.15" customHeight="1" x14ac:dyDescent="0.25">
      <c r="A41" s="63"/>
      <c r="B41" s="63"/>
      <c r="C41" s="63" t="s">
        <v>223</v>
      </c>
      <c r="D41" s="63" t="s">
        <v>21</v>
      </c>
      <c r="E41" s="63"/>
      <c r="F41" s="62">
        <v>4</v>
      </c>
      <c r="G41" s="132" t="s">
        <v>222</v>
      </c>
      <c r="H41" s="132"/>
    </row>
    <row r="42" spans="1:8" x14ac:dyDescent="0.25">
      <c r="A42" s="63"/>
      <c r="B42" s="63"/>
      <c r="C42" s="63" t="s">
        <v>224</v>
      </c>
      <c r="D42" s="63" t="s">
        <v>22</v>
      </c>
      <c r="E42" s="63"/>
      <c r="F42" s="62">
        <v>6</v>
      </c>
      <c r="G42" s="132" t="s">
        <v>225</v>
      </c>
      <c r="H42" s="132"/>
    </row>
    <row r="43" spans="1:8" ht="14.15" customHeight="1" x14ac:dyDescent="0.25">
      <c r="A43" s="63"/>
      <c r="B43" s="63"/>
      <c r="C43" s="63" t="s">
        <v>226</v>
      </c>
      <c r="D43" s="63" t="s">
        <v>22</v>
      </c>
      <c r="E43" s="63"/>
      <c r="F43" s="62">
        <v>1</v>
      </c>
      <c r="G43" s="132"/>
      <c r="H43" s="132"/>
    </row>
    <row r="44" spans="1:8" ht="14.15" customHeight="1" x14ac:dyDescent="0.25">
      <c r="A44" s="63"/>
      <c r="B44" s="63" t="s">
        <v>227</v>
      </c>
      <c r="C44" s="63"/>
      <c r="D44" s="63"/>
      <c r="E44" s="63"/>
      <c r="F44" s="62"/>
      <c r="G44" s="132"/>
      <c r="H44" s="132"/>
    </row>
    <row r="45" spans="1:8" x14ac:dyDescent="0.25">
      <c r="A45" s="63"/>
      <c r="B45" s="63"/>
      <c r="C45" s="63" t="s">
        <v>228</v>
      </c>
      <c r="D45" s="63" t="s">
        <v>22</v>
      </c>
      <c r="E45" s="63"/>
      <c r="F45" s="62">
        <v>2</v>
      </c>
      <c r="G45" s="132" t="s">
        <v>229</v>
      </c>
      <c r="H45" s="132"/>
    </row>
    <row r="46" spans="1:8" ht="14.15" customHeight="1" x14ac:dyDescent="0.25">
      <c r="A46" s="63"/>
      <c r="B46" s="63"/>
      <c r="C46" s="63" t="s">
        <v>230</v>
      </c>
      <c r="D46" s="63" t="s">
        <v>22</v>
      </c>
      <c r="E46" s="63"/>
      <c r="F46" s="62">
        <v>4</v>
      </c>
      <c r="G46" s="132" t="s">
        <v>231</v>
      </c>
      <c r="H46" s="132"/>
    </row>
    <row r="47" spans="1:8" x14ac:dyDescent="0.25">
      <c r="A47" s="63"/>
      <c r="B47" s="63" t="s">
        <v>232</v>
      </c>
      <c r="C47" s="63"/>
      <c r="D47" s="63"/>
      <c r="E47" s="63"/>
      <c r="F47" s="62"/>
      <c r="G47" s="132"/>
      <c r="H47" s="132"/>
    </row>
    <row r="48" spans="1:8" x14ac:dyDescent="0.25">
      <c r="A48" s="63"/>
      <c r="B48" s="63"/>
      <c r="C48" s="63" t="s">
        <v>233</v>
      </c>
      <c r="D48" s="63" t="s">
        <v>22</v>
      </c>
      <c r="E48" s="63"/>
      <c r="F48" s="62">
        <v>7</v>
      </c>
      <c r="G48" s="132" t="s">
        <v>234</v>
      </c>
      <c r="H48" s="132"/>
    </row>
    <row r="49" spans="1:8" x14ac:dyDescent="0.25">
      <c r="A49" s="63" t="s">
        <v>953</v>
      </c>
      <c r="B49" s="63"/>
      <c r="C49" s="63"/>
      <c r="D49" s="63"/>
      <c r="E49" s="63"/>
      <c r="F49" s="62"/>
      <c r="G49" s="132"/>
      <c r="H49" s="132"/>
    </row>
    <row r="50" spans="1:8" x14ac:dyDescent="0.25">
      <c r="A50" s="63"/>
      <c r="B50" s="63" t="s">
        <v>235</v>
      </c>
      <c r="C50" s="63"/>
      <c r="D50" s="63"/>
      <c r="E50" s="63"/>
      <c r="F50" s="62"/>
      <c r="G50" s="132"/>
      <c r="H50" s="132"/>
    </row>
    <row r="51" spans="1:8" x14ac:dyDescent="0.25">
      <c r="A51" s="63"/>
      <c r="B51" s="63"/>
      <c r="C51" s="63" t="s">
        <v>236</v>
      </c>
      <c r="D51" s="63" t="s">
        <v>21</v>
      </c>
      <c r="E51" s="63"/>
      <c r="F51" s="62">
        <v>2</v>
      </c>
      <c r="G51" s="132" t="s">
        <v>237</v>
      </c>
      <c r="H51" s="132"/>
    </row>
    <row r="52" spans="1:8" x14ac:dyDescent="0.25">
      <c r="A52" s="63"/>
      <c r="B52" s="63"/>
      <c r="C52" s="63" t="s">
        <v>238</v>
      </c>
      <c r="D52" s="63" t="s">
        <v>21</v>
      </c>
      <c r="E52" s="63"/>
      <c r="F52" s="62">
        <v>2</v>
      </c>
      <c r="G52" s="132" t="s">
        <v>237</v>
      </c>
      <c r="H52" s="132"/>
    </row>
    <row r="53" spans="1:8" x14ac:dyDescent="0.25">
      <c r="A53" s="63"/>
      <c r="B53" s="63"/>
      <c r="C53" s="63" t="s">
        <v>239</v>
      </c>
      <c r="D53" s="63" t="s">
        <v>21</v>
      </c>
      <c r="E53" s="63"/>
      <c r="F53" s="62">
        <v>3</v>
      </c>
      <c r="G53" s="132" t="s">
        <v>237</v>
      </c>
      <c r="H53" s="132"/>
    </row>
    <row r="54" spans="1:8" x14ac:dyDescent="0.25">
      <c r="A54" s="63"/>
      <c r="B54" s="63"/>
      <c r="C54" s="63" t="s">
        <v>240</v>
      </c>
      <c r="D54" s="63" t="s">
        <v>22</v>
      </c>
      <c r="E54" s="63"/>
      <c r="F54" s="62">
        <v>1</v>
      </c>
      <c r="G54" s="132" t="s">
        <v>237</v>
      </c>
      <c r="H54" s="132"/>
    </row>
    <row r="55" spans="1:8" x14ac:dyDescent="0.25">
      <c r="A55" s="63"/>
      <c r="B55" s="63"/>
      <c r="C55" s="63" t="s">
        <v>241</v>
      </c>
      <c r="D55" s="63" t="s">
        <v>22</v>
      </c>
      <c r="E55" s="63"/>
      <c r="F55" s="62">
        <v>1</v>
      </c>
      <c r="G55" s="132" t="s">
        <v>237</v>
      </c>
      <c r="H55" s="132"/>
    </row>
    <row r="56" spans="1:8" x14ac:dyDescent="0.25">
      <c r="A56" s="63"/>
      <c r="B56" s="63"/>
      <c r="C56" s="63" t="s">
        <v>242</v>
      </c>
      <c r="D56" s="63" t="s">
        <v>22</v>
      </c>
      <c r="E56" s="63"/>
      <c r="F56" s="62">
        <v>1</v>
      </c>
      <c r="G56" s="132"/>
      <c r="H56" s="132"/>
    </row>
    <row r="57" spans="1:8" x14ac:dyDescent="0.25">
      <c r="A57" s="63"/>
      <c r="B57" s="63"/>
      <c r="C57" s="63" t="s">
        <v>243</v>
      </c>
      <c r="D57" s="63" t="s">
        <v>22</v>
      </c>
      <c r="E57" s="63"/>
      <c r="F57" s="62">
        <v>3</v>
      </c>
      <c r="G57" s="132" t="s">
        <v>244</v>
      </c>
      <c r="H57" s="132"/>
    </row>
    <row r="58" spans="1:8" x14ac:dyDescent="0.25">
      <c r="A58" s="63"/>
      <c r="B58" s="63"/>
      <c r="C58" s="63" t="s">
        <v>245</v>
      </c>
      <c r="D58" s="63" t="s">
        <v>22</v>
      </c>
      <c r="E58" s="63"/>
      <c r="F58" s="62">
        <v>5</v>
      </c>
      <c r="G58" s="132" t="s">
        <v>246</v>
      </c>
      <c r="H58" s="132"/>
    </row>
    <row r="59" spans="1:8" x14ac:dyDescent="0.25">
      <c r="A59" s="63"/>
      <c r="B59" s="63"/>
      <c r="C59" s="63" t="s">
        <v>247</v>
      </c>
      <c r="D59" s="63" t="s">
        <v>22</v>
      </c>
      <c r="E59" s="63"/>
      <c r="F59" s="62">
        <v>6</v>
      </c>
      <c r="G59" s="132" t="s">
        <v>248</v>
      </c>
      <c r="H59" s="132"/>
    </row>
    <row r="60" spans="1:8" x14ac:dyDescent="0.25">
      <c r="A60" s="63"/>
      <c r="B60" s="63"/>
      <c r="C60" s="63" t="s">
        <v>249</v>
      </c>
      <c r="D60" s="63" t="s">
        <v>22</v>
      </c>
      <c r="E60" s="63"/>
      <c r="F60" s="62">
        <v>2</v>
      </c>
      <c r="G60" s="132" t="s">
        <v>250</v>
      </c>
      <c r="H60" s="132"/>
    </row>
    <row r="61" spans="1:8" x14ac:dyDescent="0.25">
      <c r="A61" s="63"/>
      <c r="B61" s="63"/>
      <c r="C61" s="63" t="s">
        <v>251</v>
      </c>
      <c r="D61" s="63" t="s">
        <v>22</v>
      </c>
      <c r="E61" s="63"/>
      <c r="F61" s="62">
        <v>2</v>
      </c>
      <c r="G61" s="132" t="s">
        <v>252</v>
      </c>
      <c r="H61" s="132"/>
    </row>
    <row r="62" spans="1:8" x14ac:dyDescent="0.25">
      <c r="A62" s="63"/>
      <c r="B62" s="63"/>
      <c r="C62" s="63" t="s">
        <v>253</v>
      </c>
      <c r="D62" s="63" t="s">
        <v>22</v>
      </c>
      <c r="E62" s="63"/>
      <c r="F62" s="62">
        <v>2</v>
      </c>
      <c r="G62" s="132" t="s">
        <v>254</v>
      </c>
      <c r="H62" s="132"/>
    </row>
    <row r="63" spans="1:8" x14ac:dyDescent="0.25">
      <c r="A63" s="63"/>
      <c r="B63" s="63" t="s">
        <v>255</v>
      </c>
      <c r="C63" s="63"/>
      <c r="D63" s="63"/>
      <c r="E63" s="63"/>
      <c r="F63" s="62"/>
      <c r="G63" s="132"/>
      <c r="H63" s="132"/>
    </row>
    <row r="64" spans="1:8" x14ac:dyDescent="0.25">
      <c r="A64" s="63"/>
      <c r="B64" s="63"/>
      <c r="C64" s="63" t="s">
        <v>256</v>
      </c>
      <c r="D64" s="63" t="s">
        <v>21</v>
      </c>
      <c r="E64" s="63"/>
      <c r="F64" s="62">
        <v>2</v>
      </c>
      <c r="G64" s="132" t="s">
        <v>237</v>
      </c>
      <c r="H64" s="132"/>
    </row>
    <row r="65" spans="1:8" x14ac:dyDescent="0.25">
      <c r="A65" s="63"/>
      <c r="B65" s="63"/>
      <c r="C65" s="63" t="s">
        <v>257</v>
      </c>
      <c r="D65" s="63" t="s">
        <v>21</v>
      </c>
      <c r="E65" s="63"/>
      <c r="F65" s="62">
        <v>2</v>
      </c>
      <c r="G65" s="132" t="s">
        <v>237</v>
      </c>
      <c r="H65" s="132"/>
    </row>
    <row r="66" spans="1:8" x14ac:dyDescent="0.25">
      <c r="A66" s="63"/>
      <c r="B66" s="63"/>
      <c r="C66" s="63" t="s">
        <v>258</v>
      </c>
      <c r="D66" s="63" t="s">
        <v>21</v>
      </c>
      <c r="E66" s="63"/>
      <c r="F66" s="62">
        <v>3</v>
      </c>
      <c r="G66" s="132" t="s">
        <v>237</v>
      </c>
      <c r="H66" s="132"/>
    </row>
    <row r="67" spans="1:8" x14ac:dyDescent="0.25">
      <c r="A67" s="63"/>
      <c r="B67" s="63"/>
      <c r="C67" s="63" t="s">
        <v>259</v>
      </c>
      <c r="D67" s="63" t="s">
        <v>22</v>
      </c>
      <c r="E67" s="63"/>
      <c r="F67" s="62">
        <v>1</v>
      </c>
      <c r="G67" s="132" t="s">
        <v>237</v>
      </c>
      <c r="H67" s="132"/>
    </row>
    <row r="68" spans="1:8" x14ac:dyDescent="0.25">
      <c r="A68" s="63"/>
      <c r="B68" s="63"/>
      <c r="C68" s="63" t="s">
        <v>260</v>
      </c>
      <c r="D68" s="63" t="s">
        <v>22</v>
      </c>
      <c r="E68" s="63"/>
      <c r="F68" s="62">
        <v>1</v>
      </c>
      <c r="G68" s="132" t="s">
        <v>237</v>
      </c>
      <c r="H68" s="132"/>
    </row>
    <row r="69" spans="1:8" x14ac:dyDescent="0.25">
      <c r="A69" s="63"/>
      <c r="B69" s="63" t="s">
        <v>261</v>
      </c>
      <c r="C69" s="63"/>
      <c r="D69" s="63"/>
      <c r="E69" s="63"/>
      <c r="F69" s="62"/>
      <c r="G69" s="132"/>
      <c r="H69" s="132"/>
    </row>
    <row r="70" spans="1:8" x14ac:dyDescent="0.25">
      <c r="A70" s="63"/>
      <c r="B70" s="63"/>
      <c r="C70" s="63" t="s">
        <v>262</v>
      </c>
      <c r="D70" s="63" t="s">
        <v>21</v>
      </c>
      <c r="E70" s="63"/>
      <c r="F70" s="62">
        <v>2</v>
      </c>
      <c r="G70" s="132" t="s">
        <v>237</v>
      </c>
      <c r="H70" s="132"/>
    </row>
    <row r="71" spans="1:8" x14ac:dyDescent="0.25">
      <c r="A71" s="63"/>
      <c r="B71" s="63"/>
      <c r="C71" s="63" t="s">
        <v>263</v>
      </c>
      <c r="D71" s="63" t="s">
        <v>21</v>
      </c>
      <c r="E71" s="63"/>
      <c r="F71" s="62">
        <v>3</v>
      </c>
      <c r="G71" s="132" t="s">
        <v>237</v>
      </c>
      <c r="H71" s="132"/>
    </row>
    <row r="72" spans="1:8" x14ac:dyDescent="0.25">
      <c r="A72" s="63"/>
      <c r="B72" s="63"/>
      <c r="C72" s="63" t="s">
        <v>264</v>
      </c>
      <c r="D72" s="63" t="s">
        <v>21</v>
      </c>
      <c r="E72" s="63"/>
      <c r="F72" s="62">
        <v>2</v>
      </c>
      <c r="G72" s="132" t="s">
        <v>237</v>
      </c>
      <c r="H72" s="132"/>
    </row>
    <row r="73" spans="1:8" x14ac:dyDescent="0.25">
      <c r="A73" s="63"/>
      <c r="B73" s="63"/>
      <c r="C73" s="63" t="s">
        <v>265</v>
      </c>
      <c r="D73" s="63" t="s">
        <v>22</v>
      </c>
      <c r="E73" s="63"/>
      <c r="F73" s="62">
        <v>1</v>
      </c>
      <c r="G73" s="132" t="s">
        <v>237</v>
      </c>
      <c r="H73" s="132"/>
    </row>
    <row r="74" spans="1:8" x14ac:dyDescent="0.25">
      <c r="A74" s="63"/>
      <c r="B74" s="63"/>
      <c r="C74" s="63" t="s">
        <v>266</v>
      </c>
      <c r="D74" s="63" t="s">
        <v>22</v>
      </c>
      <c r="E74" s="63"/>
      <c r="F74" s="62">
        <v>1</v>
      </c>
      <c r="G74" s="132" t="s">
        <v>237</v>
      </c>
      <c r="H74" s="132"/>
    </row>
    <row r="75" spans="1:8" x14ac:dyDescent="0.25">
      <c r="A75" s="63"/>
      <c r="B75" s="63"/>
      <c r="C75" s="63" t="s">
        <v>267</v>
      </c>
      <c r="D75" s="63" t="s">
        <v>22</v>
      </c>
      <c r="E75" s="63"/>
      <c r="F75" s="62">
        <v>4</v>
      </c>
      <c r="G75" s="132" t="s">
        <v>268</v>
      </c>
      <c r="H75" s="132"/>
    </row>
    <row r="76" spans="1:8" x14ac:dyDescent="0.25">
      <c r="A76" s="63"/>
      <c r="B76" s="63"/>
      <c r="C76" s="63" t="s">
        <v>269</v>
      </c>
      <c r="D76" s="63" t="s">
        <v>22</v>
      </c>
      <c r="E76" s="63"/>
      <c r="F76" s="62">
        <v>2</v>
      </c>
      <c r="G76" s="132" t="s">
        <v>270</v>
      </c>
      <c r="H76" s="132"/>
    </row>
    <row r="77" spans="1:8" x14ac:dyDescent="0.25">
      <c r="A77" s="63" t="s">
        <v>954</v>
      </c>
      <c r="B77" s="63"/>
      <c r="C77" s="63"/>
      <c r="D77" s="63"/>
      <c r="E77" s="63"/>
      <c r="F77" s="62"/>
      <c r="G77" s="132"/>
      <c r="H77" s="132"/>
    </row>
    <row r="78" spans="1:8" x14ac:dyDescent="0.25">
      <c r="A78" s="63"/>
      <c r="B78" s="63" t="s">
        <v>271</v>
      </c>
      <c r="C78" s="63"/>
      <c r="D78" s="63"/>
      <c r="E78" s="63"/>
      <c r="F78" s="62"/>
      <c r="G78" s="132"/>
      <c r="H78" s="132"/>
    </row>
    <row r="79" spans="1:8" x14ac:dyDescent="0.25">
      <c r="A79" s="63"/>
      <c r="B79" s="63"/>
      <c r="C79" s="63" t="s">
        <v>272</v>
      </c>
      <c r="D79" s="63" t="s">
        <v>21</v>
      </c>
      <c r="E79" s="63"/>
      <c r="F79" s="62">
        <v>2</v>
      </c>
      <c r="G79" s="132" t="s">
        <v>237</v>
      </c>
      <c r="H79" s="132"/>
    </row>
    <row r="80" spans="1:8" x14ac:dyDescent="0.25">
      <c r="A80" s="63"/>
      <c r="B80" s="63"/>
      <c r="C80" s="63" t="s">
        <v>273</v>
      </c>
      <c r="D80" s="63" t="s">
        <v>21</v>
      </c>
      <c r="E80" s="63"/>
      <c r="F80" s="62">
        <v>2</v>
      </c>
      <c r="G80" s="132" t="s">
        <v>237</v>
      </c>
      <c r="H80" s="132"/>
    </row>
    <row r="81" spans="1:8" x14ac:dyDescent="0.25">
      <c r="A81" s="63"/>
      <c r="B81" s="63"/>
      <c r="C81" s="63" t="s">
        <v>274</v>
      </c>
      <c r="D81" s="63" t="s">
        <v>21</v>
      </c>
      <c r="E81" s="63"/>
      <c r="F81" s="62">
        <v>3</v>
      </c>
      <c r="G81" s="132" t="s">
        <v>237</v>
      </c>
      <c r="H81" s="132"/>
    </row>
    <row r="82" spans="1:8" x14ac:dyDescent="0.25">
      <c r="A82" s="63"/>
      <c r="B82" s="63"/>
      <c r="C82" s="63" t="s">
        <v>275</v>
      </c>
      <c r="D82" s="63" t="s">
        <v>22</v>
      </c>
      <c r="E82" s="63"/>
      <c r="F82" s="62">
        <v>1</v>
      </c>
      <c r="G82" s="132" t="s">
        <v>237</v>
      </c>
      <c r="H82" s="132"/>
    </row>
    <row r="83" spans="1:8" x14ac:dyDescent="0.25">
      <c r="A83" s="63"/>
      <c r="B83" s="63"/>
      <c r="C83" s="63" t="s">
        <v>275</v>
      </c>
      <c r="D83" s="63" t="s">
        <v>22</v>
      </c>
      <c r="E83" s="63"/>
      <c r="F83" s="62">
        <v>1</v>
      </c>
      <c r="G83" s="132" t="s">
        <v>237</v>
      </c>
      <c r="H83" s="132"/>
    </row>
    <row r="84" spans="1:8" x14ac:dyDescent="0.25">
      <c r="A84" s="63"/>
      <c r="B84" s="63"/>
      <c r="C84" s="63" t="s">
        <v>276</v>
      </c>
      <c r="D84" s="63" t="s">
        <v>22</v>
      </c>
      <c r="E84" s="63"/>
      <c r="F84" s="62">
        <v>3</v>
      </c>
      <c r="G84" s="132" t="s">
        <v>277</v>
      </c>
      <c r="H84" s="132"/>
    </row>
    <row r="85" spans="1:8" x14ac:dyDescent="0.25">
      <c r="A85" s="63"/>
      <c r="B85" s="63"/>
      <c r="C85" s="63" t="s">
        <v>278</v>
      </c>
      <c r="D85" s="63" t="s">
        <v>22</v>
      </c>
      <c r="E85" s="63"/>
      <c r="F85" s="62">
        <v>3</v>
      </c>
      <c r="G85" s="132" t="s">
        <v>279</v>
      </c>
      <c r="H85" s="132"/>
    </row>
    <row r="86" spans="1:8" x14ac:dyDescent="0.25">
      <c r="A86" s="63"/>
      <c r="B86" s="63"/>
      <c r="C86" s="63" t="s">
        <v>280</v>
      </c>
      <c r="D86" s="63" t="s">
        <v>22</v>
      </c>
      <c r="E86" s="63"/>
      <c r="F86" s="62">
        <v>5</v>
      </c>
      <c r="G86" s="132" t="s">
        <v>281</v>
      </c>
      <c r="H86" s="132"/>
    </row>
    <row r="87" spans="1:8" x14ac:dyDescent="0.25">
      <c r="A87" s="63"/>
      <c r="B87" s="63"/>
      <c r="C87" s="63" t="s">
        <v>282</v>
      </c>
      <c r="D87" s="63" t="s">
        <v>22</v>
      </c>
      <c r="E87" s="63"/>
      <c r="F87" s="62">
        <v>2</v>
      </c>
      <c r="G87" s="132" t="s">
        <v>283</v>
      </c>
      <c r="H87" s="132"/>
    </row>
    <row r="88" spans="1:8" x14ac:dyDescent="0.25">
      <c r="A88" s="63"/>
      <c r="B88" s="63" t="s">
        <v>284</v>
      </c>
      <c r="C88" s="63"/>
      <c r="D88" s="63"/>
      <c r="E88" s="63"/>
      <c r="F88" s="62"/>
      <c r="G88" s="132"/>
      <c r="H88" s="132"/>
    </row>
    <row r="89" spans="1:8" x14ac:dyDescent="0.25">
      <c r="A89" s="63"/>
      <c r="B89" s="63"/>
      <c r="C89" s="63" t="s">
        <v>285</v>
      </c>
      <c r="D89" s="63" t="s">
        <v>21</v>
      </c>
      <c r="E89" s="63"/>
      <c r="F89" s="62">
        <v>2</v>
      </c>
      <c r="G89" s="132" t="s">
        <v>237</v>
      </c>
      <c r="H89" s="132"/>
    </row>
    <row r="90" spans="1:8" x14ac:dyDescent="0.25">
      <c r="A90" s="63"/>
      <c r="B90" s="63"/>
      <c r="C90" s="63" t="s">
        <v>286</v>
      </c>
      <c r="D90" s="63" t="s">
        <v>21</v>
      </c>
      <c r="E90" s="63"/>
      <c r="F90" s="62">
        <v>2</v>
      </c>
      <c r="G90" s="132" t="s">
        <v>237</v>
      </c>
      <c r="H90" s="132"/>
    </row>
    <row r="91" spans="1:8" x14ac:dyDescent="0.25">
      <c r="A91" s="63"/>
      <c r="B91" s="63"/>
      <c r="C91" s="63" t="s">
        <v>287</v>
      </c>
      <c r="D91" s="63" t="s">
        <v>21</v>
      </c>
      <c r="E91" s="63"/>
      <c r="F91" s="62">
        <v>2</v>
      </c>
      <c r="G91" s="132" t="s">
        <v>237</v>
      </c>
      <c r="H91" s="132"/>
    </row>
    <row r="92" spans="1:8" x14ac:dyDescent="0.25">
      <c r="A92" s="63"/>
      <c r="B92" s="63"/>
      <c r="C92" s="63" t="s">
        <v>288</v>
      </c>
      <c r="D92" s="63" t="s">
        <v>22</v>
      </c>
      <c r="E92" s="63"/>
      <c r="F92" s="62">
        <v>1</v>
      </c>
      <c r="G92" s="132" t="s">
        <v>237</v>
      </c>
      <c r="H92" s="132"/>
    </row>
    <row r="93" spans="1:8" x14ac:dyDescent="0.25">
      <c r="A93" s="63"/>
      <c r="B93" s="63"/>
      <c r="C93" s="63" t="s">
        <v>288</v>
      </c>
      <c r="D93" s="63" t="s">
        <v>22</v>
      </c>
      <c r="E93" s="63"/>
      <c r="F93" s="62">
        <v>1</v>
      </c>
      <c r="G93" s="132" t="s">
        <v>237</v>
      </c>
      <c r="H93" s="132"/>
    </row>
    <row r="94" spans="1:8" x14ac:dyDescent="0.25">
      <c r="A94" s="63" t="s">
        <v>23</v>
      </c>
      <c r="B94" s="63"/>
      <c r="C94" s="63"/>
      <c r="D94" s="63"/>
      <c r="E94" s="63"/>
      <c r="F94" s="62"/>
      <c r="G94" s="132"/>
      <c r="H94" s="132"/>
    </row>
    <row r="95" spans="1:8" x14ac:dyDescent="0.25">
      <c r="A95" s="63"/>
      <c r="B95" s="63" t="s">
        <v>24</v>
      </c>
      <c r="C95" s="63"/>
      <c r="D95" s="63"/>
      <c r="E95" s="63"/>
      <c r="F95" s="62"/>
      <c r="G95" s="132"/>
      <c r="H95" s="132"/>
    </row>
    <row r="96" spans="1:8" x14ac:dyDescent="0.25">
      <c r="A96" s="63"/>
      <c r="B96" s="63"/>
      <c r="C96" s="63" t="s">
        <v>289</v>
      </c>
      <c r="D96" s="63" t="s">
        <v>22</v>
      </c>
      <c r="E96" s="63"/>
      <c r="F96" s="62">
        <v>3</v>
      </c>
      <c r="G96" s="132" t="s">
        <v>290</v>
      </c>
      <c r="H96" s="132"/>
    </row>
    <row r="97" spans="1:8" x14ac:dyDescent="0.25">
      <c r="A97" s="63"/>
      <c r="B97" s="63" t="s">
        <v>25</v>
      </c>
      <c r="C97" s="63"/>
      <c r="D97" s="63"/>
      <c r="E97" s="63"/>
      <c r="F97" s="62"/>
      <c r="G97" s="132"/>
      <c r="H97" s="132"/>
    </row>
    <row r="98" spans="1:8" x14ac:dyDescent="0.25">
      <c r="A98" s="63"/>
      <c r="B98" s="63"/>
      <c r="C98" s="63" t="s">
        <v>291</v>
      </c>
      <c r="D98" s="63" t="s">
        <v>22</v>
      </c>
      <c r="E98" s="63"/>
      <c r="F98" s="62">
        <v>7</v>
      </c>
      <c r="G98" s="132" t="s">
        <v>292</v>
      </c>
      <c r="H98" s="132"/>
    </row>
    <row r="99" spans="1:8" x14ac:dyDescent="0.25">
      <c r="A99" s="63"/>
      <c r="B99" s="63"/>
      <c r="C99" s="63" t="s">
        <v>293</v>
      </c>
      <c r="D99" s="63" t="s">
        <v>22</v>
      </c>
      <c r="E99" s="63"/>
      <c r="F99" s="62">
        <v>2</v>
      </c>
      <c r="G99" s="132" t="s">
        <v>294</v>
      </c>
      <c r="H99" s="132"/>
    </row>
    <row r="100" spans="1:8" x14ac:dyDescent="0.25">
      <c r="A100" s="63"/>
      <c r="B100" s="63"/>
      <c r="C100" s="63" t="s">
        <v>295</v>
      </c>
      <c r="D100" s="63" t="s">
        <v>22</v>
      </c>
      <c r="E100" s="63"/>
      <c r="F100" s="62">
        <v>3</v>
      </c>
      <c r="G100" s="132" t="s">
        <v>296</v>
      </c>
      <c r="H100" s="132"/>
    </row>
    <row r="101" spans="1:8" x14ac:dyDescent="0.25">
      <c r="A101" s="63"/>
      <c r="B101" s="63"/>
      <c r="C101" s="63" t="s">
        <v>297</v>
      </c>
      <c r="D101" s="63" t="s">
        <v>22</v>
      </c>
      <c r="E101" s="63"/>
      <c r="F101" s="62">
        <v>4</v>
      </c>
      <c r="G101" s="132" t="s">
        <v>298</v>
      </c>
      <c r="H101" s="132"/>
    </row>
    <row r="102" spans="1:8" x14ac:dyDescent="0.25">
      <c r="A102" s="63"/>
      <c r="B102" s="63"/>
      <c r="C102" s="63" t="s">
        <v>299</v>
      </c>
      <c r="D102" s="63" t="s">
        <v>22</v>
      </c>
      <c r="E102" s="63"/>
      <c r="F102" s="62">
        <v>2</v>
      </c>
      <c r="G102" s="132" t="s">
        <v>300</v>
      </c>
      <c r="H102" s="132"/>
    </row>
    <row r="103" spans="1:8" x14ac:dyDescent="0.25">
      <c r="A103" s="63"/>
      <c r="B103" s="63"/>
      <c r="C103" s="63" t="s">
        <v>301</v>
      </c>
      <c r="D103" s="63" t="s">
        <v>22</v>
      </c>
      <c r="E103" s="63"/>
      <c r="F103" s="62">
        <v>4</v>
      </c>
      <c r="G103" s="132" t="s">
        <v>302</v>
      </c>
      <c r="H103" s="132"/>
    </row>
  </sheetData>
  <mergeCells count="103">
    <mergeCell ref="G103:H103"/>
    <mergeCell ref="G98:H98"/>
    <mergeCell ref="G99:H99"/>
    <mergeCell ref="G100:H100"/>
    <mergeCell ref="G101:H101"/>
    <mergeCell ref="G102:H102"/>
    <mergeCell ref="G93:H93"/>
    <mergeCell ref="G94:H94"/>
    <mergeCell ref="G95:H95"/>
    <mergeCell ref="G96:H96"/>
    <mergeCell ref="G97:H97"/>
    <mergeCell ref="G88:H88"/>
    <mergeCell ref="G89:H89"/>
    <mergeCell ref="G90:H90"/>
    <mergeCell ref="G91:H91"/>
    <mergeCell ref="G92:H92"/>
    <mergeCell ref="G83:H83"/>
    <mergeCell ref="G84:H84"/>
    <mergeCell ref="G85:H85"/>
    <mergeCell ref="G86:H86"/>
    <mergeCell ref="G87:H87"/>
    <mergeCell ref="G78:H78"/>
    <mergeCell ref="G79:H79"/>
    <mergeCell ref="G80:H80"/>
    <mergeCell ref="G81:H81"/>
    <mergeCell ref="G82:H82"/>
    <mergeCell ref="G73:H73"/>
    <mergeCell ref="G74:H74"/>
    <mergeCell ref="G75:H75"/>
    <mergeCell ref="G76:H76"/>
    <mergeCell ref="G77:H77"/>
    <mergeCell ref="G68:H68"/>
    <mergeCell ref="G69:H69"/>
    <mergeCell ref="G70:H70"/>
    <mergeCell ref="G71:H71"/>
    <mergeCell ref="G72:H72"/>
    <mergeCell ref="G63:H63"/>
    <mergeCell ref="G64:H64"/>
    <mergeCell ref="G65:H65"/>
    <mergeCell ref="G66:H66"/>
    <mergeCell ref="G67:H67"/>
    <mergeCell ref="G58:H58"/>
    <mergeCell ref="G59:H59"/>
    <mergeCell ref="G60:H60"/>
    <mergeCell ref="G61:H61"/>
    <mergeCell ref="G62:H62"/>
    <mergeCell ref="G53:H53"/>
    <mergeCell ref="G54:H54"/>
    <mergeCell ref="G55:H55"/>
    <mergeCell ref="G56:H56"/>
    <mergeCell ref="G57:H57"/>
    <mergeCell ref="G48:H48"/>
    <mergeCell ref="G49:H49"/>
    <mergeCell ref="G50:H50"/>
    <mergeCell ref="G51:H51"/>
    <mergeCell ref="G52:H52"/>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6:H46"/>
    <mergeCell ref="G47:H47"/>
    <mergeCell ref="G41:H41"/>
    <mergeCell ref="G42:H42"/>
    <mergeCell ref="G43:H43"/>
    <mergeCell ref="G44:H44"/>
    <mergeCell ref="G45:H45"/>
  </mergeCells>
  <phoneticPr fontId="1" type="noConversion"/>
  <dataValidations count="1">
    <dataValidation type="list" allowBlank="1" showInputMessage="1" showErrorMessage="1" sqref="D4:D12 D14:D21 D98:D103 D45:D46 D38:D43 D48 D51:D62 D64:D76 D79:D87 D96 D89:D93 D23:D35">
      <formula1>"流程图,状态机,等价类划分&amp;数据组合,直接分析"</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N87"/>
  <sheetViews>
    <sheetView topLeftCell="A31" zoomScaleNormal="100" workbookViewId="0">
      <selection activeCell="S17" sqref="S17"/>
    </sheetView>
  </sheetViews>
  <sheetFormatPr defaultColWidth="8.90625" defaultRowHeight="14" x14ac:dyDescent="0.25"/>
  <cols>
    <col min="1" max="16384" width="8.90625" style="60"/>
  </cols>
  <sheetData>
    <row r="1" spans="1:14" x14ac:dyDescent="0.25">
      <c r="A1" s="59" t="s">
        <v>162</v>
      </c>
      <c r="B1" s="135" t="s">
        <v>163</v>
      </c>
      <c r="C1" s="136"/>
      <c r="D1" s="136"/>
      <c r="E1" s="136"/>
      <c r="F1" s="136"/>
      <c r="G1" s="136"/>
      <c r="H1" s="136"/>
      <c r="I1" s="136"/>
      <c r="J1" s="136"/>
      <c r="K1" s="136"/>
      <c r="L1" s="136"/>
      <c r="M1" s="136"/>
      <c r="N1" s="137"/>
    </row>
    <row r="2" spans="1:14" x14ac:dyDescent="0.25">
      <c r="A2" s="138" t="s">
        <v>164</v>
      </c>
      <c r="B2" s="139"/>
      <c r="C2" s="139"/>
      <c r="D2" s="139"/>
      <c r="E2" s="139"/>
      <c r="F2" s="139"/>
      <c r="G2" s="139"/>
      <c r="H2" s="139"/>
      <c r="I2" s="139"/>
      <c r="J2" s="139"/>
      <c r="K2" s="139"/>
      <c r="L2" s="139"/>
      <c r="M2" s="139"/>
      <c r="N2" s="139"/>
    </row>
    <row r="3" spans="1:14" x14ac:dyDescent="0.25">
      <c r="A3" s="138"/>
      <c r="B3" s="139"/>
      <c r="C3" s="139"/>
      <c r="D3" s="139"/>
      <c r="E3" s="139"/>
      <c r="F3" s="139"/>
      <c r="G3" s="139"/>
      <c r="H3" s="139"/>
      <c r="I3" s="139"/>
      <c r="J3" s="139"/>
      <c r="K3" s="139"/>
      <c r="L3" s="139"/>
      <c r="M3" s="139"/>
      <c r="N3" s="139"/>
    </row>
    <row r="4" spans="1:14" x14ac:dyDescent="0.25">
      <c r="A4" s="138"/>
      <c r="B4" s="139"/>
      <c r="C4" s="139"/>
      <c r="D4" s="139"/>
      <c r="E4" s="139"/>
      <c r="F4" s="139"/>
      <c r="G4" s="139"/>
      <c r="H4" s="139"/>
      <c r="I4" s="139"/>
      <c r="J4" s="139"/>
      <c r="K4" s="139"/>
      <c r="L4" s="139"/>
      <c r="M4" s="139"/>
      <c r="N4" s="139"/>
    </row>
    <row r="5" spans="1:14" x14ac:dyDescent="0.25">
      <c r="A5" s="138"/>
      <c r="B5" s="139"/>
      <c r="C5" s="139"/>
      <c r="D5" s="139"/>
      <c r="E5" s="139"/>
      <c r="F5" s="139"/>
      <c r="G5" s="139"/>
      <c r="H5" s="139"/>
      <c r="I5" s="139"/>
      <c r="J5" s="139"/>
      <c r="K5" s="139"/>
      <c r="L5" s="139"/>
      <c r="M5" s="139"/>
      <c r="N5" s="139"/>
    </row>
    <row r="6" spans="1:14" x14ac:dyDescent="0.25">
      <c r="A6" s="138"/>
      <c r="B6" s="139"/>
      <c r="C6" s="139"/>
      <c r="D6" s="139"/>
      <c r="E6" s="139"/>
      <c r="F6" s="139"/>
      <c r="G6" s="139"/>
      <c r="H6" s="139"/>
      <c r="I6" s="139"/>
      <c r="J6" s="139"/>
      <c r="K6" s="139"/>
      <c r="L6" s="139"/>
      <c r="M6" s="139"/>
      <c r="N6" s="139"/>
    </row>
    <row r="7" spans="1:14" x14ac:dyDescent="0.25">
      <c r="A7" s="138"/>
      <c r="B7" s="139"/>
      <c r="C7" s="139"/>
      <c r="D7" s="139"/>
      <c r="E7" s="139"/>
      <c r="F7" s="139"/>
      <c r="G7" s="139"/>
      <c r="H7" s="139"/>
      <c r="I7" s="139"/>
      <c r="J7" s="139"/>
      <c r="K7" s="139"/>
      <c r="L7" s="139"/>
      <c r="M7" s="139"/>
      <c r="N7" s="139"/>
    </row>
    <row r="8" spans="1:14" x14ac:dyDescent="0.25">
      <c r="A8" s="138"/>
      <c r="B8" s="139"/>
      <c r="C8" s="139"/>
      <c r="D8" s="139"/>
      <c r="E8" s="139"/>
      <c r="F8" s="139"/>
      <c r="G8" s="139"/>
      <c r="H8" s="139"/>
      <c r="I8" s="139"/>
      <c r="J8" s="139"/>
      <c r="K8" s="139"/>
      <c r="L8" s="139"/>
      <c r="M8" s="139"/>
      <c r="N8" s="139"/>
    </row>
    <row r="9" spans="1:14" x14ac:dyDescent="0.25">
      <c r="A9" s="138"/>
      <c r="B9" s="139"/>
      <c r="C9" s="139"/>
      <c r="D9" s="139"/>
      <c r="E9" s="139"/>
      <c r="F9" s="139"/>
      <c r="G9" s="139"/>
      <c r="H9" s="139"/>
      <c r="I9" s="139"/>
      <c r="J9" s="139"/>
      <c r="K9" s="139"/>
      <c r="L9" s="139"/>
      <c r="M9" s="139"/>
      <c r="N9" s="139"/>
    </row>
    <row r="10" spans="1:14" x14ac:dyDescent="0.25">
      <c r="A10" s="138"/>
      <c r="B10" s="139"/>
      <c r="C10" s="139"/>
      <c r="D10" s="139"/>
      <c r="E10" s="139"/>
      <c r="F10" s="139"/>
      <c r="G10" s="139"/>
      <c r="H10" s="139"/>
      <c r="I10" s="139"/>
      <c r="J10" s="139"/>
      <c r="K10" s="139"/>
      <c r="L10" s="139"/>
      <c r="M10" s="139"/>
      <c r="N10" s="139"/>
    </row>
    <row r="11" spans="1:14" x14ac:dyDescent="0.25">
      <c r="A11" s="138"/>
      <c r="B11" s="139"/>
      <c r="C11" s="139"/>
      <c r="D11" s="139"/>
      <c r="E11" s="139"/>
      <c r="F11" s="139"/>
      <c r="G11" s="139"/>
      <c r="H11" s="139"/>
      <c r="I11" s="139"/>
      <c r="J11" s="139"/>
      <c r="K11" s="139"/>
      <c r="L11" s="139"/>
      <c r="M11" s="139"/>
      <c r="N11" s="139"/>
    </row>
    <row r="12" spans="1:14" x14ac:dyDescent="0.25">
      <c r="A12" s="138"/>
      <c r="B12" s="139"/>
      <c r="C12" s="139"/>
      <c r="D12" s="139"/>
      <c r="E12" s="139"/>
      <c r="F12" s="139"/>
      <c r="G12" s="139"/>
      <c r="H12" s="139"/>
      <c r="I12" s="139"/>
      <c r="J12" s="139"/>
      <c r="K12" s="139"/>
      <c r="L12" s="139"/>
      <c r="M12" s="139"/>
      <c r="N12" s="139"/>
    </row>
    <row r="13" spans="1:14" x14ac:dyDescent="0.25">
      <c r="A13" s="138"/>
      <c r="B13" s="139"/>
      <c r="C13" s="139"/>
      <c r="D13" s="139"/>
      <c r="E13" s="139"/>
      <c r="F13" s="139"/>
      <c r="G13" s="139"/>
      <c r="H13" s="139"/>
      <c r="I13" s="139"/>
      <c r="J13" s="139"/>
      <c r="K13" s="139"/>
      <c r="L13" s="139"/>
      <c r="M13" s="139"/>
      <c r="N13" s="139"/>
    </row>
    <row r="14" spans="1:14" x14ac:dyDescent="0.25">
      <c r="A14" s="138"/>
      <c r="B14" s="139"/>
      <c r="C14" s="139"/>
      <c r="D14" s="139"/>
      <c r="E14" s="139"/>
      <c r="F14" s="139"/>
      <c r="G14" s="139"/>
      <c r="H14" s="139"/>
      <c r="I14" s="139"/>
      <c r="J14" s="139"/>
      <c r="K14" s="139"/>
      <c r="L14" s="139"/>
      <c r="M14" s="139"/>
      <c r="N14" s="139"/>
    </row>
    <row r="15" spans="1:14" x14ac:dyDescent="0.25">
      <c r="A15" s="138"/>
      <c r="B15" s="139"/>
      <c r="C15" s="139"/>
      <c r="D15" s="139"/>
      <c r="E15" s="139"/>
      <c r="F15" s="139"/>
      <c r="G15" s="139"/>
      <c r="H15" s="139"/>
      <c r="I15" s="139"/>
      <c r="J15" s="139"/>
      <c r="K15" s="139"/>
      <c r="L15" s="139"/>
      <c r="M15" s="139"/>
      <c r="N15" s="139"/>
    </row>
    <row r="16" spans="1:14" x14ac:dyDescent="0.25">
      <c r="A16" s="138"/>
      <c r="B16" s="139"/>
      <c r="C16" s="139"/>
      <c r="D16" s="139"/>
      <c r="E16" s="139"/>
      <c r="F16" s="139"/>
      <c r="G16" s="139"/>
      <c r="H16" s="139"/>
      <c r="I16" s="139"/>
      <c r="J16" s="139"/>
      <c r="K16" s="139"/>
      <c r="L16" s="139"/>
      <c r="M16" s="139"/>
      <c r="N16" s="139"/>
    </row>
    <row r="17" spans="1:14" x14ac:dyDescent="0.25">
      <c r="A17" s="138"/>
      <c r="B17" s="139"/>
      <c r="C17" s="139"/>
      <c r="D17" s="139"/>
      <c r="E17" s="139"/>
      <c r="F17" s="139"/>
      <c r="G17" s="139"/>
      <c r="H17" s="139"/>
      <c r="I17" s="139"/>
      <c r="J17" s="139"/>
      <c r="K17" s="139"/>
      <c r="L17" s="139"/>
      <c r="M17" s="139"/>
      <c r="N17" s="139"/>
    </row>
    <row r="18" spans="1:14" x14ac:dyDescent="0.25">
      <c r="A18" s="138"/>
      <c r="B18" s="139"/>
      <c r="C18" s="139"/>
      <c r="D18" s="139"/>
      <c r="E18" s="139"/>
      <c r="F18" s="139"/>
      <c r="G18" s="139"/>
      <c r="H18" s="139"/>
      <c r="I18" s="139"/>
      <c r="J18" s="139"/>
      <c r="K18" s="139"/>
      <c r="L18" s="139"/>
      <c r="M18" s="139"/>
      <c r="N18" s="139"/>
    </row>
    <row r="19" spans="1:14" x14ac:dyDescent="0.25">
      <c r="A19" s="138"/>
      <c r="B19" s="139"/>
      <c r="C19" s="139"/>
      <c r="D19" s="139"/>
      <c r="E19" s="139"/>
      <c r="F19" s="139"/>
      <c r="G19" s="139"/>
      <c r="H19" s="139"/>
      <c r="I19" s="139"/>
      <c r="J19" s="139"/>
      <c r="K19" s="139"/>
      <c r="L19" s="139"/>
      <c r="M19" s="139"/>
      <c r="N19" s="139"/>
    </row>
    <row r="20" spans="1:14" x14ac:dyDescent="0.25">
      <c r="A20" s="138"/>
      <c r="B20" s="139"/>
      <c r="C20" s="139"/>
      <c r="D20" s="139"/>
      <c r="E20" s="139"/>
      <c r="F20" s="139"/>
      <c r="G20" s="139"/>
      <c r="H20" s="139"/>
      <c r="I20" s="139"/>
      <c r="J20" s="139"/>
      <c r="K20" s="139"/>
      <c r="L20" s="139"/>
      <c r="M20" s="139"/>
      <c r="N20" s="139"/>
    </row>
    <row r="21" spans="1:14" x14ac:dyDescent="0.25">
      <c r="A21" s="138"/>
      <c r="B21" s="139"/>
      <c r="C21" s="139"/>
      <c r="D21" s="139"/>
      <c r="E21" s="139"/>
      <c r="F21" s="139"/>
      <c r="G21" s="139"/>
      <c r="H21" s="139"/>
      <c r="I21" s="139"/>
      <c r="J21" s="139"/>
      <c r="K21" s="139"/>
      <c r="L21" s="139"/>
      <c r="M21" s="139"/>
      <c r="N21" s="139"/>
    </row>
    <row r="23" spans="1:14" x14ac:dyDescent="0.25">
      <c r="A23" s="59" t="s">
        <v>162</v>
      </c>
      <c r="B23" s="135" t="s">
        <v>165</v>
      </c>
      <c r="C23" s="136"/>
      <c r="D23" s="136"/>
      <c r="E23" s="136"/>
      <c r="F23" s="136"/>
      <c r="G23" s="136"/>
      <c r="H23" s="136"/>
      <c r="I23" s="136"/>
      <c r="J23" s="136"/>
      <c r="K23" s="136"/>
      <c r="L23" s="136"/>
      <c r="M23" s="136"/>
      <c r="N23" s="137"/>
    </row>
    <row r="24" spans="1:14" x14ac:dyDescent="0.25">
      <c r="A24" s="138" t="s">
        <v>166</v>
      </c>
      <c r="B24" s="139"/>
      <c r="C24" s="139"/>
      <c r="D24" s="139"/>
      <c r="E24" s="139"/>
      <c r="F24" s="139"/>
      <c r="G24" s="139"/>
      <c r="H24" s="139"/>
      <c r="I24" s="139"/>
      <c r="J24" s="139"/>
      <c r="K24" s="139"/>
      <c r="L24" s="139"/>
      <c r="M24" s="139"/>
      <c r="N24" s="139"/>
    </row>
    <row r="25" spans="1:14" x14ac:dyDescent="0.25">
      <c r="A25" s="138"/>
      <c r="B25" s="139"/>
      <c r="C25" s="139"/>
      <c r="D25" s="139"/>
      <c r="E25" s="139"/>
      <c r="F25" s="139"/>
      <c r="G25" s="139"/>
      <c r="H25" s="139"/>
      <c r="I25" s="139"/>
      <c r="J25" s="139"/>
      <c r="K25" s="139"/>
      <c r="L25" s="139"/>
      <c r="M25" s="139"/>
      <c r="N25" s="139"/>
    </row>
    <row r="26" spans="1:14" x14ac:dyDescent="0.25">
      <c r="A26" s="138"/>
      <c r="B26" s="139"/>
      <c r="C26" s="139"/>
      <c r="D26" s="139"/>
      <c r="E26" s="139"/>
      <c r="F26" s="139"/>
      <c r="G26" s="139"/>
      <c r="H26" s="139"/>
      <c r="I26" s="139"/>
      <c r="J26" s="139"/>
      <c r="K26" s="139"/>
      <c r="L26" s="139"/>
      <c r="M26" s="139"/>
      <c r="N26" s="139"/>
    </row>
    <row r="27" spans="1:14" x14ac:dyDescent="0.25">
      <c r="A27" s="138"/>
      <c r="B27" s="139"/>
      <c r="C27" s="139"/>
      <c r="D27" s="139"/>
      <c r="E27" s="139"/>
      <c r="F27" s="139"/>
      <c r="G27" s="139"/>
      <c r="H27" s="139"/>
      <c r="I27" s="139"/>
      <c r="J27" s="139"/>
      <c r="K27" s="139"/>
      <c r="L27" s="139"/>
      <c r="M27" s="139"/>
      <c r="N27" s="139"/>
    </row>
    <row r="28" spans="1:14" x14ac:dyDescent="0.25">
      <c r="A28" s="138"/>
      <c r="B28" s="139"/>
      <c r="C28" s="139"/>
      <c r="D28" s="139"/>
      <c r="E28" s="139"/>
      <c r="F28" s="139"/>
      <c r="G28" s="139"/>
      <c r="H28" s="139"/>
      <c r="I28" s="139"/>
      <c r="J28" s="139"/>
      <c r="K28" s="139"/>
      <c r="L28" s="139"/>
      <c r="M28" s="139"/>
      <c r="N28" s="139"/>
    </row>
    <row r="29" spans="1:14" x14ac:dyDescent="0.25">
      <c r="A29" s="138"/>
      <c r="B29" s="139"/>
      <c r="C29" s="139"/>
      <c r="D29" s="139"/>
      <c r="E29" s="139"/>
      <c r="F29" s="139"/>
      <c r="G29" s="139"/>
      <c r="H29" s="139"/>
      <c r="I29" s="139"/>
      <c r="J29" s="139"/>
      <c r="K29" s="139"/>
      <c r="L29" s="139"/>
      <c r="M29" s="139"/>
      <c r="N29" s="139"/>
    </row>
    <row r="30" spans="1:14" x14ac:dyDescent="0.25">
      <c r="A30" s="138"/>
      <c r="B30" s="139"/>
      <c r="C30" s="139"/>
      <c r="D30" s="139"/>
      <c r="E30" s="139"/>
      <c r="F30" s="139"/>
      <c r="G30" s="139"/>
      <c r="H30" s="139"/>
      <c r="I30" s="139"/>
      <c r="J30" s="139"/>
      <c r="K30" s="139"/>
      <c r="L30" s="139"/>
      <c r="M30" s="139"/>
      <c r="N30" s="139"/>
    </row>
    <row r="31" spans="1:14" x14ac:dyDescent="0.25">
      <c r="A31" s="138"/>
      <c r="B31" s="139"/>
      <c r="C31" s="139"/>
      <c r="D31" s="139"/>
      <c r="E31" s="139"/>
      <c r="F31" s="139"/>
      <c r="G31" s="139"/>
      <c r="H31" s="139"/>
      <c r="I31" s="139"/>
      <c r="J31" s="139"/>
      <c r="K31" s="139"/>
      <c r="L31" s="139"/>
      <c r="M31" s="139"/>
      <c r="N31" s="139"/>
    </row>
    <row r="32" spans="1:14" x14ac:dyDescent="0.25">
      <c r="A32" s="138"/>
      <c r="B32" s="139"/>
      <c r="C32" s="139"/>
      <c r="D32" s="139"/>
      <c r="E32" s="139"/>
      <c r="F32" s="139"/>
      <c r="G32" s="139"/>
      <c r="H32" s="139"/>
      <c r="I32" s="139"/>
      <c r="J32" s="139"/>
      <c r="K32" s="139"/>
      <c r="L32" s="139"/>
      <c r="M32" s="139"/>
      <c r="N32" s="139"/>
    </row>
    <row r="33" spans="1:14" x14ac:dyDescent="0.25">
      <c r="A33" s="138"/>
      <c r="B33" s="139"/>
      <c r="C33" s="139"/>
      <c r="D33" s="139"/>
      <c r="E33" s="139"/>
      <c r="F33" s="139"/>
      <c r="G33" s="139"/>
      <c r="H33" s="139"/>
      <c r="I33" s="139"/>
      <c r="J33" s="139"/>
      <c r="K33" s="139"/>
      <c r="L33" s="139"/>
      <c r="M33" s="139"/>
      <c r="N33" s="139"/>
    </row>
    <row r="34" spans="1:14" x14ac:dyDescent="0.25">
      <c r="A34" s="138"/>
      <c r="B34" s="139"/>
      <c r="C34" s="139"/>
      <c r="D34" s="139"/>
      <c r="E34" s="139"/>
      <c r="F34" s="139"/>
      <c r="G34" s="139"/>
      <c r="H34" s="139"/>
      <c r="I34" s="139"/>
      <c r="J34" s="139"/>
      <c r="K34" s="139"/>
      <c r="L34" s="139"/>
      <c r="M34" s="139"/>
      <c r="N34" s="139"/>
    </row>
    <row r="35" spans="1:14" x14ac:dyDescent="0.25">
      <c r="A35" s="138"/>
      <c r="B35" s="139"/>
      <c r="C35" s="139"/>
      <c r="D35" s="139"/>
      <c r="E35" s="139"/>
      <c r="F35" s="139"/>
      <c r="G35" s="139"/>
      <c r="H35" s="139"/>
      <c r="I35" s="139"/>
      <c r="J35" s="139"/>
      <c r="K35" s="139"/>
      <c r="L35" s="139"/>
      <c r="M35" s="139"/>
      <c r="N35" s="139"/>
    </row>
    <row r="36" spans="1:14" x14ac:dyDescent="0.25">
      <c r="A36" s="138"/>
      <c r="B36" s="139"/>
      <c r="C36" s="139"/>
      <c r="D36" s="139"/>
      <c r="E36" s="139"/>
      <c r="F36" s="139"/>
      <c r="G36" s="139"/>
      <c r="H36" s="139"/>
      <c r="I36" s="139"/>
      <c r="J36" s="139"/>
      <c r="K36" s="139"/>
      <c r="L36" s="139"/>
      <c r="M36" s="139"/>
      <c r="N36" s="139"/>
    </row>
    <row r="37" spans="1:14" x14ac:dyDescent="0.25">
      <c r="A37" s="138"/>
      <c r="B37" s="139"/>
      <c r="C37" s="139"/>
      <c r="D37" s="139"/>
      <c r="E37" s="139"/>
      <c r="F37" s="139"/>
      <c r="G37" s="139"/>
      <c r="H37" s="139"/>
      <c r="I37" s="139"/>
      <c r="J37" s="139"/>
      <c r="K37" s="139"/>
      <c r="L37" s="139"/>
      <c r="M37" s="139"/>
      <c r="N37" s="139"/>
    </row>
    <row r="38" spans="1:14" x14ac:dyDescent="0.25">
      <c r="A38" s="138"/>
      <c r="B38" s="139"/>
      <c r="C38" s="139"/>
      <c r="D38" s="139"/>
      <c r="E38" s="139"/>
      <c r="F38" s="139"/>
      <c r="G38" s="139"/>
      <c r="H38" s="139"/>
      <c r="I38" s="139"/>
      <c r="J38" s="139"/>
      <c r="K38" s="139"/>
      <c r="L38" s="139"/>
      <c r="M38" s="139"/>
      <c r="N38" s="139"/>
    </row>
    <row r="39" spans="1:14" x14ac:dyDescent="0.25">
      <c r="A39" s="138"/>
      <c r="B39" s="139"/>
      <c r="C39" s="139"/>
      <c r="D39" s="139"/>
      <c r="E39" s="139"/>
      <c r="F39" s="139"/>
      <c r="G39" s="139"/>
      <c r="H39" s="139"/>
      <c r="I39" s="139"/>
      <c r="J39" s="139"/>
      <c r="K39" s="139"/>
      <c r="L39" s="139"/>
      <c r="M39" s="139"/>
      <c r="N39" s="139"/>
    </row>
    <row r="40" spans="1:14" x14ac:dyDescent="0.25">
      <c r="A40" s="138"/>
      <c r="B40" s="139"/>
      <c r="C40" s="139"/>
      <c r="D40" s="139"/>
      <c r="E40" s="139"/>
      <c r="F40" s="139"/>
      <c r="G40" s="139"/>
      <c r="H40" s="139"/>
      <c r="I40" s="139"/>
      <c r="J40" s="139"/>
      <c r="K40" s="139"/>
      <c r="L40" s="139"/>
      <c r="M40" s="139"/>
      <c r="N40" s="139"/>
    </row>
    <row r="41" spans="1:14" x14ac:dyDescent="0.25">
      <c r="A41" s="138"/>
      <c r="B41" s="139"/>
      <c r="C41" s="139"/>
      <c r="D41" s="139"/>
      <c r="E41" s="139"/>
      <c r="F41" s="139"/>
      <c r="G41" s="139"/>
      <c r="H41" s="139"/>
      <c r="I41" s="139"/>
      <c r="J41" s="139"/>
      <c r="K41" s="139"/>
      <c r="L41" s="139"/>
      <c r="M41" s="139"/>
      <c r="N41" s="139"/>
    </row>
    <row r="42" spans="1:14" x14ac:dyDescent="0.25">
      <c r="A42" s="138"/>
      <c r="B42" s="139"/>
      <c r="C42" s="139"/>
      <c r="D42" s="139"/>
      <c r="E42" s="139"/>
      <c r="F42" s="139"/>
      <c r="G42" s="139"/>
      <c r="H42" s="139"/>
      <c r="I42" s="139"/>
      <c r="J42" s="139"/>
      <c r="K42" s="139"/>
      <c r="L42" s="139"/>
      <c r="M42" s="139"/>
      <c r="N42" s="139"/>
    </row>
    <row r="43" spans="1:14" x14ac:dyDescent="0.25">
      <c r="A43" s="138"/>
      <c r="B43" s="139"/>
      <c r="C43" s="139"/>
      <c r="D43" s="139"/>
      <c r="E43" s="139"/>
      <c r="F43" s="139"/>
      <c r="G43" s="139"/>
      <c r="H43" s="139"/>
      <c r="I43" s="139"/>
      <c r="J43" s="139"/>
      <c r="K43" s="139"/>
      <c r="L43" s="139"/>
      <c r="M43" s="139"/>
      <c r="N43" s="139"/>
    </row>
    <row r="45" spans="1:14" x14ac:dyDescent="0.25">
      <c r="A45" s="59" t="s">
        <v>161</v>
      </c>
      <c r="B45" s="135" t="s">
        <v>167</v>
      </c>
      <c r="C45" s="136"/>
      <c r="D45" s="136"/>
      <c r="E45" s="136"/>
      <c r="F45" s="136"/>
      <c r="G45" s="136"/>
      <c r="H45" s="136"/>
      <c r="I45" s="136"/>
      <c r="J45" s="136"/>
      <c r="K45" s="136"/>
      <c r="L45" s="136"/>
      <c r="M45" s="136"/>
      <c r="N45" s="137"/>
    </row>
    <row r="46" spans="1:14" x14ac:dyDescent="0.25">
      <c r="A46" s="138" t="s">
        <v>164</v>
      </c>
      <c r="B46" s="139"/>
      <c r="C46" s="139"/>
      <c r="D46" s="139"/>
      <c r="E46" s="139"/>
      <c r="F46" s="139"/>
      <c r="G46" s="139"/>
      <c r="H46" s="139"/>
      <c r="I46" s="139"/>
      <c r="J46" s="139"/>
      <c r="K46" s="139"/>
      <c r="L46" s="139"/>
      <c r="M46" s="139"/>
      <c r="N46" s="139"/>
    </row>
    <row r="47" spans="1:14" x14ac:dyDescent="0.25">
      <c r="A47" s="138"/>
      <c r="B47" s="139"/>
      <c r="C47" s="139"/>
      <c r="D47" s="139"/>
      <c r="E47" s="139"/>
      <c r="F47" s="139"/>
      <c r="G47" s="139"/>
      <c r="H47" s="139"/>
      <c r="I47" s="139"/>
      <c r="J47" s="139"/>
      <c r="K47" s="139"/>
      <c r="L47" s="139"/>
      <c r="M47" s="139"/>
      <c r="N47" s="139"/>
    </row>
    <row r="48" spans="1:14" x14ac:dyDescent="0.25">
      <c r="A48" s="138"/>
      <c r="B48" s="139"/>
      <c r="C48" s="139"/>
      <c r="D48" s="139"/>
      <c r="E48" s="139"/>
      <c r="F48" s="139"/>
      <c r="G48" s="139"/>
      <c r="H48" s="139"/>
      <c r="I48" s="139"/>
      <c r="J48" s="139"/>
      <c r="K48" s="139"/>
      <c r="L48" s="139"/>
      <c r="M48" s="139"/>
      <c r="N48" s="139"/>
    </row>
    <row r="49" spans="1:14" x14ac:dyDescent="0.25">
      <c r="A49" s="138"/>
      <c r="B49" s="139"/>
      <c r="C49" s="139"/>
      <c r="D49" s="139"/>
      <c r="E49" s="139"/>
      <c r="F49" s="139"/>
      <c r="G49" s="139"/>
      <c r="H49" s="139"/>
      <c r="I49" s="139"/>
      <c r="J49" s="139"/>
      <c r="K49" s="139"/>
      <c r="L49" s="139"/>
      <c r="M49" s="139"/>
      <c r="N49" s="139"/>
    </row>
    <row r="50" spans="1:14" x14ac:dyDescent="0.25">
      <c r="A50" s="138"/>
      <c r="B50" s="139"/>
      <c r="C50" s="139"/>
      <c r="D50" s="139"/>
      <c r="E50" s="139"/>
      <c r="F50" s="139"/>
      <c r="G50" s="139"/>
      <c r="H50" s="139"/>
      <c r="I50" s="139"/>
      <c r="J50" s="139"/>
      <c r="K50" s="139"/>
      <c r="L50" s="139"/>
      <c r="M50" s="139"/>
      <c r="N50" s="139"/>
    </row>
    <row r="51" spans="1:14" x14ac:dyDescent="0.25">
      <c r="A51" s="138"/>
      <c r="B51" s="139"/>
      <c r="C51" s="139"/>
      <c r="D51" s="139"/>
      <c r="E51" s="139"/>
      <c r="F51" s="139"/>
      <c r="G51" s="139"/>
      <c r="H51" s="139"/>
      <c r="I51" s="139"/>
      <c r="J51" s="139"/>
      <c r="K51" s="139"/>
      <c r="L51" s="139"/>
      <c r="M51" s="139"/>
      <c r="N51" s="139"/>
    </row>
    <row r="52" spans="1:14" x14ac:dyDescent="0.25">
      <c r="A52" s="138"/>
      <c r="B52" s="139"/>
      <c r="C52" s="139"/>
      <c r="D52" s="139"/>
      <c r="E52" s="139"/>
      <c r="F52" s="139"/>
      <c r="G52" s="139"/>
      <c r="H52" s="139"/>
      <c r="I52" s="139"/>
      <c r="J52" s="139"/>
      <c r="K52" s="139"/>
      <c r="L52" s="139"/>
      <c r="M52" s="139"/>
      <c r="N52" s="139"/>
    </row>
    <row r="53" spans="1:14" x14ac:dyDescent="0.25">
      <c r="A53" s="138"/>
      <c r="B53" s="139"/>
      <c r="C53" s="139"/>
      <c r="D53" s="139"/>
      <c r="E53" s="139"/>
      <c r="F53" s="139"/>
      <c r="G53" s="139"/>
      <c r="H53" s="139"/>
      <c r="I53" s="139"/>
      <c r="J53" s="139"/>
      <c r="K53" s="139"/>
      <c r="L53" s="139"/>
      <c r="M53" s="139"/>
      <c r="N53" s="139"/>
    </row>
    <row r="54" spans="1:14" x14ac:dyDescent="0.25">
      <c r="A54" s="138"/>
      <c r="B54" s="139"/>
      <c r="C54" s="139"/>
      <c r="D54" s="139"/>
      <c r="E54" s="139"/>
      <c r="F54" s="139"/>
      <c r="G54" s="139"/>
      <c r="H54" s="139"/>
      <c r="I54" s="139"/>
      <c r="J54" s="139"/>
      <c r="K54" s="139"/>
      <c r="L54" s="139"/>
      <c r="M54" s="139"/>
      <c r="N54" s="139"/>
    </row>
    <row r="55" spans="1:14" x14ac:dyDescent="0.25">
      <c r="A55" s="138"/>
      <c r="B55" s="139"/>
      <c r="C55" s="139"/>
      <c r="D55" s="139"/>
      <c r="E55" s="139"/>
      <c r="F55" s="139"/>
      <c r="G55" s="139"/>
      <c r="H55" s="139"/>
      <c r="I55" s="139"/>
      <c r="J55" s="139"/>
      <c r="K55" s="139"/>
      <c r="L55" s="139"/>
      <c r="M55" s="139"/>
      <c r="N55" s="139"/>
    </row>
    <row r="56" spans="1:14" x14ac:dyDescent="0.25">
      <c r="A56" s="138"/>
      <c r="B56" s="139"/>
      <c r="C56" s="139"/>
      <c r="D56" s="139"/>
      <c r="E56" s="139"/>
      <c r="F56" s="139"/>
      <c r="G56" s="139"/>
      <c r="H56" s="139"/>
      <c r="I56" s="139"/>
      <c r="J56" s="139"/>
      <c r="K56" s="139"/>
      <c r="L56" s="139"/>
      <c r="M56" s="139"/>
      <c r="N56" s="139"/>
    </row>
    <row r="57" spans="1:14" x14ac:dyDescent="0.25">
      <c r="A57" s="138"/>
      <c r="B57" s="139"/>
      <c r="C57" s="139"/>
      <c r="D57" s="139"/>
      <c r="E57" s="139"/>
      <c r="F57" s="139"/>
      <c r="G57" s="139"/>
      <c r="H57" s="139"/>
      <c r="I57" s="139"/>
      <c r="J57" s="139"/>
      <c r="K57" s="139"/>
      <c r="L57" s="139"/>
      <c r="M57" s="139"/>
      <c r="N57" s="139"/>
    </row>
    <row r="58" spans="1:14" x14ac:dyDescent="0.25">
      <c r="A58" s="138"/>
      <c r="B58" s="139"/>
      <c r="C58" s="139"/>
      <c r="D58" s="139"/>
      <c r="E58" s="139"/>
      <c r="F58" s="139"/>
      <c r="G58" s="139"/>
      <c r="H58" s="139"/>
      <c r="I58" s="139"/>
      <c r="J58" s="139"/>
      <c r="K58" s="139"/>
      <c r="L58" s="139"/>
      <c r="M58" s="139"/>
      <c r="N58" s="139"/>
    </row>
    <row r="59" spans="1:14" x14ac:dyDescent="0.25">
      <c r="A59" s="138"/>
      <c r="B59" s="139"/>
      <c r="C59" s="139"/>
      <c r="D59" s="139"/>
      <c r="E59" s="139"/>
      <c r="F59" s="139"/>
      <c r="G59" s="139"/>
      <c r="H59" s="139"/>
      <c r="I59" s="139"/>
      <c r="J59" s="139"/>
      <c r="K59" s="139"/>
      <c r="L59" s="139"/>
      <c r="M59" s="139"/>
      <c r="N59" s="139"/>
    </row>
    <row r="60" spans="1:14" x14ac:dyDescent="0.25">
      <c r="A60" s="138"/>
      <c r="B60" s="139"/>
      <c r="C60" s="139"/>
      <c r="D60" s="139"/>
      <c r="E60" s="139"/>
      <c r="F60" s="139"/>
      <c r="G60" s="139"/>
      <c r="H60" s="139"/>
      <c r="I60" s="139"/>
      <c r="J60" s="139"/>
      <c r="K60" s="139"/>
      <c r="L60" s="139"/>
      <c r="M60" s="139"/>
      <c r="N60" s="139"/>
    </row>
    <row r="61" spans="1:14" x14ac:dyDescent="0.25">
      <c r="A61" s="138"/>
      <c r="B61" s="139"/>
      <c r="C61" s="139"/>
      <c r="D61" s="139"/>
      <c r="E61" s="139"/>
      <c r="F61" s="139"/>
      <c r="G61" s="139"/>
      <c r="H61" s="139"/>
      <c r="I61" s="139"/>
      <c r="J61" s="139"/>
      <c r="K61" s="139"/>
      <c r="L61" s="139"/>
      <c r="M61" s="139"/>
      <c r="N61" s="139"/>
    </row>
    <row r="62" spans="1:14" x14ac:dyDescent="0.25">
      <c r="A62" s="138"/>
      <c r="B62" s="139"/>
      <c r="C62" s="139"/>
      <c r="D62" s="139"/>
      <c r="E62" s="139"/>
      <c r="F62" s="139"/>
      <c r="G62" s="139"/>
      <c r="H62" s="139"/>
      <c r="I62" s="139"/>
      <c r="J62" s="139"/>
      <c r="K62" s="139"/>
      <c r="L62" s="139"/>
      <c r="M62" s="139"/>
      <c r="N62" s="139"/>
    </row>
    <row r="63" spans="1:14" x14ac:dyDescent="0.25">
      <c r="A63" s="138"/>
      <c r="B63" s="139"/>
      <c r="C63" s="139"/>
      <c r="D63" s="139"/>
      <c r="E63" s="139"/>
      <c r="F63" s="139"/>
      <c r="G63" s="139"/>
      <c r="H63" s="139"/>
      <c r="I63" s="139"/>
      <c r="J63" s="139"/>
      <c r="K63" s="139"/>
      <c r="L63" s="139"/>
      <c r="M63" s="139"/>
      <c r="N63" s="139"/>
    </row>
    <row r="64" spans="1:14" x14ac:dyDescent="0.25">
      <c r="A64" s="138"/>
      <c r="B64" s="139"/>
      <c r="C64" s="139"/>
      <c r="D64" s="139"/>
      <c r="E64" s="139"/>
      <c r="F64" s="139"/>
      <c r="G64" s="139"/>
      <c r="H64" s="139"/>
      <c r="I64" s="139"/>
      <c r="J64" s="139"/>
      <c r="K64" s="139"/>
      <c r="L64" s="139"/>
      <c r="M64" s="139"/>
      <c r="N64" s="139"/>
    </row>
    <row r="65" spans="1:14" x14ac:dyDescent="0.25">
      <c r="A65" s="138"/>
      <c r="B65" s="139"/>
      <c r="C65" s="139"/>
      <c r="D65" s="139"/>
      <c r="E65" s="139"/>
      <c r="F65" s="139"/>
      <c r="G65" s="139"/>
      <c r="H65" s="139"/>
      <c r="I65" s="139"/>
      <c r="J65" s="139"/>
      <c r="K65" s="139"/>
      <c r="L65" s="139"/>
      <c r="M65" s="139"/>
      <c r="N65" s="139"/>
    </row>
    <row r="67" spans="1:14" x14ac:dyDescent="0.25">
      <c r="A67" s="59" t="s">
        <v>161</v>
      </c>
      <c r="B67" s="135" t="s">
        <v>168</v>
      </c>
      <c r="C67" s="136"/>
      <c r="D67" s="136"/>
      <c r="E67" s="136"/>
      <c r="F67" s="136"/>
      <c r="G67" s="136"/>
      <c r="H67" s="136"/>
      <c r="I67" s="136"/>
      <c r="J67" s="136"/>
      <c r="K67" s="136"/>
      <c r="L67" s="136"/>
      <c r="M67" s="136"/>
      <c r="N67" s="137"/>
    </row>
    <row r="68" spans="1:14" x14ac:dyDescent="0.25">
      <c r="A68" s="138" t="s">
        <v>169</v>
      </c>
      <c r="B68" s="139"/>
      <c r="C68" s="139"/>
      <c r="D68" s="139"/>
      <c r="E68" s="139"/>
      <c r="F68" s="139"/>
      <c r="G68" s="139"/>
      <c r="H68" s="139"/>
      <c r="I68" s="139"/>
      <c r="J68" s="139"/>
      <c r="K68" s="139"/>
      <c r="L68" s="139"/>
      <c r="M68" s="139"/>
      <c r="N68" s="139"/>
    </row>
    <row r="69" spans="1:14" x14ac:dyDescent="0.25">
      <c r="A69" s="138"/>
      <c r="B69" s="139"/>
      <c r="C69" s="139"/>
      <c r="D69" s="139"/>
      <c r="E69" s="139"/>
      <c r="F69" s="139"/>
      <c r="G69" s="139"/>
      <c r="H69" s="139"/>
      <c r="I69" s="139"/>
      <c r="J69" s="139"/>
      <c r="K69" s="139"/>
      <c r="L69" s="139"/>
      <c r="M69" s="139"/>
      <c r="N69" s="139"/>
    </row>
    <row r="70" spans="1:14" x14ac:dyDescent="0.25">
      <c r="A70" s="138"/>
      <c r="B70" s="139"/>
      <c r="C70" s="139"/>
      <c r="D70" s="139"/>
      <c r="E70" s="139"/>
      <c r="F70" s="139"/>
      <c r="G70" s="139"/>
      <c r="H70" s="139"/>
      <c r="I70" s="139"/>
      <c r="J70" s="139"/>
      <c r="K70" s="139"/>
      <c r="L70" s="139"/>
      <c r="M70" s="139"/>
      <c r="N70" s="139"/>
    </row>
    <row r="71" spans="1:14" x14ac:dyDescent="0.25">
      <c r="A71" s="138"/>
      <c r="B71" s="139"/>
      <c r="C71" s="139"/>
      <c r="D71" s="139"/>
      <c r="E71" s="139"/>
      <c r="F71" s="139"/>
      <c r="G71" s="139"/>
      <c r="H71" s="139"/>
      <c r="I71" s="139"/>
      <c r="J71" s="139"/>
      <c r="K71" s="139"/>
      <c r="L71" s="139"/>
      <c r="M71" s="139"/>
      <c r="N71" s="139"/>
    </row>
    <row r="72" spans="1:14" x14ac:dyDescent="0.25">
      <c r="A72" s="138"/>
      <c r="B72" s="139"/>
      <c r="C72" s="139"/>
      <c r="D72" s="139"/>
      <c r="E72" s="139"/>
      <c r="F72" s="139"/>
      <c r="G72" s="139"/>
      <c r="H72" s="139"/>
      <c r="I72" s="139"/>
      <c r="J72" s="139"/>
      <c r="K72" s="139"/>
      <c r="L72" s="139"/>
      <c r="M72" s="139"/>
      <c r="N72" s="139"/>
    </row>
    <row r="73" spans="1:14" x14ac:dyDescent="0.25">
      <c r="A73" s="138"/>
      <c r="B73" s="139"/>
      <c r="C73" s="139"/>
      <c r="D73" s="139"/>
      <c r="E73" s="139"/>
      <c r="F73" s="139"/>
      <c r="G73" s="139"/>
      <c r="H73" s="139"/>
      <c r="I73" s="139"/>
      <c r="J73" s="139"/>
      <c r="K73" s="139"/>
      <c r="L73" s="139"/>
      <c r="M73" s="139"/>
      <c r="N73" s="139"/>
    </row>
    <row r="74" spans="1:14" x14ac:dyDescent="0.25">
      <c r="A74" s="138"/>
      <c r="B74" s="139"/>
      <c r="C74" s="139"/>
      <c r="D74" s="139"/>
      <c r="E74" s="139"/>
      <c r="F74" s="139"/>
      <c r="G74" s="139"/>
      <c r="H74" s="139"/>
      <c r="I74" s="139"/>
      <c r="J74" s="139"/>
      <c r="K74" s="139"/>
      <c r="L74" s="139"/>
      <c r="M74" s="139"/>
      <c r="N74" s="139"/>
    </row>
    <row r="75" spans="1:14" x14ac:dyDescent="0.25">
      <c r="A75" s="138"/>
      <c r="B75" s="139"/>
      <c r="C75" s="139"/>
      <c r="D75" s="139"/>
      <c r="E75" s="139"/>
      <c r="F75" s="139"/>
      <c r="G75" s="139"/>
      <c r="H75" s="139"/>
      <c r="I75" s="139"/>
      <c r="J75" s="139"/>
      <c r="K75" s="139"/>
      <c r="L75" s="139"/>
      <c r="M75" s="139"/>
      <c r="N75" s="139"/>
    </row>
    <row r="76" spans="1:14" x14ac:dyDescent="0.25">
      <c r="A76" s="138"/>
      <c r="B76" s="139"/>
      <c r="C76" s="139"/>
      <c r="D76" s="139"/>
      <c r="E76" s="139"/>
      <c r="F76" s="139"/>
      <c r="G76" s="139"/>
      <c r="H76" s="139"/>
      <c r="I76" s="139"/>
      <c r="J76" s="139"/>
      <c r="K76" s="139"/>
      <c r="L76" s="139"/>
      <c r="M76" s="139"/>
      <c r="N76" s="139"/>
    </row>
    <row r="77" spans="1:14" x14ac:dyDescent="0.25">
      <c r="A77" s="138"/>
      <c r="B77" s="139"/>
      <c r="C77" s="139"/>
      <c r="D77" s="139"/>
      <c r="E77" s="139"/>
      <c r="F77" s="139"/>
      <c r="G77" s="139"/>
      <c r="H77" s="139"/>
      <c r="I77" s="139"/>
      <c r="J77" s="139"/>
      <c r="K77" s="139"/>
      <c r="L77" s="139"/>
      <c r="M77" s="139"/>
      <c r="N77" s="139"/>
    </row>
    <row r="78" spans="1:14" x14ac:dyDescent="0.25">
      <c r="A78" s="138"/>
      <c r="B78" s="139"/>
      <c r="C78" s="139"/>
      <c r="D78" s="139"/>
      <c r="E78" s="139"/>
      <c r="F78" s="139"/>
      <c r="G78" s="139"/>
      <c r="H78" s="139"/>
      <c r="I78" s="139"/>
      <c r="J78" s="139"/>
      <c r="K78" s="139"/>
      <c r="L78" s="139"/>
      <c r="M78" s="139"/>
      <c r="N78" s="139"/>
    </row>
    <row r="79" spans="1:14" x14ac:dyDescent="0.25">
      <c r="A79" s="138"/>
      <c r="B79" s="139"/>
      <c r="C79" s="139"/>
      <c r="D79" s="139"/>
      <c r="E79" s="139"/>
      <c r="F79" s="139"/>
      <c r="G79" s="139"/>
      <c r="H79" s="139"/>
      <c r="I79" s="139"/>
      <c r="J79" s="139"/>
      <c r="K79" s="139"/>
      <c r="L79" s="139"/>
      <c r="M79" s="139"/>
      <c r="N79" s="139"/>
    </row>
    <row r="80" spans="1:14" x14ac:dyDescent="0.25">
      <c r="A80" s="138"/>
      <c r="B80" s="139"/>
      <c r="C80" s="139"/>
      <c r="D80" s="139"/>
      <c r="E80" s="139"/>
      <c r="F80" s="139"/>
      <c r="G80" s="139"/>
      <c r="H80" s="139"/>
      <c r="I80" s="139"/>
      <c r="J80" s="139"/>
      <c r="K80" s="139"/>
      <c r="L80" s="139"/>
      <c r="M80" s="139"/>
      <c r="N80" s="139"/>
    </row>
    <row r="81" spans="1:14" x14ac:dyDescent="0.25">
      <c r="A81" s="138"/>
      <c r="B81" s="139"/>
      <c r="C81" s="139"/>
      <c r="D81" s="139"/>
      <c r="E81" s="139"/>
      <c r="F81" s="139"/>
      <c r="G81" s="139"/>
      <c r="H81" s="139"/>
      <c r="I81" s="139"/>
      <c r="J81" s="139"/>
      <c r="K81" s="139"/>
      <c r="L81" s="139"/>
      <c r="M81" s="139"/>
      <c r="N81" s="139"/>
    </row>
    <row r="82" spans="1:14" x14ac:dyDescent="0.25">
      <c r="A82" s="138"/>
      <c r="B82" s="139"/>
      <c r="C82" s="139"/>
      <c r="D82" s="139"/>
      <c r="E82" s="139"/>
      <c r="F82" s="139"/>
      <c r="G82" s="139"/>
      <c r="H82" s="139"/>
      <c r="I82" s="139"/>
      <c r="J82" s="139"/>
      <c r="K82" s="139"/>
      <c r="L82" s="139"/>
      <c r="M82" s="139"/>
      <c r="N82" s="139"/>
    </row>
    <row r="83" spans="1:14" x14ac:dyDescent="0.25">
      <c r="A83" s="138"/>
      <c r="B83" s="139"/>
      <c r="C83" s="139"/>
      <c r="D83" s="139"/>
      <c r="E83" s="139"/>
      <c r="F83" s="139"/>
      <c r="G83" s="139"/>
      <c r="H83" s="139"/>
      <c r="I83" s="139"/>
      <c r="J83" s="139"/>
      <c r="K83" s="139"/>
      <c r="L83" s="139"/>
      <c r="M83" s="139"/>
      <c r="N83" s="139"/>
    </row>
    <row r="84" spans="1:14" x14ac:dyDescent="0.25">
      <c r="A84" s="138"/>
      <c r="B84" s="139"/>
      <c r="C84" s="139"/>
      <c r="D84" s="139"/>
      <c r="E84" s="139"/>
      <c r="F84" s="139"/>
      <c r="G84" s="139"/>
      <c r="H84" s="139"/>
      <c r="I84" s="139"/>
      <c r="J84" s="139"/>
      <c r="K84" s="139"/>
      <c r="L84" s="139"/>
      <c r="M84" s="139"/>
      <c r="N84" s="139"/>
    </row>
    <row r="85" spans="1:14" x14ac:dyDescent="0.25">
      <c r="A85" s="138"/>
      <c r="B85" s="139"/>
      <c r="C85" s="139"/>
      <c r="D85" s="139"/>
      <c r="E85" s="139"/>
      <c r="F85" s="139"/>
      <c r="G85" s="139"/>
      <c r="H85" s="139"/>
      <c r="I85" s="139"/>
      <c r="J85" s="139"/>
      <c r="K85" s="139"/>
      <c r="L85" s="139"/>
      <c r="M85" s="139"/>
      <c r="N85" s="139"/>
    </row>
    <row r="86" spans="1:14" x14ac:dyDescent="0.25">
      <c r="A86" s="138"/>
      <c r="B86" s="139"/>
      <c r="C86" s="139"/>
      <c r="D86" s="139"/>
      <c r="E86" s="139"/>
      <c r="F86" s="139"/>
      <c r="G86" s="139"/>
      <c r="H86" s="139"/>
      <c r="I86" s="139"/>
      <c r="J86" s="139"/>
      <c r="K86" s="139"/>
      <c r="L86" s="139"/>
      <c r="M86" s="139"/>
      <c r="N86" s="139"/>
    </row>
    <row r="87" spans="1:14" x14ac:dyDescent="0.25">
      <c r="A87" s="138"/>
      <c r="B87" s="139"/>
      <c r="C87" s="139"/>
      <c r="D87" s="139"/>
      <c r="E87" s="139"/>
      <c r="F87" s="139"/>
      <c r="G87" s="139"/>
      <c r="H87" s="139"/>
      <c r="I87" s="139"/>
      <c r="J87" s="139"/>
      <c r="K87" s="139"/>
      <c r="L87" s="139"/>
      <c r="M87" s="139"/>
      <c r="N87" s="139"/>
    </row>
  </sheetData>
  <mergeCells count="12">
    <mergeCell ref="B1:N1"/>
    <mergeCell ref="A2:A21"/>
    <mergeCell ref="B2:N21"/>
    <mergeCell ref="B23:N23"/>
    <mergeCell ref="A24:A43"/>
    <mergeCell ref="B24:N43"/>
    <mergeCell ref="B67:N67"/>
    <mergeCell ref="A68:A87"/>
    <mergeCell ref="B68:N87"/>
    <mergeCell ref="B45:N45"/>
    <mergeCell ref="A46:A65"/>
    <mergeCell ref="B46:N65"/>
  </mergeCells>
  <phoneticPr fontId="1" type="noConversion"/>
  <pageMargins left="0.7" right="0.7" top="0.75" bottom="0.75" header="0.3" footer="0.3"/>
  <pageSetup paperSize="9" orientation="portrait" horizontalDpi="1200" verticalDpi="1200" r:id="rId1"/>
  <drawing r:id="rId2"/>
  <legacyDrawing r:id="rId3"/>
  <oleObjects>
    <mc:AlternateContent xmlns:mc="http://schemas.openxmlformats.org/markup-compatibility/2006">
      <mc:Choice Requires="x14">
        <oleObject progId="Visio.Drawing.15" shapeId="3073" r:id="rId4">
          <objectPr defaultSize="0" autoPict="0" r:id="rId5">
            <anchor moveWithCells="1">
              <from>
                <xdr:col>1</xdr:col>
                <xdr:colOff>641350</xdr:colOff>
                <xdr:row>1</xdr:row>
                <xdr:rowOff>165100</xdr:rowOff>
              </from>
              <to>
                <xdr:col>5</xdr:col>
                <xdr:colOff>450850</xdr:colOff>
                <xdr:row>7</xdr:row>
                <xdr:rowOff>12700</xdr:rowOff>
              </to>
            </anchor>
          </objectPr>
        </oleObject>
      </mc:Choice>
      <mc:Fallback>
        <oleObject progId="Visio.Drawing.15" shapeId="3073" r:id="rId4"/>
      </mc:Fallback>
    </mc:AlternateContent>
    <mc:AlternateContent xmlns:mc="http://schemas.openxmlformats.org/markup-compatibility/2006">
      <mc:Choice Requires="x14">
        <oleObject progId="Visio.Drawing.15" shapeId="3074" r:id="rId6">
          <objectPr defaultSize="0" autoPict="0" r:id="rId7">
            <anchor moveWithCells="1">
              <from>
                <xdr:col>1</xdr:col>
                <xdr:colOff>508000</xdr:colOff>
                <xdr:row>26</xdr:row>
                <xdr:rowOff>69850</xdr:rowOff>
              </from>
              <to>
                <xdr:col>4</xdr:col>
                <xdr:colOff>165100</xdr:colOff>
                <xdr:row>32</xdr:row>
                <xdr:rowOff>69850</xdr:rowOff>
              </to>
            </anchor>
          </objectPr>
        </oleObject>
      </mc:Choice>
      <mc:Fallback>
        <oleObject progId="Visio.Drawing.15" shapeId="3074" r:id="rId6"/>
      </mc:Fallback>
    </mc:AlternateContent>
    <mc:AlternateContent xmlns:mc="http://schemas.openxmlformats.org/markup-compatibility/2006">
      <mc:Choice Requires="x14">
        <oleObject progId="Visio.Drawing.15" shapeId="3075" r:id="rId8">
          <objectPr defaultSize="0" autoPict="0" r:id="rId9">
            <anchor moveWithCells="1">
              <from>
                <xdr:col>2</xdr:col>
                <xdr:colOff>146050</xdr:colOff>
                <xdr:row>48</xdr:row>
                <xdr:rowOff>50800</xdr:rowOff>
              </from>
              <to>
                <xdr:col>4</xdr:col>
                <xdr:colOff>412750</xdr:colOff>
                <xdr:row>55</xdr:row>
                <xdr:rowOff>146050</xdr:rowOff>
              </to>
            </anchor>
          </objectPr>
        </oleObject>
      </mc:Choice>
      <mc:Fallback>
        <oleObject progId="Visio.Drawing.15" shapeId="3075" r:id="rId8"/>
      </mc:Fallback>
    </mc:AlternateContent>
    <mc:AlternateContent xmlns:mc="http://schemas.openxmlformats.org/markup-compatibility/2006">
      <mc:Choice Requires="x14">
        <oleObject progId="Visio.Drawing.15" shapeId="3076" r:id="rId10">
          <objectPr defaultSize="0" autoPict="0" r:id="rId11">
            <anchor moveWithCells="1">
              <from>
                <xdr:col>1</xdr:col>
                <xdr:colOff>304800</xdr:colOff>
                <xdr:row>68</xdr:row>
                <xdr:rowOff>88900</xdr:rowOff>
              </from>
              <to>
                <xdr:col>8</xdr:col>
                <xdr:colOff>260350</xdr:colOff>
                <xdr:row>85</xdr:row>
                <xdr:rowOff>69850</xdr:rowOff>
              </to>
            </anchor>
          </objectPr>
        </oleObject>
      </mc:Choice>
      <mc:Fallback>
        <oleObject progId="Visio.Drawing.15" shapeId="3076" r:id="rId10"/>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G152"/>
  <sheetViews>
    <sheetView zoomScaleNormal="100" workbookViewId="0">
      <pane xSplit="1" ySplit="10" topLeftCell="B11" activePane="bottomRight" state="frozen"/>
      <selection pane="topRight" activeCell="B1" sqref="B1"/>
      <selection pane="bottomLeft" activeCell="A14" sqref="A14"/>
      <selection pane="bottomRight" activeCell="E32" sqref="E32"/>
    </sheetView>
  </sheetViews>
  <sheetFormatPr defaultColWidth="9" defaultRowHeight="14" x14ac:dyDescent="0.25"/>
  <cols>
    <col min="1" max="1" width="9.90625" style="46" customWidth="1"/>
    <col min="2" max="2" width="26.90625" style="46" customWidth="1"/>
    <col min="3" max="3" width="44.08984375" style="46" customWidth="1"/>
    <col min="4" max="4" width="37" style="46" customWidth="1"/>
    <col min="5" max="5" width="26.90625" style="46" customWidth="1"/>
    <col min="6" max="6" width="36.08984375" style="46" customWidth="1"/>
    <col min="7" max="7" width="70" style="46" customWidth="1"/>
    <col min="8" max="23" width="9" style="46" customWidth="1"/>
    <col min="24" max="16384" width="9" style="46"/>
  </cols>
  <sheetData>
    <row r="1" spans="1:7" x14ac:dyDescent="0.25">
      <c r="A1" s="155" t="s">
        <v>26</v>
      </c>
      <c r="B1" s="49" t="s">
        <v>15</v>
      </c>
      <c r="C1" s="49" t="s">
        <v>16</v>
      </c>
      <c r="D1" s="49" t="s">
        <v>17</v>
      </c>
      <c r="E1" s="49" t="s">
        <v>18</v>
      </c>
      <c r="F1" s="156" t="s">
        <v>19</v>
      </c>
      <c r="G1" s="134"/>
    </row>
    <row r="2" spans="1:7" ht="14.15" customHeight="1" x14ac:dyDescent="0.25">
      <c r="A2" s="149"/>
      <c r="B2" s="63" t="s">
        <v>303</v>
      </c>
      <c r="C2" s="63" t="s">
        <v>21</v>
      </c>
      <c r="D2" s="63"/>
      <c r="E2" s="62">
        <v>4</v>
      </c>
      <c r="F2" s="132" t="s">
        <v>173</v>
      </c>
      <c r="G2" s="132"/>
    </row>
    <row r="3" spans="1:7" ht="14.15" customHeight="1" x14ac:dyDescent="0.25">
      <c r="A3" s="149"/>
      <c r="B3" s="63" t="s">
        <v>174</v>
      </c>
      <c r="C3" s="63" t="s">
        <v>21</v>
      </c>
      <c r="D3" s="63"/>
      <c r="E3" s="62">
        <v>4</v>
      </c>
      <c r="F3" s="132" t="s">
        <v>173</v>
      </c>
      <c r="G3" s="132"/>
    </row>
    <row r="4" spans="1:7" x14ac:dyDescent="0.25">
      <c r="A4" s="149"/>
      <c r="B4" s="63" t="s">
        <v>328</v>
      </c>
      <c r="C4" s="63" t="s">
        <v>22</v>
      </c>
      <c r="D4" s="63"/>
      <c r="E4" s="62">
        <v>2</v>
      </c>
      <c r="F4" s="132" t="s">
        <v>176</v>
      </c>
      <c r="G4" s="132"/>
    </row>
    <row r="5" spans="1:7" ht="14.15" customHeight="1" x14ac:dyDescent="0.25">
      <c r="A5" s="149"/>
      <c r="B5" s="63" t="s">
        <v>356</v>
      </c>
      <c r="C5" s="63" t="s">
        <v>22</v>
      </c>
      <c r="D5" s="63"/>
      <c r="E5" s="62">
        <v>2</v>
      </c>
      <c r="F5" s="132" t="s">
        <v>178</v>
      </c>
      <c r="G5" s="132"/>
    </row>
    <row r="6" spans="1:7" ht="14.5" customHeight="1" x14ac:dyDescent="0.25">
      <c r="A6" s="149"/>
      <c r="B6" s="63" t="s">
        <v>179</v>
      </c>
      <c r="C6" s="63" t="s">
        <v>22</v>
      </c>
      <c r="D6" s="63"/>
      <c r="E6" s="62">
        <v>1</v>
      </c>
      <c r="F6" s="132"/>
      <c r="G6" s="132"/>
    </row>
    <row r="7" spans="1:7" ht="14.5" customHeight="1" x14ac:dyDescent="0.25">
      <c r="A7" s="149"/>
      <c r="B7" s="63" t="s">
        <v>180</v>
      </c>
      <c r="C7" s="63" t="s">
        <v>22</v>
      </c>
      <c r="D7" s="63"/>
      <c r="E7" s="62">
        <v>1</v>
      </c>
      <c r="F7" s="132"/>
      <c r="G7" s="132"/>
    </row>
    <row r="8" spans="1:7" ht="14.5" customHeight="1" x14ac:dyDescent="0.25">
      <c r="A8" s="149"/>
      <c r="B8" s="63" t="s">
        <v>375</v>
      </c>
      <c r="C8" s="63" t="s">
        <v>22</v>
      </c>
      <c r="D8" s="63"/>
      <c r="E8" s="62">
        <v>5</v>
      </c>
      <c r="F8" s="132" t="s">
        <v>182</v>
      </c>
      <c r="G8" s="132"/>
    </row>
    <row r="9" spans="1:7" ht="14.15" customHeight="1" x14ac:dyDescent="0.25">
      <c r="A9" s="149"/>
      <c r="B9" s="70" t="s">
        <v>374</v>
      </c>
      <c r="C9" s="71" t="s">
        <v>22</v>
      </c>
      <c r="D9" s="71"/>
      <c r="E9" s="38">
        <v>1</v>
      </c>
      <c r="F9" s="132"/>
      <c r="G9" s="132"/>
    </row>
    <row r="10" spans="1:7" x14ac:dyDescent="0.25">
      <c r="A10" s="149"/>
      <c r="B10" s="70" t="s">
        <v>185</v>
      </c>
      <c r="C10" s="71" t="s">
        <v>22</v>
      </c>
      <c r="D10" s="71"/>
      <c r="E10" s="38">
        <v>5</v>
      </c>
      <c r="F10" s="140" t="s">
        <v>373</v>
      </c>
      <c r="G10" s="140"/>
    </row>
    <row r="11" spans="1:7" ht="14.15" customHeight="1" x14ac:dyDescent="0.25">
      <c r="A11" s="141" t="s">
        <v>303</v>
      </c>
      <c r="B11" s="145" t="s">
        <v>27</v>
      </c>
      <c r="C11" s="146"/>
      <c r="D11" s="146"/>
      <c r="E11" s="146"/>
      <c r="F11" s="146"/>
      <c r="G11" s="134"/>
    </row>
    <row r="12" spans="1:7" ht="14.15" customHeight="1" x14ac:dyDescent="0.25">
      <c r="A12" s="149"/>
      <c r="B12" s="147" t="s">
        <v>28</v>
      </c>
      <c r="C12" s="146"/>
      <c r="D12" s="146"/>
      <c r="E12" s="146"/>
      <c r="F12" s="146"/>
      <c r="G12" s="134"/>
    </row>
    <row r="13" spans="1:7" ht="14.15" customHeight="1" x14ac:dyDescent="0.25">
      <c r="A13" s="149"/>
      <c r="B13" s="157" t="s">
        <v>29</v>
      </c>
      <c r="C13" s="39" t="s">
        <v>19</v>
      </c>
      <c r="D13" s="39" t="s">
        <v>30</v>
      </c>
      <c r="E13" s="39" t="s">
        <v>31</v>
      </c>
      <c r="F13" s="34" t="s">
        <v>32</v>
      </c>
      <c r="G13" s="34" t="s">
        <v>33</v>
      </c>
    </row>
    <row r="14" spans="1:7" ht="14.15" customHeight="1" x14ac:dyDescent="0.25">
      <c r="A14" s="149"/>
      <c r="B14" s="149"/>
      <c r="C14" s="141" t="s">
        <v>304</v>
      </c>
      <c r="D14" s="61" t="s">
        <v>311</v>
      </c>
      <c r="E14" s="61" t="s">
        <v>312</v>
      </c>
      <c r="F14" s="141" t="s">
        <v>35</v>
      </c>
      <c r="G14" s="152" t="s">
        <v>737</v>
      </c>
    </row>
    <row r="15" spans="1:7" ht="14.15" customHeight="1" x14ac:dyDescent="0.25">
      <c r="A15" s="149"/>
      <c r="B15" s="149"/>
      <c r="C15" s="142"/>
      <c r="D15" s="61" t="s">
        <v>320</v>
      </c>
      <c r="E15" s="61" t="s">
        <v>313</v>
      </c>
      <c r="F15" s="149"/>
      <c r="G15" s="150"/>
    </row>
    <row r="16" spans="1:7" ht="14.15" customHeight="1" x14ac:dyDescent="0.25">
      <c r="A16" s="150"/>
      <c r="B16" s="150"/>
      <c r="C16" s="143"/>
      <c r="D16" s="61"/>
      <c r="E16" s="61" t="s">
        <v>314</v>
      </c>
      <c r="F16" s="150"/>
      <c r="G16" s="150"/>
    </row>
    <row r="17" spans="1:7" ht="14.15" customHeight="1" x14ac:dyDescent="0.25">
      <c r="A17" s="150"/>
      <c r="B17" s="150"/>
      <c r="C17" s="143"/>
      <c r="D17" s="61"/>
      <c r="E17" s="61" t="s">
        <v>315</v>
      </c>
      <c r="F17" s="150"/>
      <c r="G17" s="150"/>
    </row>
    <row r="18" spans="1:7" ht="14.15" customHeight="1" x14ac:dyDescent="0.25">
      <c r="A18" s="150"/>
      <c r="B18" s="150"/>
      <c r="C18" s="143"/>
      <c r="D18" s="61"/>
      <c r="E18" s="61" t="s">
        <v>321</v>
      </c>
      <c r="F18" s="150"/>
      <c r="G18" s="150"/>
    </row>
    <row r="19" spans="1:7" ht="14.15" customHeight="1" x14ac:dyDescent="0.25">
      <c r="A19" s="150"/>
      <c r="B19" s="150"/>
      <c r="C19" s="143"/>
      <c r="D19" s="61"/>
      <c r="E19" s="61" t="s">
        <v>322</v>
      </c>
      <c r="F19" s="150"/>
      <c r="G19" s="150"/>
    </row>
    <row r="20" spans="1:7" ht="14.15" customHeight="1" x14ac:dyDescent="0.25">
      <c r="A20" s="149"/>
      <c r="B20" s="149"/>
      <c r="C20" s="144"/>
      <c r="D20" s="40"/>
      <c r="E20" s="61" t="s">
        <v>441</v>
      </c>
      <c r="F20" s="151"/>
      <c r="G20" s="151"/>
    </row>
    <row r="21" spans="1:7" ht="14.15" customHeight="1" x14ac:dyDescent="0.25">
      <c r="A21" s="149"/>
      <c r="B21" s="149"/>
      <c r="C21" s="141" t="s">
        <v>305</v>
      </c>
      <c r="D21" s="41" t="s">
        <v>316</v>
      </c>
      <c r="E21" s="41" t="s">
        <v>349</v>
      </c>
      <c r="F21" s="141" t="s">
        <v>35</v>
      </c>
      <c r="G21" s="152" t="s">
        <v>443</v>
      </c>
    </row>
    <row r="22" spans="1:7" ht="14.15" customHeight="1" x14ac:dyDescent="0.25">
      <c r="A22" s="150"/>
      <c r="B22" s="150"/>
      <c r="C22" s="153"/>
      <c r="D22" s="41" t="s">
        <v>317</v>
      </c>
      <c r="E22" s="41" t="s">
        <v>350</v>
      </c>
      <c r="F22" s="153"/>
      <c r="G22" s="154"/>
    </row>
    <row r="23" spans="1:7" ht="14.15" customHeight="1" x14ac:dyDescent="0.25">
      <c r="A23" s="150"/>
      <c r="B23" s="150"/>
      <c r="C23" s="153"/>
      <c r="D23" s="61" t="s">
        <v>336</v>
      </c>
      <c r="E23" s="61" t="s">
        <v>331</v>
      </c>
      <c r="F23" s="153"/>
      <c r="G23" s="154"/>
    </row>
    <row r="24" spans="1:7" ht="14.15" customHeight="1" x14ac:dyDescent="0.25">
      <c r="A24" s="149"/>
      <c r="B24" s="149"/>
      <c r="C24" s="142"/>
      <c r="D24" s="41"/>
      <c r="E24" s="61" t="s">
        <v>36</v>
      </c>
      <c r="F24" s="149"/>
      <c r="G24" s="150"/>
    </row>
    <row r="25" spans="1:7" ht="14.15" customHeight="1" x14ac:dyDescent="0.25">
      <c r="A25" s="150"/>
      <c r="B25" s="150"/>
      <c r="C25" s="143"/>
      <c r="D25" s="41"/>
      <c r="E25" s="61" t="s">
        <v>37</v>
      </c>
      <c r="F25" s="150"/>
      <c r="G25" s="150"/>
    </row>
    <row r="26" spans="1:7" ht="14.15" customHeight="1" x14ac:dyDescent="0.25">
      <c r="A26" s="149"/>
      <c r="B26" s="149"/>
      <c r="C26" s="143"/>
      <c r="D26" s="41"/>
      <c r="E26" s="61" t="s">
        <v>440</v>
      </c>
      <c r="F26" s="150"/>
      <c r="G26" s="150"/>
    </row>
    <row r="27" spans="1:7" ht="14.15" customHeight="1" x14ac:dyDescent="0.25">
      <c r="A27" s="149"/>
      <c r="B27" s="149"/>
      <c r="C27" s="141" t="s">
        <v>306</v>
      </c>
      <c r="D27" s="41" t="s">
        <v>308</v>
      </c>
      <c r="E27" s="41" t="s">
        <v>344</v>
      </c>
      <c r="F27" s="141" t="s">
        <v>35</v>
      </c>
      <c r="G27" s="152" t="s">
        <v>444</v>
      </c>
    </row>
    <row r="28" spans="1:7" ht="14.15" customHeight="1" x14ac:dyDescent="0.25">
      <c r="A28" s="150"/>
      <c r="B28" s="150"/>
      <c r="C28" s="149"/>
      <c r="D28" s="41" t="s">
        <v>309</v>
      </c>
      <c r="E28" s="41" t="s">
        <v>339</v>
      </c>
      <c r="F28" s="149"/>
      <c r="G28" s="150"/>
    </row>
    <row r="29" spans="1:7" ht="14.15" customHeight="1" x14ac:dyDescent="0.25">
      <c r="A29" s="150"/>
      <c r="B29" s="150"/>
      <c r="C29" s="150"/>
      <c r="D29" s="61" t="s">
        <v>337</v>
      </c>
      <c r="E29" s="41" t="s">
        <v>345</v>
      </c>
      <c r="F29" s="150"/>
      <c r="G29" s="150"/>
    </row>
    <row r="30" spans="1:7" ht="14.15" customHeight="1" x14ac:dyDescent="0.25">
      <c r="A30" s="150"/>
      <c r="B30" s="150"/>
      <c r="C30" s="150"/>
      <c r="D30" s="61"/>
      <c r="E30" s="41" t="s">
        <v>346</v>
      </c>
      <c r="F30" s="150"/>
      <c r="G30" s="150"/>
    </row>
    <row r="31" spans="1:7" ht="14.15" customHeight="1" x14ac:dyDescent="0.25">
      <c r="A31" s="150"/>
      <c r="B31" s="150"/>
      <c r="C31" s="150"/>
      <c r="D31" s="61"/>
      <c r="E31" s="41" t="s">
        <v>424</v>
      </c>
      <c r="F31" s="150"/>
      <c r="G31" s="150"/>
    </row>
    <row r="32" spans="1:7" ht="14.15" customHeight="1" x14ac:dyDescent="0.25">
      <c r="A32" s="149"/>
      <c r="B32" s="149"/>
      <c r="C32" s="150"/>
      <c r="D32" s="61"/>
      <c r="E32" s="41" t="s">
        <v>331</v>
      </c>
      <c r="F32" s="150"/>
      <c r="G32" s="150"/>
    </row>
    <row r="33" spans="1:7" ht="14.15" customHeight="1" x14ac:dyDescent="0.25">
      <c r="A33" s="149"/>
      <c r="B33" s="149"/>
      <c r="C33" s="151"/>
      <c r="D33" s="61"/>
      <c r="E33" s="61" t="s">
        <v>310</v>
      </c>
      <c r="F33" s="151"/>
      <c r="G33" s="151"/>
    </row>
    <row r="34" spans="1:7" ht="14.15" customHeight="1" x14ac:dyDescent="0.25">
      <c r="A34" s="149"/>
      <c r="B34" s="149"/>
      <c r="C34" s="141" t="s">
        <v>307</v>
      </c>
      <c r="D34" s="41" t="s">
        <v>338</v>
      </c>
      <c r="E34" s="41" t="s">
        <v>342</v>
      </c>
      <c r="F34" s="141" t="s">
        <v>35</v>
      </c>
      <c r="G34" s="152" t="s">
        <v>445</v>
      </c>
    </row>
    <row r="35" spans="1:7" ht="14.15" customHeight="1" x14ac:dyDescent="0.25">
      <c r="A35" s="150"/>
      <c r="B35" s="150"/>
      <c r="C35" s="149"/>
      <c r="D35" s="41" t="s">
        <v>340</v>
      </c>
      <c r="E35" s="41" t="s">
        <v>343</v>
      </c>
      <c r="F35" s="149"/>
      <c r="G35" s="150"/>
    </row>
    <row r="36" spans="1:7" ht="14.15" customHeight="1" x14ac:dyDescent="0.25">
      <c r="A36" s="150"/>
      <c r="B36" s="150"/>
      <c r="C36" s="150"/>
      <c r="D36" s="61" t="s">
        <v>341</v>
      </c>
      <c r="E36" s="41" t="s">
        <v>347</v>
      </c>
      <c r="F36" s="150"/>
      <c r="G36" s="150"/>
    </row>
    <row r="37" spans="1:7" ht="14.15" customHeight="1" x14ac:dyDescent="0.25">
      <c r="A37" s="150"/>
      <c r="B37" s="150"/>
      <c r="C37" s="150"/>
      <c r="D37" s="41"/>
      <c r="E37" s="41" t="s">
        <v>348</v>
      </c>
      <c r="F37" s="150"/>
      <c r="G37" s="150"/>
    </row>
    <row r="38" spans="1:7" ht="14.15" customHeight="1" x14ac:dyDescent="0.25">
      <c r="A38" s="150"/>
      <c r="B38" s="150"/>
      <c r="C38" s="150"/>
      <c r="D38" s="41"/>
      <c r="E38" s="41" t="s">
        <v>425</v>
      </c>
      <c r="F38" s="150"/>
      <c r="G38" s="150"/>
    </row>
    <row r="39" spans="1:7" ht="14.15" customHeight="1" x14ac:dyDescent="0.25">
      <c r="A39" s="150"/>
      <c r="B39" s="150"/>
      <c r="C39" s="150"/>
      <c r="D39" s="41"/>
      <c r="E39" s="41" t="s">
        <v>439</v>
      </c>
      <c r="F39" s="150"/>
      <c r="G39" s="150"/>
    </row>
    <row r="40" spans="1:7" ht="14.15" customHeight="1" x14ac:dyDescent="0.25">
      <c r="A40" s="149"/>
      <c r="B40" s="149"/>
      <c r="C40" s="151"/>
      <c r="D40" s="61"/>
      <c r="E40" s="61" t="s">
        <v>310</v>
      </c>
      <c r="F40" s="151"/>
      <c r="G40" s="151"/>
    </row>
    <row r="41" spans="1:7" ht="14.15" customHeight="1" x14ac:dyDescent="0.25">
      <c r="A41" s="149"/>
      <c r="B41" s="147" t="s">
        <v>38</v>
      </c>
      <c r="C41" s="146"/>
      <c r="D41" s="146"/>
      <c r="E41" s="146"/>
      <c r="F41" s="146"/>
      <c r="G41" s="134"/>
    </row>
    <row r="42" spans="1:7" ht="14.15" customHeight="1" x14ac:dyDescent="0.25">
      <c r="A42" s="149"/>
      <c r="B42" s="157" t="s">
        <v>39</v>
      </c>
      <c r="C42" s="33" t="s">
        <v>19</v>
      </c>
      <c r="D42" s="33" t="s">
        <v>40</v>
      </c>
      <c r="E42" s="33" t="s">
        <v>41</v>
      </c>
      <c r="F42" s="33" t="s">
        <v>42</v>
      </c>
      <c r="G42" s="33" t="s">
        <v>43</v>
      </c>
    </row>
    <row r="43" spans="1:7" ht="14.15" customHeight="1" x14ac:dyDescent="0.25">
      <c r="A43" s="149"/>
      <c r="B43" s="151"/>
      <c r="C43" s="47" t="s">
        <v>44</v>
      </c>
      <c r="D43" s="50"/>
      <c r="E43" s="50"/>
      <c r="F43" s="50"/>
      <c r="G43" s="50"/>
    </row>
    <row r="44" spans="1:7" ht="14.15" customHeight="1" x14ac:dyDescent="0.25">
      <c r="A44" s="149"/>
      <c r="B44" s="147" t="s">
        <v>45</v>
      </c>
      <c r="C44" s="146"/>
      <c r="D44" s="146"/>
      <c r="E44" s="146"/>
      <c r="F44" s="146"/>
      <c r="G44" s="134"/>
    </row>
    <row r="45" spans="1:7" ht="14.15" customHeight="1" x14ac:dyDescent="0.25">
      <c r="A45" s="149"/>
      <c r="B45" s="48" t="s">
        <v>46</v>
      </c>
      <c r="C45" s="147" t="s">
        <v>47</v>
      </c>
      <c r="D45" s="146"/>
      <c r="E45" s="134"/>
      <c r="F45" s="34" t="s">
        <v>48</v>
      </c>
      <c r="G45" s="34" t="s">
        <v>49</v>
      </c>
    </row>
    <row r="46" spans="1:7" ht="16" customHeight="1" x14ac:dyDescent="0.25">
      <c r="A46" s="149"/>
      <c r="B46" s="35" t="s">
        <v>325</v>
      </c>
      <c r="C46" s="158" t="s">
        <v>738</v>
      </c>
      <c r="D46" s="146"/>
      <c r="E46" s="134"/>
      <c r="F46" s="43" t="s">
        <v>318</v>
      </c>
      <c r="G46" s="36" t="s">
        <v>449</v>
      </c>
    </row>
    <row r="47" spans="1:7" ht="14.15" customHeight="1" x14ac:dyDescent="0.25">
      <c r="A47" s="149"/>
      <c r="B47" s="148" t="s">
        <v>50</v>
      </c>
      <c r="C47" s="146"/>
      <c r="D47" s="146"/>
      <c r="E47" s="146"/>
      <c r="F47" s="146"/>
      <c r="G47" s="134"/>
    </row>
    <row r="48" spans="1:7" ht="14.15" customHeight="1" x14ac:dyDescent="0.25">
      <c r="A48" s="149"/>
      <c r="B48" s="33" t="s">
        <v>46</v>
      </c>
      <c r="C48" s="33" t="s">
        <v>51</v>
      </c>
      <c r="D48" s="33" t="s">
        <v>19</v>
      </c>
      <c r="E48" s="33" t="s">
        <v>52</v>
      </c>
      <c r="F48" s="33" t="s">
        <v>53</v>
      </c>
      <c r="G48" s="33" t="s">
        <v>54</v>
      </c>
    </row>
    <row r="49" spans="1:7" ht="224" x14ac:dyDescent="0.25">
      <c r="A49" s="150"/>
      <c r="B49" s="37" t="s">
        <v>326</v>
      </c>
      <c r="C49" s="37" t="s">
        <v>739</v>
      </c>
      <c r="D49" s="37" t="s">
        <v>450</v>
      </c>
      <c r="E49" s="37" t="s">
        <v>55</v>
      </c>
      <c r="F49" s="37" t="s">
        <v>324</v>
      </c>
      <c r="G49" s="37" t="s">
        <v>319</v>
      </c>
    </row>
    <row r="50" spans="1:7" x14ac:dyDescent="0.25">
      <c r="A50" s="141" t="s">
        <v>323</v>
      </c>
      <c r="B50" s="145" t="s">
        <v>27</v>
      </c>
      <c r="C50" s="146"/>
      <c r="D50" s="146"/>
      <c r="E50" s="146"/>
      <c r="F50" s="146"/>
      <c r="G50" s="134"/>
    </row>
    <row r="51" spans="1:7" x14ac:dyDescent="0.25">
      <c r="A51" s="149"/>
      <c r="B51" s="147" t="s">
        <v>28</v>
      </c>
      <c r="C51" s="146"/>
      <c r="D51" s="146"/>
      <c r="E51" s="146"/>
      <c r="F51" s="146"/>
      <c r="G51" s="134"/>
    </row>
    <row r="52" spans="1:7" x14ac:dyDescent="0.25">
      <c r="A52" s="149"/>
      <c r="B52" s="157" t="s">
        <v>29</v>
      </c>
      <c r="C52" s="39" t="s">
        <v>19</v>
      </c>
      <c r="D52" s="39" t="s">
        <v>30</v>
      </c>
      <c r="E52" s="39" t="s">
        <v>31</v>
      </c>
      <c r="F52" s="34" t="s">
        <v>32</v>
      </c>
      <c r="G52" s="34" t="s">
        <v>33</v>
      </c>
    </row>
    <row r="53" spans="1:7" x14ac:dyDescent="0.25">
      <c r="A53" s="150"/>
      <c r="B53" s="159"/>
      <c r="C53" s="141" t="s">
        <v>330</v>
      </c>
      <c r="D53" s="41" t="s">
        <v>334</v>
      </c>
      <c r="E53" s="61" t="s">
        <v>331</v>
      </c>
      <c r="F53" s="141" t="s">
        <v>35</v>
      </c>
      <c r="G53" s="152" t="s">
        <v>537</v>
      </c>
    </row>
    <row r="54" spans="1:7" x14ac:dyDescent="0.25">
      <c r="A54" s="150"/>
      <c r="B54" s="159"/>
      <c r="C54" s="142"/>
      <c r="D54" s="41" t="s">
        <v>333</v>
      </c>
      <c r="E54" s="41" t="s">
        <v>335</v>
      </c>
      <c r="F54" s="149"/>
      <c r="G54" s="150"/>
    </row>
    <row r="55" spans="1:7" x14ac:dyDescent="0.25">
      <c r="A55" s="150"/>
      <c r="B55" s="159"/>
      <c r="C55" s="143"/>
      <c r="D55" s="41"/>
      <c r="E55" s="61" t="s">
        <v>332</v>
      </c>
      <c r="F55" s="150"/>
      <c r="G55" s="150"/>
    </row>
    <row r="56" spans="1:7" x14ac:dyDescent="0.25">
      <c r="A56" s="150"/>
      <c r="B56" s="159"/>
      <c r="C56" s="144"/>
      <c r="D56" s="61"/>
      <c r="E56" s="61" t="s">
        <v>352</v>
      </c>
      <c r="F56" s="151"/>
      <c r="G56" s="151"/>
    </row>
    <row r="57" spans="1:7" ht="14.15" customHeight="1" x14ac:dyDescent="0.25">
      <c r="A57" s="149"/>
      <c r="B57" s="149"/>
      <c r="C57" s="141" t="s">
        <v>304</v>
      </c>
      <c r="D57" s="61" t="s">
        <v>311</v>
      </c>
      <c r="E57" s="61" t="s">
        <v>312</v>
      </c>
      <c r="F57" s="141" t="s">
        <v>35</v>
      </c>
      <c r="G57" s="152" t="s">
        <v>442</v>
      </c>
    </row>
    <row r="58" spans="1:7" x14ac:dyDescent="0.25">
      <c r="A58" s="149"/>
      <c r="B58" s="149"/>
      <c r="C58" s="142"/>
      <c r="D58" s="61" t="s">
        <v>320</v>
      </c>
      <c r="E58" s="61" t="s">
        <v>313</v>
      </c>
      <c r="F58" s="149"/>
      <c r="G58" s="150"/>
    </row>
    <row r="59" spans="1:7" x14ac:dyDescent="0.25">
      <c r="A59" s="150"/>
      <c r="B59" s="150"/>
      <c r="C59" s="143"/>
      <c r="D59" s="61"/>
      <c r="E59" s="61" t="s">
        <v>314</v>
      </c>
      <c r="F59" s="150"/>
      <c r="G59" s="150"/>
    </row>
    <row r="60" spans="1:7" x14ac:dyDescent="0.25">
      <c r="A60" s="150"/>
      <c r="B60" s="150"/>
      <c r="C60" s="143"/>
      <c r="D60" s="61"/>
      <c r="E60" s="61" t="s">
        <v>315</v>
      </c>
      <c r="F60" s="150"/>
      <c r="G60" s="150"/>
    </row>
    <row r="61" spans="1:7" x14ac:dyDescent="0.25">
      <c r="A61" s="150"/>
      <c r="B61" s="150"/>
      <c r="C61" s="143"/>
      <c r="D61" s="61"/>
      <c r="E61" s="61" t="s">
        <v>321</v>
      </c>
      <c r="F61" s="150"/>
      <c r="G61" s="150"/>
    </row>
    <row r="62" spans="1:7" x14ac:dyDescent="0.25">
      <c r="A62" s="150"/>
      <c r="B62" s="150"/>
      <c r="C62" s="143"/>
      <c r="D62" s="61"/>
      <c r="E62" s="61" t="s">
        <v>322</v>
      </c>
      <c r="F62" s="150"/>
      <c r="G62" s="150"/>
    </row>
    <row r="63" spans="1:7" x14ac:dyDescent="0.25">
      <c r="A63" s="149"/>
      <c r="B63" s="149"/>
      <c r="C63" s="144"/>
      <c r="D63" s="40"/>
      <c r="E63" s="61" t="s">
        <v>441</v>
      </c>
      <c r="F63" s="151"/>
      <c r="G63" s="151"/>
    </row>
    <row r="64" spans="1:7" ht="14.15" customHeight="1" x14ac:dyDescent="0.25">
      <c r="A64" s="149"/>
      <c r="B64" s="149"/>
      <c r="C64" s="141" t="s">
        <v>305</v>
      </c>
      <c r="D64" s="41" t="s">
        <v>316</v>
      </c>
      <c r="E64" s="41" t="s">
        <v>349</v>
      </c>
      <c r="F64" s="141" t="s">
        <v>35</v>
      </c>
      <c r="G64" s="152" t="s">
        <v>1170</v>
      </c>
    </row>
    <row r="65" spans="1:7" x14ac:dyDescent="0.25">
      <c r="A65" s="149"/>
      <c r="B65" s="149"/>
      <c r="C65" s="153"/>
      <c r="D65" s="41" t="s">
        <v>317</v>
      </c>
      <c r="E65" s="41" t="s">
        <v>350</v>
      </c>
      <c r="F65" s="153"/>
      <c r="G65" s="154"/>
    </row>
    <row r="66" spans="1:7" x14ac:dyDescent="0.25">
      <c r="A66" s="150"/>
      <c r="B66" s="150"/>
      <c r="C66" s="153"/>
      <c r="D66" s="61" t="s">
        <v>336</v>
      </c>
      <c r="E66" s="61" t="s">
        <v>331</v>
      </c>
      <c r="F66" s="153"/>
      <c r="G66" s="154"/>
    </row>
    <row r="67" spans="1:7" x14ac:dyDescent="0.25">
      <c r="A67" s="150"/>
      <c r="B67" s="150"/>
      <c r="C67" s="142"/>
      <c r="D67" s="41"/>
      <c r="E67" s="61" t="s">
        <v>36</v>
      </c>
      <c r="F67" s="149"/>
      <c r="G67" s="150"/>
    </row>
    <row r="68" spans="1:7" x14ac:dyDescent="0.25">
      <c r="A68" s="150"/>
      <c r="B68" s="150"/>
      <c r="C68" s="143"/>
      <c r="D68" s="41"/>
      <c r="E68" s="61" t="s">
        <v>37</v>
      </c>
      <c r="F68" s="150"/>
      <c r="G68" s="150"/>
    </row>
    <row r="69" spans="1:7" x14ac:dyDescent="0.25">
      <c r="A69" s="150"/>
      <c r="B69" s="150"/>
      <c r="C69" s="143"/>
      <c r="D69" s="41"/>
      <c r="E69" s="61" t="s">
        <v>440</v>
      </c>
      <c r="F69" s="150"/>
      <c r="G69" s="150"/>
    </row>
    <row r="70" spans="1:7" ht="14.15" customHeight="1" x14ac:dyDescent="0.25">
      <c r="A70" s="150"/>
      <c r="B70" s="150"/>
      <c r="C70" s="141" t="s">
        <v>306</v>
      </c>
      <c r="D70" s="41" t="s">
        <v>308</v>
      </c>
      <c r="E70" s="41" t="s">
        <v>344</v>
      </c>
      <c r="F70" s="141" t="s">
        <v>35</v>
      </c>
      <c r="G70" s="152" t="s">
        <v>446</v>
      </c>
    </row>
    <row r="71" spans="1:7" x14ac:dyDescent="0.25">
      <c r="A71" s="150"/>
      <c r="B71" s="150"/>
      <c r="C71" s="149"/>
      <c r="D71" s="41" t="s">
        <v>309</v>
      </c>
      <c r="E71" s="41" t="s">
        <v>339</v>
      </c>
      <c r="F71" s="149"/>
      <c r="G71" s="150"/>
    </row>
    <row r="72" spans="1:7" x14ac:dyDescent="0.25">
      <c r="A72" s="150"/>
      <c r="B72" s="150"/>
      <c r="C72" s="150"/>
      <c r="D72" s="61" t="s">
        <v>337</v>
      </c>
      <c r="E72" s="41" t="s">
        <v>345</v>
      </c>
      <c r="F72" s="150"/>
      <c r="G72" s="150"/>
    </row>
    <row r="73" spans="1:7" x14ac:dyDescent="0.25">
      <c r="A73" s="150"/>
      <c r="B73" s="150"/>
      <c r="C73" s="150"/>
      <c r="D73" s="61"/>
      <c r="E73" s="41" t="s">
        <v>346</v>
      </c>
      <c r="F73" s="150"/>
      <c r="G73" s="150"/>
    </row>
    <row r="74" spans="1:7" x14ac:dyDescent="0.25">
      <c r="A74" s="150"/>
      <c r="B74" s="150"/>
      <c r="C74" s="150"/>
      <c r="D74" s="61"/>
      <c r="E74" s="41" t="s">
        <v>424</v>
      </c>
      <c r="F74" s="150"/>
      <c r="G74" s="150"/>
    </row>
    <row r="75" spans="1:7" x14ac:dyDescent="0.25">
      <c r="A75" s="150"/>
      <c r="B75" s="150"/>
      <c r="C75" s="150"/>
      <c r="D75" s="61"/>
      <c r="E75" s="41" t="s">
        <v>331</v>
      </c>
      <c r="F75" s="150"/>
      <c r="G75" s="150"/>
    </row>
    <row r="76" spans="1:7" x14ac:dyDescent="0.25">
      <c r="A76" s="150"/>
      <c r="B76" s="150"/>
      <c r="C76" s="151"/>
      <c r="D76" s="61"/>
      <c r="E76" s="61" t="s">
        <v>310</v>
      </c>
      <c r="F76" s="151"/>
      <c r="G76" s="151"/>
    </row>
    <row r="77" spans="1:7" ht="14.15" customHeight="1" x14ac:dyDescent="0.25">
      <c r="A77" s="150"/>
      <c r="B77" s="150"/>
      <c r="C77" s="141" t="s">
        <v>307</v>
      </c>
      <c r="D77" s="41" t="s">
        <v>338</v>
      </c>
      <c r="E77" s="41" t="s">
        <v>342</v>
      </c>
      <c r="F77" s="141" t="s">
        <v>35</v>
      </c>
      <c r="G77" s="152" t="s">
        <v>447</v>
      </c>
    </row>
    <row r="78" spans="1:7" x14ac:dyDescent="0.25">
      <c r="A78" s="150"/>
      <c r="B78" s="150"/>
      <c r="C78" s="149"/>
      <c r="D78" s="41" t="s">
        <v>340</v>
      </c>
      <c r="E78" s="41" t="s">
        <v>343</v>
      </c>
      <c r="F78" s="149"/>
      <c r="G78" s="150"/>
    </row>
    <row r="79" spans="1:7" x14ac:dyDescent="0.25">
      <c r="A79" s="150"/>
      <c r="B79" s="150"/>
      <c r="C79" s="150"/>
      <c r="D79" s="61" t="s">
        <v>341</v>
      </c>
      <c r="E79" s="41" t="s">
        <v>347</v>
      </c>
      <c r="F79" s="150"/>
      <c r="G79" s="150"/>
    </row>
    <row r="80" spans="1:7" x14ac:dyDescent="0.25">
      <c r="A80" s="149"/>
      <c r="B80" s="149"/>
      <c r="C80" s="150"/>
      <c r="D80" s="41"/>
      <c r="E80" s="41" t="s">
        <v>348</v>
      </c>
      <c r="F80" s="150"/>
      <c r="G80" s="150"/>
    </row>
    <row r="81" spans="1:7" x14ac:dyDescent="0.25">
      <c r="A81" s="150"/>
      <c r="B81" s="150"/>
      <c r="C81" s="150"/>
      <c r="D81" s="41"/>
      <c r="E81" s="41" t="s">
        <v>425</v>
      </c>
      <c r="F81" s="150"/>
      <c r="G81" s="150"/>
    </row>
    <row r="82" spans="1:7" x14ac:dyDescent="0.25">
      <c r="A82" s="150"/>
      <c r="B82" s="150"/>
      <c r="C82" s="150"/>
      <c r="D82" s="41"/>
      <c r="E82" s="41" t="s">
        <v>439</v>
      </c>
      <c r="F82" s="150"/>
      <c r="G82" s="150"/>
    </row>
    <row r="83" spans="1:7" x14ac:dyDescent="0.25">
      <c r="A83" s="149"/>
      <c r="B83" s="149"/>
      <c r="C83" s="151"/>
      <c r="D83" s="61"/>
      <c r="E83" s="61" t="s">
        <v>310</v>
      </c>
      <c r="F83" s="151"/>
      <c r="G83" s="151"/>
    </row>
    <row r="84" spans="1:7" x14ac:dyDescent="0.25">
      <c r="A84" s="149"/>
      <c r="B84" s="147" t="s">
        <v>38</v>
      </c>
      <c r="C84" s="146"/>
      <c r="D84" s="146"/>
      <c r="E84" s="146"/>
      <c r="F84" s="146"/>
      <c r="G84" s="134"/>
    </row>
    <row r="85" spans="1:7" x14ac:dyDescent="0.25">
      <c r="A85" s="149"/>
      <c r="B85" s="157" t="s">
        <v>39</v>
      </c>
      <c r="C85" s="33" t="s">
        <v>19</v>
      </c>
      <c r="D85" s="33" t="s">
        <v>40</v>
      </c>
      <c r="E85" s="33" t="s">
        <v>41</v>
      </c>
      <c r="F85" s="33" t="s">
        <v>42</v>
      </c>
      <c r="G85" s="33" t="s">
        <v>43</v>
      </c>
    </row>
    <row r="86" spans="1:7" x14ac:dyDescent="0.25">
      <c r="A86" s="149"/>
      <c r="B86" s="151"/>
      <c r="C86" s="64" t="s">
        <v>44</v>
      </c>
      <c r="D86" s="61"/>
      <c r="E86" s="61"/>
      <c r="F86" s="61"/>
      <c r="G86" s="61"/>
    </row>
    <row r="87" spans="1:7" x14ac:dyDescent="0.25">
      <c r="A87" s="149"/>
      <c r="B87" s="147" t="s">
        <v>45</v>
      </c>
      <c r="C87" s="146"/>
      <c r="D87" s="146"/>
      <c r="E87" s="146"/>
      <c r="F87" s="146"/>
      <c r="G87" s="134"/>
    </row>
    <row r="88" spans="1:7" x14ac:dyDescent="0.25">
      <c r="A88" s="149"/>
      <c r="B88" s="65" t="s">
        <v>46</v>
      </c>
      <c r="C88" s="147" t="s">
        <v>47</v>
      </c>
      <c r="D88" s="146"/>
      <c r="E88" s="134"/>
      <c r="F88" s="34" t="s">
        <v>48</v>
      </c>
      <c r="G88" s="34" t="s">
        <v>49</v>
      </c>
    </row>
    <row r="89" spans="1:7" ht="16.5" customHeight="1" x14ac:dyDescent="0.25">
      <c r="A89" s="149"/>
      <c r="B89" s="35" t="s">
        <v>353</v>
      </c>
      <c r="C89" s="158" t="s">
        <v>738</v>
      </c>
      <c r="D89" s="146"/>
      <c r="E89" s="134"/>
      <c r="F89" s="43" t="s">
        <v>318</v>
      </c>
      <c r="G89" s="36" t="s">
        <v>448</v>
      </c>
    </row>
    <row r="90" spans="1:7" x14ac:dyDescent="0.25">
      <c r="A90" s="149"/>
      <c r="B90" s="148" t="s">
        <v>50</v>
      </c>
      <c r="C90" s="146"/>
      <c r="D90" s="146"/>
      <c r="E90" s="146"/>
      <c r="F90" s="146"/>
      <c r="G90" s="134"/>
    </row>
    <row r="91" spans="1:7" x14ac:dyDescent="0.25">
      <c r="A91" s="149"/>
      <c r="B91" s="33" t="s">
        <v>46</v>
      </c>
      <c r="C91" s="33" t="s">
        <v>51</v>
      </c>
      <c r="D91" s="33" t="s">
        <v>19</v>
      </c>
      <c r="E91" s="33" t="s">
        <v>52</v>
      </c>
      <c r="F91" s="33" t="s">
        <v>53</v>
      </c>
      <c r="G91" s="33" t="s">
        <v>54</v>
      </c>
    </row>
    <row r="92" spans="1:7" ht="14.5" customHeight="1" x14ac:dyDescent="0.25">
      <c r="A92" s="150"/>
      <c r="B92" s="37" t="s">
        <v>327</v>
      </c>
      <c r="C92" s="37" t="s">
        <v>744</v>
      </c>
      <c r="D92" s="37" t="s">
        <v>1171</v>
      </c>
      <c r="E92" s="37" t="s">
        <v>55</v>
      </c>
      <c r="F92" s="37" t="s">
        <v>551</v>
      </c>
      <c r="G92" s="37" t="s">
        <v>508</v>
      </c>
    </row>
    <row r="93" spans="1:7" x14ac:dyDescent="0.25">
      <c r="A93" s="141" t="s">
        <v>329</v>
      </c>
      <c r="B93" s="145" t="s">
        <v>57</v>
      </c>
      <c r="C93" s="146"/>
      <c r="D93" s="146"/>
      <c r="E93" s="146"/>
      <c r="F93" s="146"/>
      <c r="G93" s="134"/>
    </row>
    <row r="94" spans="1:7" x14ac:dyDescent="0.25">
      <c r="A94" s="149"/>
      <c r="B94" s="147" t="s">
        <v>58</v>
      </c>
      <c r="C94" s="146"/>
      <c r="D94" s="146"/>
      <c r="E94" s="146"/>
      <c r="F94" s="146"/>
      <c r="G94" s="134"/>
    </row>
    <row r="95" spans="1:7" x14ac:dyDescent="0.25">
      <c r="A95" s="149"/>
      <c r="B95" s="65" t="s">
        <v>46</v>
      </c>
      <c r="C95" s="147" t="s">
        <v>47</v>
      </c>
      <c r="D95" s="146"/>
      <c r="E95" s="134"/>
      <c r="F95" s="34" t="s">
        <v>48</v>
      </c>
      <c r="G95" s="34" t="s">
        <v>49</v>
      </c>
    </row>
    <row r="96" spans="1:7" x14ac:dyDescent="0.25">
      <c r="A96" s="149"/>
      <c r="B96" s="35" t="s">
        <v>354</v>
      </c>
      <c r="C96" s="158" t="s">
        <v>355</v>
      </c>
      <c r="D96" s="146"/>
      <c r="E96" s="134"/>
      <c r="F96" s="43" t="s">
        <v>56</v>
      </c>
      <c r="G96" s="36" t="s">
        <v>351</v>
      </c>
    </row>
    <row r="97" spans="1:7" x14ac:dyDescent="0.25">
      <c r="A97" s="149"/>
      <c r="B97" s="148" t="s">
        <v>60</v>
      </c>
      <c r="C97" s="146"/>
      <c r="D97" s="146"/>
      <c r="E97" s="146"/>
      <c r="F97" s="146"/>
      <c r="G97" s="134"/>
    </row>
    <row r="98" spans="1:7" x14ac:dyDescent="0.25">
      <c r="A98" s="149"/>
      <c r="B98" s="33" t="s">
        <v>46</v>
      </c>
      <c r="C98" s="33" t="s">
        <v>51</v>
      </c>
      <c r="D98" s="33" t="s">
        <v>19</v>
      </c>
      <c r="E98" s="33" t="s">
        <v>52</v>
      </c>
      <c r="F98" s="33" t="s">
        <v>53</v>
      </c>
      <c r="G98" s="33" t="s">
        <v>54</v>
      </c>
    </row>
    <row r="99" spans="1:7" ht="20.5" customHeight="1" x14ac:dyDescent="0.25">
      <c r="A99" s="151"/>
      <c r="B99" s="37" t="s">
        <v>357</v>
      </c>
      <c r="C99" s="37" t="s">
        <v>355</v>
      </c>
      <c r="D99" s="37" t="s">
        <v>61</v>
      </c>
      <c r="E99" s="37" t="s">
        <v>361</v>
      </c>
      <c r="F99" s="37" t="s">
        <v>553</v>
      </c>
      <c r="G99" s="37" t="s">
        <v>509</v>
      </c>
    </row>
    <row r="100" spans="1:7" x14ac:dyDescent="0.25">
      <c r="A100" s="141" t="s">
        <v>356</v>
      </c>
      <c r="B100" s="145" t="s">
        <v>57</v>
      </c>
      <c r="C100" s="146"/>
      <c r="D100" s="146"/>
      <c r="E100" s="146"/>
      <c r="F100" s="146"/>
      <c r="G100" s="134"/>
    </row>
    <row r="101" spans="1:7" x14ac:dyDescent="0.25">
      <c r="A101" s="149"/>
      <c r="B101" s="147" t="s">
        <v>58</v>
      </c>
      <c r="C101" s="146"/>
      <c r="D101" s="146"/>
      <c r="E101" s="146"/>
      <c r="F101" s="146"/>
      <c r="G101" s="134"/>
    </row>
    <row r="102" spans="1:7" x14ac:dyDescent="0.25">
      <c r="A102" s="149"/>
      <c r="B102" s="65" t="s">
        <v>46</v>
      </c>
      <c r="C102" s="147" t="s">
        <v>47</v>
      </c>
      <c r="D102" s="146"/>
      <c r="E102" s="134"/>
      <c r="F102" s="34" t="s">
        <v>48</v>
      </c>
      <c r="G102" s="34" t="s">
        <v>49</v>
      </c>
    </row>
    <row r="103" spans="1:7" x14ac:dyDescent="0.25">
      <c r="A103" s="149"/>
      <c r="B103" s="35" t="s">
        <v>358</v>
      </c>
      <c r="C103" s="158" t="s">
        <v>359</v>
      </c>
      <c r="D103" s="146"/>
      <c r="E103" s="134"/>
      <c r="F103" s="43" t="s">
        <v>62</v>
      </c>
      <c r="G103" s="36" t="s">
        <v>63</v>
      </c>
    </row>
    <row r="104" spans="1:7" x14ac:dyDescent="0.25">
      <c r="A104" s="149"/>
      <c r="B104" s="148" t="s">
        <v>60</v>
      </c>
      <c r="C104" s="146"/>
      <c r="D104" s="146"/>
      <c r="E104" s="146"/>
      <c r="F104" s="146"/>
      <c r="G104" s="134"/>
    </row>
    <row r="105" spans="1:7" x14ac:dyDescent="0.25">
      <c r="A105" s="149"/>
      <c r="B105" s="33" t="s">
        <v>46</v>
      </c>
      <c r="C105" s="33" t="s">
        <v>51</v>
      </c>
      <c r="D105" s="33" t="s">
        <v>19</v>
      </c>
      <c r="E105" s="33" t="s">
        <v>52</v>
      </c>
      <c r="F105" s="33" t="s">
        <v>53</v>
      </c>
      <c r="G105" s="33" t="s">
        <v>54</v>
      </c>
    </row>
    <row r="106" spans="1:7" ht="18" customHeight="1" x14ac:dyDescent="0.25">
      <c r="A106" s="151"/>
      <c r="B106" s="37" t="s">
        <v>358</v>
      </c>
      <c r="C106" s="37" t="s">
        <v>359</v>
      </c>
      <c r="D106" s="37" t="s">
        <v>63</v>
      </c>
      <c r="E106" s="37" t="s">
        <v>360</v>
      </c>
      <c r="F106" s="37" t="s">
        <v>552</v>
      </c>
      <c r="G106" s="37" t="s">
        <v>64</v>
      </c>
    </row>
    <row r="107" spans="1:7" x14ac:dyDescent="0.25">
      <c r="A107" s="141" t="s">
        <v>362</v>
      </c>
      <c r="B107" s="145" t="s">
        <v>57</v>
      </c>
      <c r="C107" s="146"/>
      <c r="D107" s="146"/>
      <c r="E107" s="146"/>
      <c r="F107" s="146"/>
      <c r="G107" s="134"/>
    </row>
    <row r="108" spans="1:7" x14ac:dyDescent="0.25">
      <c r="A108" s="149"/>
      <c r="B108" s="147" t="s">
        <v>58</v>
      </c>
      <c r="C108" s="146"/>
      <c r="D108" s="146"/>
      <c r="E108" s="146"/>
      <c r="F108" s="146"/>
      <c r="G108" s="134"/>
    </row>
    <row r="109" spans="1:7" x14ac:dyDescent="0.25">
      <c r="A109" s="149"/>
      <c r="B109" s="65" t="s">
        <v>46</v>
      </c>
      <c r="C109" s="147" t="s">
        <v>47</v>
      </c>
      <c r="D109" s="146"/>
      <c r="E109" s="134"/>
      <c r="F109" s="34" t="s">
        <v>48</v>
      </c>
      <c r="G109" s="34" t="s">
        <v>49</v>
      </c>
    </row>
    <row r="110" spans="1:7" x14ac:dyDescent="0.25">
      <c r="A110" s="149"/>
      <c r="B110" s="35" t="s">
        <v>363</v>
      </c>
      <c r="C110" s="158" t="s">
        <v>365</v>
      </c>
      <c r="D110" s="146"/>
      <c r="E110" s="134"/>
      <c r="F110" s="43" t="s">
        <v>364</v>
      </c>
      <c r="G110" s="36" t="s">
        <v>63</v>
      </c>
    </row>
    <row r="111" spans="1:7" x14ac:dyDescent="0.25">
      <c r="A111" s="149"/>
      <c r="B111" s="148" t="s">
        <v>60</v>
      </c>
      <c r="C111" s="146"/>
      <c r="D111" s="146"/>
      <c r="E111" s="146"/>
      <c r="F111" s="146"/>
      <c r="G111" s="134"/>
    </row>
    <row r="112" spans="1:7" x14ac:dyDescent="0.25">
      <c r="A112" s="149"/>
      <c r="B112" s="33" t="s">
        <v>46</v>
      </c>
      <c r="C112" s="33" t="s">
        <v>51</v>
      </c>
      <c r="D112" s="33" t="s">
        <v>19</v>
      </c>
      <c r="E112" s="33" t="s">
        <v>52</v>
      </c>
      <c r="F112" s="33" t="s">
        <v>53</v>
      </c>
      <c r="G112" s="33" t="s">
        <v>54</v>
      </c>
    </row>
    <row r="113" spans="1:7" ht="16" customHeight="1" x14ac:dyDescent="0.25">
      <c r="A113" s="151"/>
      <c r="B113" s="37" t="s">
        <v>363</v>
      </c>
      <c r="C113" s="37" t="s">
        <v>370</v>
      </c>
      <c r="D113" s="37" t="s">
        <v>63</v>
      </c>
      <c r="E113" s="37" t="s">
        <v>360</v>
      </c>
      <c r="F113" s="37" t="s">
        <v>367</v>
      </c>
      <c r="G113" s="37" t="s">
        <v>366</v>
      </c>
    </row>
    <row r="114" spans="1:7" x14ac:dyDescent="0.25">
      <c r="A114" s="141" t="s">
        <v>368</v>
      </c>
      <c r="B114" s="145" t="s">
        <v>57</v>
      </c>
      <c r="C114" s="146"/>
      <c r="D114" s="146"/>
      <c r="E114" s="146"/>
      <c r="F114" s="146"/>
      <c r="G114" s="134"/>
    </row>
    <row r="115" spans="1:7" x14ac:dyDescent="0.25">
      <c r="A115" s="149"/>
      <c r="B115" s="147" t="s">
        <v>28</v>
      </c>
      <c r="C115" s="146"/>
      <c r="D115" s="146"/>
      <c r="E115" s="146"/>
      <c r="F115" s="146"/>
      <c r="G115" s="134"/>
    </row>
    <row r="116" spans="1:7" x14ac:dyDescent="0.25">
      <c r="A116" s="149"/>
      <c r="B116" s="157" t="s">
        <v>29</v>
      </c>
      <c r="C116" s="39" t="s">
        <v>19</v>
      </c>
      <c r="D116" s="39" t="s">
        <v>30</v>
      </c>
      <c r="E116" s="39" t="s">
        <v>31</v>
      </c>
      <c r="F116" s="34" t="s">
        <v>32</v>
      </c>
      <c r="G116" s="34" t="s">
        <v>33</v>
      </c>
    </row>
    <row r="117" spans="1:7" x14ac:dyDescent="0.25">
      <c r="A117" s="149"/>
      <c r="B117" s="149"/>
      <c r="C117" s="141" t="s">
        <v>66</v>
      </c>
      <c r="D117" s="61" t="s">
        <v>67</v>
      </c>
      <c r="E117" s="61"/>
      <c r="F117" s="141" t="s">
        <v>65</v>
      </c>
      <c r="G117" s="152" t="s">
        <v>68</v>
      </c>
    </row>
    <row r="118" spans="1:7" x14ac:dyDescent="0.25">
      <c r="A118" s="149"/>
      <c r="B118" s="149"/>
      <c r="C118" s="149"/>
      <c r="D118" s="61" t="s">
        <v>59</v>
      </c>
      <c r="E118" s="61"/>
      <c r="F118" s="149"/>
      <c r="G118" s="149"/>
    </row>
    <row r="119" spans="1:7" x14ac:dyDescent="0.25">
      <c r="A119" s="149"/>
      <c r="B119" s="149"/>
      <c r="C119" s="151"/>
      <c r="D119" s="61" t="s">
        <v>69</v>
      </c>
      <c r="E119" s="61"/>
      <c r="F119" s="151"/>
      <c r="G119" s="151"/>
    </row>
    <row r="120" spans="1:7" x14ac:dyDescent="0.25">
      <c r="A120" s="149"/>
      <c r="B120" s="149"/>
      <c r="C120" s="141" t="s">
        <v>70</v>
      </c>
      <c r="D120" s="61" t="s">
        <v>71</v>
      </c>
      <c r="E120" s="61"/>
      <c r="F120" s="141" t="s">
        <v>65</v>
      </c>
      <c r="G120" s="152" t="s">
        <v>72</v>
      </c>
    </row>
    <row r="121" spans="1:7" x14ac:dyDescent="0.25">
      <c r="A121" s="149"/>
      <c r="B121" s="151"/>
      <c r="C121" s="151"/>
      <c r="D121" s="61" t="s">
        <v>73</v>
      </c>
      <c r="E121" s="61"/>
      <c r="F121" s="151"/>
      <c r="G121" s="151"/>
    </row>
    <row r="122" spans="1:7" x14ac:dyDescent="0.25">
      <c r="A122" s="149"/>
      <c r="B122" s="147" t="s">
        <v>38</v>
      </c>
      <c r="C122" s="146"/>
      <c r="D122" s="146"/>
      <c r="E122" s="146"/>
      <c r="F122" s="146"/>
      <c r="G122" s="134"/>
    </row>
    <row r="123" spans="1:7" x14ac:dyDescent="0.25">
      <c r="A123" s="149"/>
      <c r="B123" s="157" t="s">
        <v>39</v>
      </c>
      <c r="C123" s="33" t="s">
        <v>19</v>
      </c>
      <c r="D123" s="33" t="s">
        <v>40</v>
      </c>
      <c r="E123" s="33" t="s">
        <v>74</v>
      </c>
      <c r="F123" s="33" t="s">
        <v>75</v>
      </c>
      <c r="G123" s="33" t="s">
        <v>43</v>
      </c>
    </row>
    <row r="124" spans="1:7" ht="28" x14ac:dyDescent="0.25">
      <c r="A124" s="149"/>
      <c r="B124" s="149"/>
      <c r="C124" s="64" t="s">
        <v>66</v>
      </c>
      <c r="D124" s="35" t="s">
        <v>84</v>
      </c>
      <c r="E124" s="35" t="s">
        <v>77</v>
      </c>
      <c r="F124" s="61" t="s">
        <v>76</v>
      </c>
      <c r="G124" s="35" t="s">
        <v>85</v>
      </c>
    </row>
    <row r="125" spans="1:7" x14ac:dyDescent="0.25">
      <c r="A125" s="149"/>
      <c r="B125" s="151"/>
      <c r="C125" s="64" t="s">
        <v>70</v>
      </c>
      <c r="D125" s="35" t="s">
        <v>77</v>
      </c>
      <c r="E125" s="35" t="s">
        <v>78</v>
      </c>
      <c r="F125" s="35" t="s">
        <v>86</v>
      </c>
      <c r="G125" s="61"/>
    </row>
    <row r="126" spans="1:7" x14ac:dyDescent="0.25">
      <c r="A126" s="149"/>
      <c r="B126" s="147" t="s">
        <v>79</v>
      </c>
      <c r="C126" s="146"/>
      <c r="D126" s="146"/>
      <c r="E126" s="146"/>
      <c r="F126" s="146"/>
      <c r="G126" s="134"/>
    </row>
    <row r="127" spans="1:7" x14ac:dyDescent="0.25">
      <c r="A127" s="149"/>
      <c r="B127" s="65" t="s">
        <v>46</v>
      </c>
      <c r="C127" s="147" t="s">
        <v>47</v>
      </c>
      <c r="D127" s="146"/>
      <c r="E127" s="134"/>
      <c r="F127" s="34" t="s">
        <v>48</v>
      </c>
      <c r="G127" s="34" t="s">
        <v>49</v>
      </c>
    </row>
    <row r="128" spans="1:7" x14ac:dyDescent="0.25">
      <c r="A128" s="149"/>
      <c r="B128" s="66" t="s">
        <v>369</v>
      </c>
      <c r="C128" s="158" t="s">
        <v>80</v>
      </c>
      <c r="D128" s="146"/>
      <c r="E128" s="134"/>
      <c r="F128" s="43" t="s">
        <v>81</v>
      </c>
      <c r="G128" s="35"/>
    </row>
    <row r="129" spans="1:7" x14ac:dyDescent="0.25">
      <c r="A129" s="149"/>
      <c r="B129" s="148" t="s">
        <v>82</v>
      </c>
      <c r="C129" s="146"/>
      <c r="D129" s="146"/>
      <c r="E129" s="146"/>
      <c r="F129" s="146"/>
      <c r="G129" s="134"/>
    </row>
    <row r="130" spans="1:7" x14ac:dyDescent="0.25">
      <c r="A130" s="149"/>
      <c r="B130" s="33" t="s">
        <v>46</v>
      </c>
      <c r="C130" s="33" t="s">
        <v>51</v>
      </c>
      <c r="D130" s="33" t="s">
        <v>19</v>
      </c>
      <c r="E130" s="33" t="s">
        <v>52</v>
      </c>
      <c r="F130" s="33" t="s">
        <v>53</v>
      </c>
      <c r="G130" s="33" t="s">
        <v>54</v>
      </c>
    </row>
    <row r="131" spans="1:7" ht="12" customHeight="1" x14ac:dyDescent="0.25">
      <c r="A131" s="151"/>
      <c r="B131" s="37" t="s">
        <v>369</v>
      </c>
      <c r="C131" s="37" t="s">
        <v>371</v>
      </c>
      <c r="D131" s="37" t="s">
        <v>85</v>
      </c>
      <c r="E131" s="37" t="s">
        <v>55</v>
      </c>
      <c r="F131" s="37" t="s">
        <v>372</v>
      </c>
      <c r="G131" s="37" t="s">
        <v>83</v>
      </c>
    </row>
    <row r="132" spans="1:7" x14ac:dyDescent="0.25">
      <c r="A132" s="141" t="s">
        <v>375</v>
      </c>
      <c r="B132" s="145" t="s">
        <v>57</v>
      </c>
      <c r="C132" s="146"/>
      <c r="D132" s="146"/>
      <c r="E132" s="146"/>
      <c r="F132" s="146"/>
      <c r="G132" s="134"/>
    </row>
    <row r="133" spans="1:7" x14ac:dyDescent="0.25">
      <c r="A133" s="149"/>
      <c r="B133" s="147" t="s">
        <v>28</v>
      </c>
      <c r="C133" s="146"/>
      <c r="D133" s="146"/>
      <c r="E133" s="146"/>
      <c r="F133" s="146"/>
      <c r="G133" s="134"/>
    </row>
    <row r="134" spans="1:7" x14ac:dyDescent="0.25">
      <c r="A134" s="149"/>
      <c r="B134" s="161" t="s">
        <v>29</v>
      </c>
      <c r="C134" s="39" t="s">
        <v>19</v>
      </c>
      <c r="D134" s="39" t="s">
        <v>30</v>
      </c>
      <c r="E134" s="39" t="s">
        <v>31</v>
      </c>
      <c r="F134" s="34" t="s">
        <v>32</v>
      </c>
      <c r="G134" s="34" t="s">
        <v>33</v>
      </c>
    </row>
    <row r="135" spans="1:7" x14ac:dyDescent="0.25">
      <c r="A135" s="149"/>
      <c r="B135" s="159"/>
      <c r="C135" s="141" t="s">
        <v>386</v>
      </c>
      <c r="D135" s="61" t="s">
        <v>376</v>
      </c>
      <c r="E135" s="61"/>
      <c r="F135" s="141" t="s">
        <v>387</v>
      </c>
      <c r="G135" s="152" t="s">
        <v>388</v>
      </c>
    </row>
    <row r="136" spans="1:7" x14ac:dyDescent="0.25">
      <c r="A136" s="149"/>
      <c r="B136" s="159"/>
      <c r="C136" s="160"/>
      <c r="D136" s="61" t="s">
        <v>389</v>
      </c>
      <c r="E136" s="61"/>
      <c r="F136" s="160"/>
      <c r="G136" s="160"/>
    </row>
    <row r="137" spans="1:7" x14ac:dyDescent="0.25">
      <c r="A137" s="149"/>
      <c r="B137" s="159"/>
      <c r="C137" s="141" t="s">
        <v>390</v>
      </c>
      <c r="D137" s="61" t="s">
        <v>384</v>
      </c>
      <c r="E137" s="61" t="s">
        <v>391</v>
      </c>
      <c r="F137" s="141" t="s">
        <v>392</v>
      </c>
      <c r="G137" s="152" t="s">
        <v>393</v>
      </c>
    </row>
    <row r="138" spans="1:7" x14ac:dyDescent="0.25">
      <c r="A138" s="150"/>
      <c r="B138" s="159"/>
      <c r="C138" s="141"/>
      <c r="D138" s="61" t="s">
        <v>394</v>
      </c>
      <c r="E138" s="61" t="s">
        <v>380</v>
      </c>
      <c r="F138" s="141"/>
      <c r="G138" s="152"/>
    </row>
    <row r="139" spans="1:7" x14ac:dyDescent="0.25">
      <c r="A139" s="149"/>
      <c r="B139" s="159"/>
      <c r="C139" s="160"/>
      <c r="D139" s="61"/>
      <c r="E139" s="61"/>
      <c r="F139" s="160"/>
      <c r="G139" s="160"/>
    </row>
    <row r="140" spans="1:7" x14ac:dyDescent="0.25">
      <c r="A140" s="150"/>
      <c r="B140" s="159"/>
      <c r="C140" s="141" t="s">
        <v>379</v>
      </c>
      <c r="D140" s="61" t="s">
        <v>385</v>
      </c>
      <c r="E140" s="61" t="s">
        <v>383</v>
      </c>
      <c r="F140" s="141" t="s">
        <v>387</v>
      </c>
      <c r="G140" s="141" t="s">
        <v>395</v>
      </c>
    </row>
    <row r="141" spans="1:7" x14ac:dyDescent="0.25">
      <c r="A141" s="150"/>
      <c r="B141" s="159"/>
      <c r="C141" s="141"/>
      <c r="D141" s="61" t="s">
        <v>396</v>
      </c>
      <c r="E141" s="61"/>
      <c r="F141" s="141"/>
      <c r="G141" s="141"/>
    </row>
    <row r="142" spans="1:7" x14ac:dyDescent="0.25">
      <c r="A142" s="150"/>
      <c r="B142" s="159"/>
      <c r="C142" s="160"/>
      <c r="D142" s="61" t="s">
        <v>394</v>
      </c>
      <c r="E142" s="61"/>
      <c r="F142" s="160"/>
      <c r="G142" s="160"/>
    </row>
    <row r="143" spans="1:7" x14ac:dyDescent="0.25">
      <c r="A143" s="149"/>
      <c r="B143" s="147" t="s">
        <v>38</v>
      </c>
      <c r="C143" s="146"/>
      <c r="D143" s="146"/>
      <c r="E143" s="146"/>
      <c r="F143" s="146"/>
      <c r="G143" s="134"/>
    </row>
    <row r="144" spans="1:7" x14ac:dyDescent="0.25">
      <c r="A144" s="149"/>
      <c r="B144" s="157" t="s">
        <v>39</v>
      </c>
      <c r="C144" s="33" t="s">
        <v>19</v>
      </c>
      <c r="D144" s="33" t="s">
        <v>40</v>
      </c>
      <c r="E144" s="33" t="s">
        <v>74</v>
      </c>
      <c r="F144" s="33" t="s">
        <v>75</v>
      </c>
      <c r="G144" s="33" t="s">
        <v>43</v>
      </c>
    </row>
    <row r="145" spans="1:7" ht="28" x14ac:dyDescent="0.25">
      <c r="A145" s="149"/>
      <c r="B145" s="149"/>
      <c r="C145" s="64" t="s">
        <v>378</v>
      </c>
      <c r="D145" s="35" t="s">
        <v>84</v>
      </c>
      <c r="E145" s="35" t="s">
        <v>77</v>
      </c>
      <c r="F145" s="61" t="s">
        <v>76</v>
      </c>
      <c r="G145" s="35" t="s">
        <v>85</v>
      </c>
    </row>
    <row r="146" spans="1:7" x14ac:dyDescent="0.25">
      <c r="A146" s="149"/>
      <c r="B146" s="151"/>
      <c r="C146" s="64" t="s">
        <v>377</v>
      </c>
      <c r="D146" s="35" t="s">
        <v>77</v>
      </c>
      <c r="E146" s="35" t="s">
        <v>78</v>
      </c>
      <c r="F146" s="35" t="s">
        <v>86</v>
      </c>
      <c r="G146" s="61"/>
    </row>
    <row r="147" spans="1:7" x14ac:dyDescent="0.25">
      <c r="A147" s="149"/>
      <c r="B147" s="147" t="s">
        <v>79</v>
      </c>
      <c r="C147" s="146"/>
      <c r="D147" s="146"/>
      <c r="E147" s="146"/>
      <c r="F147" s="146"/>
      <c r="G147" s="134"/>
    </row>
    <row r="148" spans="1:7" x14ac:dyDescent="0.25">
      <c r="A148" s="149"/>
      <c r="B148" s="65" t="s">
        <v>46</v>
      </c>
      <c r="C148" s="147" t="s">
        <v>47</v>
      </c>
      <c r="D148" s="146"/>
      <c r="E148" s="134"/>
      <c r="F148" s="34" t="s">
        <v>48</v>
      </c>
      <c r="G148" s="34" t="s">
        <v>49</v>
      </c>
    </row>
    <row r="149" spans="1:7" ht="56" x14ac:dyDescent="0.25">
      <c r="A149" s="149"/>
      <c r="B149" s="66" t="s">
        <v>381</v>
      </c>
      <c r="C149" s="158" t="s">
        <v>400</v>
      </c>
      <c r="D149" s="146"/>
      <c r="E149" s="134"/>
      <c r="F149" s="43" t="s">
        <v>398</v>
      </c>
      <c r="G149" s="61" t="s">
        <v>397</v>
      </c>
    </row>
    <row r="150" spans="1:7" x14ac:dyDescent="0.25">
      <c r="A150" s="149"/>
      <c r="B150" s="148" t="s">
        <v>399</v>
      </c>
      <c r="C150" s="146"/>
      <c r="D150" s="146"/>
      <c r="E150" s="146"/>
      <c r="F150" s="146"/>
      <c r="G150" s="134"/>
    </row>
    <row r="151" spans="1:7" x14ac:dyDescent="0.25">
      <c r="A151" s="149"/>
      <c r="B151" s="33" t="s">
        <v>46</v>
      </c>
      <c r="C151" s="33" t="s">
        <v>51</v>
      </c>
      <c r="D151" s="33" t="s">
        <v>19</v>
      </c>
      <c r="E151" s="33" t="s">
        <v>52</v>
      </c>
      <c r="F151" s="33" t="s">
        <v>53</v>
      </c>
      <c r="G151" s="33" t="s">
        <v>54</v>
      </c>
    </row>
    <row r="152" spans="1:7" ht="112" x14ac:dyDescent="0.25">
      <c r="A152" s="151"/>
      <c r="B152" s="37" t="s">
        <v>382</v>
      </c>
      <c r="C152" s="37" t="s">
        <v>401</v>
      </c>
      <c r="D152" s="37" t="s">
        <v>397</v>
      </c>
      <c r="E152" s="37" t="s">
        <v>55</v>
      </c>
      <c r="F152" s="37" t="s">
        <v>402</v>
      </c>
      <c r="G152" s="37" t="s">
        <v>403</v>
      </c>
    </row>
  </sheetData>
  <mergeCells count="111">
    <mergeCell ref="A132:A152"/>
    <mergeCell ref="B132:G132"/>
    <mergeCell ref="B133:G133"/>
    <mergeCell ref="C135:C136"/>
    <mergeCell ref="F135:F136"/>
    <mergeCell ref="G135:G136"/>
    <mergeCell ref="C137:C139"/>
    <mergeCell ref="F137:F139"/>
    <mergeCell ref="G137:G139"/>
    <mergeCell ref="B143:G143"/>
    <mergeCell ref="B144:B146"/>
    <mergeCell ref="B147:G147"/>
    <mergeCell ref="C148:E148"/>
    <mergeCell ref="C149:E149"/>
    <mergeCell ref="B150:G150"/>
    <mergeCell ref="B134:B142"/>
    <mergeCell ref="C140:C142"/>
    <mergeCell ref="F140:F142"/>
    <mergeCell ref="G140:G142"/>
    <mergeCell ref="A114:A131"/>
    <mergeCell ref="B114:G114"/>
    <mergeCell ref="B115:G115"/>
    <mergeCell ref="B116:B121"/>
    <mergeCell ref="C117:C119"/>
    <mergeCell ref="F117:F119"/>
    <mergeCell ref="G117:G119"/>
    <mergeCell ref="C120:C121"/>
    <mergeCell ref="F120:F121"/>
    <mergeCell ref="G120:G121"/>
    <mergeCell ref="B122:G122"/>
    <mergeCell ref="B123:B125"/>
    <mergeCell ref="B126:G126"/>
    <mergeCell ref="C127:E127"/>
    <mergeCell ref="C128:E128"/>
    <mergeCell ref="B129:G129"/>
    <mergeCell ref="A107:A113"/>
    <mergeCell ref="B107:G107"/>
    <mergeCell ref="B108:G108"/>
    <mergeCell ref="C109:E109"/>
    <mergeCell ref="C110:E110"/>
    <mergeCell ref="B111:G111"/>
    <mergeCell ref="A100:A106"/>
    <mergeCell ref="B100:G100"/>
    <mergeCell ref="B101:G101"/>
    <mergeCell ref="C102:E102"/>
    <mergeCell ref="C103:E103"/>
    <mergeCell ref="B104:G104"/>
    <mergeCell ref="A93:A99"/>
    <mergeCell ref="B93:G93"/>
    <mergeCell ref="B94:G94"/>
    <mergeCell ref="C95:E95"/>
    <mergeCell ref="C96:E96"/>
    <mergeCell ref="B97:G97"/>
    <mergeCell ref="C70:C76"/>
    <mergeCell ref="F70:F76"/>
    <mergeCell ref="G70:G76"/>
    <mergeCell ref="C77:C83"/>
    <mergeCell ref="F77:F83"/>
    <mergeCell ref="G77:G83"/>
    <mergeCell ref="B84:G84"/>
    <mergeCell ref="B85:B86"/>
    <mergeCell ref="B87:G87"/>
    <mergeCell ref="A50:A92"/>
    <mergeCell ref="B50:G50"/>
    <mergeCell ref="B51:G51"/>
    <mergeCell ref="B52:B83"/>
    <mergeCell ref="C57:C63"/>
    <mergeCell ref="F57:F63"/>
    <mergeCell ref="G57:G63"/>
    <mergeCell ref="C88:E88"/>
    <mergeCell ref="C89:E89"/>
    <mergeCell ref="A1:A10"/>
    <mergeCell ref="F1:G1"/>
    <mergeCell ref="B13:B40"/>
    <mergeCell ref="C45:E45"/>
    <mergeCell ref="C46:E46"/>
    <mergeCell ref="F2:G2"/>
    <mergeCell ref="F3:G3"/>
    <mergeCell ref="A11:A49"/>
    <mergeCell ref="B41:G41"/>
    <mergeCell ref="B42:B43"/>
    <mergeCell ref="B44:G44"/>
    <mergeCell ref="G14:G20"/>
    <mergeCell ref="B47:G47"/>
    <mergeCell ref="F14:F20"/>
    <mergeCell ref="F4:G4"/>
    <mergeCell ref="F5:G5"/>
    <mergeCell ref="F6:G6"/>
    <mergeCell ref="C34:C40"/>
    <mergeCell ref="F34:F40"/>
    <mergeCell ref="G34:G40"/>
    <mergeCell ref="C21:C26"/>
    <mergeCell ref="F21:F26"/>
    <mergeCell ref="G21:G26"/>
    <mergeCell ref="C27:C33"/>
    <mergeCell ref="F7:G7"/>
    <mergeCell ref="F8:G8"/>
    <mergeCell ref="F9:G9"/>
    <mergeCell ref="F10:G10"/>
    <mergeCell ref="C14:C20"/>
    <mergeCell ref="B11:G11"/>
    <mergeCell ref="B12:G12"/>
    <mergeCell ref="B90:G90"/>
    <mergeCell ref="C53:C56"/>
    <mergeCell ref="F53:F56"/>
    <mergeCell ref="G53:G56"/>
    <mergeCell ref="C64:C69"/>
    <mergeCell ref="F64:F69"/>
    <mergeCell ref="G64:G69"/>
    <mergeCell ref="F27:F33"/>
    <mergeCell ref="G27:G33"/>
  </mergeCells>
  <phoneticPr fontId="1" type="noConversion"/>
  <dataValidations disablePrompts="1" count="1">
    <dataValidation type="list" allowBlank="1" showInputMessage="1" showErrorMessage="1" sqref="C2:C10">
      <formula1>"流程图,状态机,等价类划分&amp;数据组合,直接分析"</formula1>
    </dataValidation>
  </dataValidation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G313"/>
  <sheetViews>
    <sheetView workbookViewId="0">
      <pane xSplit="1" ySplit="9" topLeftCell="B10" activePane="bottomRight" state="frozen"/>
      <selection pane="topRight" activeCell="B1" sqref="B1"/>
      <selection pane="bottomLeft" activeCell="A10" sqref="A10"/>
      <selection pane="bottomRight" activeCell="F27" sqref="F27:F33"/>
    </sheetView>
  </sheetViews>
  <sheetFormatPr defaultColWidth="9" defaultRowHeight="14" x14ac:dyDescent="0.25"/>
  <cols>
    <col min="1" max="1" width="9.90625" style="46" customWidth="1"/>
    <col min="2" max="2" width="26.90625" style="46" customWidth="1"/>
    <col min="3" max="3" width="44.08984375" style="46" customWidth="1"/>
    <col min="4" max="4" width="37" style="46" customWidth="1"/>
    <col min="5" max="5" width="26.90625" style="46" customWidth="1"/>
    <col min="6" max="6" width="36.08984375" style="46" customWidth="1"/>
    <col min="7" max="7" width="70" style="46" customWidth="1"/>
    <col min="8" max="23" width="9" style="46" customWidth="1"/>
    <col min="24" max="16384" width="9" style="46"/>
  </cols>
  <sheetData>
    <row r="1" spans="1:7" x14ac:dyDescent="0.25">
      <c r="A1" s="155" t="s">
        <v>26</v>
      </c>
      <c r="B1" s="67" t="s">
        <v>15</v>
      </c>
      <c r="C1" s="67" t="s">
        <v>16</v>
      </c>
      <c r="D1" s="67" t="s">
        <v>17</v>
      </c>
      <c r="E1" s="67" t="s">
        <v>18</v>
      </c>
      <c r="F1" s="156" t="s">
        <v>19</v>
      </c>
      <c r="G1" s="134"/>
    </row>
    <row r="2" spans="1:7" ht="14.15" customHeight="1" x14ac:dyDescent="0.25">
      <c r="A2" s="149"/>
      <c r="B2" s="63" t="s">
        <v>188</v>
      </c>
      <c r="C2" s="63" t="s">
        <v>21</v>
      </c>
      <c r="D2" s="63"/>
      <c r="E2" s="68">
        <v>19</v>
      </c>
      <c r="F2" s="132" t="s">
        <v>189</v>
      </c>
      <c r="G2" s="132"/>
    </row>
    <row r="3" spans="1:7" ht="14.15" customHeight="1" x14ac:dyDescent="0.25">
      <c r="A3" s="149"/>
      <c r="B3" s="63" t="s">
        <v>190</v>
      </c>
      <c r="C3" s="63" t="s">
        <v>21</v>
      </c>
      <c r="D3" s="63"/>
      <c r="E3" s="68">
        <v>19</v>
      </c>
      <c r="F3" s="132" t="s">
        <v>189</v>
      </c>
      <c r="G3" s="132"/>
    </row>
    <row r="4" spans="1:7" x14ac:dyDescent="0.25">
      <c r="A4" s="149"/>
      <c r="B4" s="63" t="s">
        <v>191</v>
      </c>
      <c r="C4" s="63" t="s">
        <v>22</v>
      </c>
      <c r="D4" s="63"/>
      <c r="E4" s="68">
        <v>2</v>
      </c>
      <c r="F4" s="132"/>
      <c r="G4" s="132"/>
    </row>
    <row r="5" spans="1:7" ht="14.15" customHeight="1" x14ac:dyDescent="0.25">
      <c r="A5" s="149"/>
      <c r="B5" s="63" t="s">
        <v>192</v>
      </c>
      <c r="C5" s="63" t="s">
        <v>22</v>
      </c>
      <c r="D5" s="63"/>
      <c r="E5" s="68">
        <v>2</v>
      </c>
      <c r="F5" s="132"/>
      <c r="G5" s="132"/>
    </row>
    <row r="6" spans="1:7" ht="14.5" customHeight="1" x14ac:dyDescent="0.25">
      <c r="A6" s="149"/>
      <c r="B6" s="63" t="s">
        <v>193</v>
      </c>
      <c r="C6" s="63" t="s">
        <v>22</v>
      </c>
      <c r="D6" s="63"/>
      <c r="E6" s="68">
        <v>1</v>
      </c>
      <c r="F6" s="132"/>
      <c r="G6" s="132"/>
    </row>
    <row r="7" spans="1:7" ht="14.5" customHeight="1" x14ac:dyDescent="0.25">
      <c r="A7" s="149"/>
      <c r="B7" s="63" t="s">
        <v>194</v>
      </c>
      <c r="C7" s="63" t="s">
        <v>22</v>
      </c>
      <c r="D7" s="63"/>
      <c r="E7" s="68">
        <v>1</v>
      </c>
      <c r="F7" s="132"/>
      <c r="G7" s="132"/>
    </row>
    <row r="8" spans="1:7" ht="14.5" customHeight="1" x14ac:dyDescent="0.25">
      <c r="A8" s="149"/>
      <c r="B8" s="63" t="s">
        <v>195</v>
      </c>
      <c r="C8" s="63" t="s">
        <v>22</v>
      </c>
      <c r="D8" s="63"/>
      <c r="E8" s="68">
        <v>2</v>
      </c>
      <c r="F8" s="132" t="s">
        <v>196</v>
      </c>
      <c r="G8" s="132"/>
    </row>
    <row r="9" spans="1:7" ht="14.15" customHeight="1" x14ac:dyDescent="0.25">
      <c r="A9" s="149"/>
      <c r="B9" s="63" t="s">
        <v>197</v>
      </c>
      <c r="C9" s="63" t="s">
        <v>22</v>
      </c>
      <c r="D9" s="63"/>
      <c r="E9" s="68">
        <v>1</v>
      </c>
      <c r="F9" s="132"/>
      <c r="G9" s="132"/>
    </row>
    <row r="10" spans="1:7" x14ac:dyDescent="0.25">
      <c r="A10" s="141" t="s">
        <v>504</v>
      </c>
      <c r="B10" s="145" t="s">
        <v>27</v>
      </c>
      <c r="C10" s="146"/>
      <c r="D10" s="146"/>
      <c r="E10" s="146"/>
      <c r="F10" s="146"/>
      <c r="G10" s="134"/>
    </row>
    <row r="11" spans="1:7" x14ac:dyDescent="0.25">
      <c r="A11" s="149"/>
      <c r="B11" s="147" t="s">
        <v>28</v>
      </c>
      <c r="C11" s="146"/>
      <c r="D11" s="146"/>
      <c r="E11" s="146"/>
      <c r="F11" s="146"/>
      <c r="G11" s="134"/>
    </row>
    <row r="12" spans="1:7" x14ac:dyDescent="0.25">
      <c r="A12" s="149"/>
      <c r="B12" s="157" t="s">
        <v>29</v>
      </c>
      <c r="C12" s="39" t="s">
        <v>19</v>
      </c>
      <c r="D12" s="39" t="s">
        <v>30</v>
      </c>
      <c r="E12" s="39" t="s">
        <v>31</v>
      </c>
      <c r="F12" s="34" t="s">
        <v>32</v>
      </c>
      <c r="G12" s="34" t="s">
        <v>33</v>
      </c>
    </row>
    <row r="13" spans="1:7" ht="14.15" customHeight="1" x14ac:dyDescent="0.25">
      <c r="A13" s="149"/>
      <c r="B13" s="149"/>
      <c r="C13" s="141" t="s">
        <v>414</v>
      </c>
      <c r="D13" s="61" t="s">
        <v>409</v>
      </c>
      <c r="E13" s="61" t="s">
        <v>410</v>
      </c>
      <c r="F13" s="141" t="s">
        <v>415</v>
      </c>
      <c r="G13" s="141" t="s">
        <v>2413</v>
      </c>
    </row>
    <row r="14" spans="1:7" x14ac:dyDescent="0.25">
      <c r="A14" s="149"/>
      <c r="B14" s="149"/>
      <c r="C14" s="153"/>
      <c r="D14" s="61" t="s">
        <v>411</v>
      </c>
      <c r="E14" s="61" t="s">
        <v>412</v>
      </c>
      <c r="F14" s="153"/>
      <c r="G14" s="153"/>
    </row>
    <row r="15" spans="1:7" x14ac:dyDescent="0.25">
      <c r="A15" s="150"/>
      <c r="B15" s="150"/>
      <c r="C15" s="153"/>
      <c r="D15" s="61" t="s">
        <v>413</v>
      </c>
      <c r="E15" s="61" t="s">
        <v>420</v>
      </c>
      <c r="F15" s="153"/>
      <c r="G15" s="153"/>
    </row>
    <row r="16" spans="1:7" x14ac:dyDescent="0.25">
      <c r="A16" s="150"/>
      <c r="B16" s="150"/>
      <c r="C16" s="153"/>
      <c r="D16" s="61"/>
      <c r="E16" s="61" t="s">
        <v>2412</v>
      </c>
      <c r="F16" s="153"/>
      <c r="G16" s="153"/>
    </row>
    <row r="17" spans="1:7" x14ac:dyDescent="0.25">
      <c r="A17" s="150"/>
      <c r="B17" s="150"/>
      <c r="C17" s="141" t="s">
        <v>416</v>
      </c>
      <c r="D17" s="61" t="s">
        <v>417</v>
      </c>
      <c r="E17" s="61" t="s">
        <v>419</v>
      </c>
      <c r="F17" s="141" t="s">
        <v>415</v>
      </c>
      <c r="G17" s="141" t="s">
        <v>513</v>
      </c>
    </row>
    <row r="18" spans="1:7" x14ac:dyDescent="0.25">
      <c r="A18" s="150"/>
      <c r="B18" s="150"/>
      <c r="C18" s="153"/>
      <c r="D18" s="61" t="s">
        <v>418</v>
      </c>
      <c r="E18" s="61" t="s">
        <v>420</v>
      </c>
      <c r="F18" s="153"/>
      <c r="G18" s="153"/>
    </row>
    <row r="19" spans="1:7" x14ac:dyDescent="0.25">
      <c r="A19" s="149"/>
      <c r="B19" s="149"/>
      <c r="C19" s="153"/>
      <c r="D19" s="61"/>
      <c r="E19" s="61" t="s">
        <v>421</v>
      </c>
      <c r="F19" s="153"/>
      <c r="G19" s="153"/>
    </row>
    <row r="20" spans="1:7" x14ac:dyDescent="0.25">
      <c r="A20" s="149"/>
      <c r="B20" s="149"/>
      <c r="C20" s="141" t="s">
        <v>408</v>
      </c>
      <c r="D20" s="41" t="s">
        <v>406</v>
      </c>
      <c r="E20" s="41" t="s">
        <v>334</v>
      </c>
      <c r="F20" s="141" t="s">
        <v>35</v>
      </c>
      <c r="G20" s="152" t="s">
        <v>514</v>
      </c>
    </row>
    <row r="21" spans="1:7" x14ac:dyDescent="0.25">
      <c r="A21" s="150"/>
      <c r="B21" s="150"/>
      <c r="C21" s="153"/>
      <c r="D21" s="41" t="s">
        <v>422</v>
      </c>
      <c r="E21" s="41" t="s">
        <v>465</v>
      </c>
      <c r="F21" s="153"/>
      <c r="G21" s="154"/>
    </row>
    <row r="22" spans="1:7" x14ac:dyDescent="0.25">
      <c r="A22" s="150"/>
      <c r="B22" s="150"/>
      <c r="C22" s="149"/>
      <c r="D22" s="41" t="s">
        <v>427</v>
      </c>
      <c r="E22" s="41" t="s">
        <v>458</v>
      </c>
      <c r="F22" s="149"/>
      <c r="G22" s="150"/>
    </row>
    <row r="23" spans="1:7" x14ac:dyDescent="0.25">
      <c r="A23" s="150"/>
      <c r="B23" s="150"/>
      <c r="C23" s="150"/>
      <c r="D23" s="61" t="s">
        <v>423</v>
      </c>
      <c r="E23" s="41" t="s">
        <v>468</v>
      </c>
      <c r="F23" s="150"/>
      <c r="G23" s="150"/>
    </row>
    <row r="24" spans="1:7" ht="28" x14ac:dyDescent="0.25">
      <c r="A24" s="150"/>
      <c r="B24" s="150"/>
      <c r="C24" s="150"/>
      <c r="D24" s="61" t="s">
        <v>428</v>
      </c>
      <c r="E24" s="41" t="s">
        <v>503</v>
      </c>
      <c r="F24" s="150"/>
      <c r="G24" s="150"/>
    </row>
    <row r="25" spans="1:7" x14ac:dyDescent="0.25">
      <c r="A25" s="150"/>
      <c r="B25" s="150"/>
      <c r="C25" s="150"/>
      <c r="D25" s="61"/>
      <c r="E25" s="61" t="s">
        <v>405</v>
      </c>
      <c r="F25" s="150"/>
      <c r="G25" s="150"/>
    </row>
    <row r="26" spans="1:7" x14ac:dyDescent="0.25">
      <c r="A26" s="149"/>
      <c r="B26" s="149"/>
      <c r="C26" s="150"/>
      <c r="D26" s="61"/>
      <c r="E26" s="61" t="s">
        <v>420</v>
      </c>
      <c r="F26" s="150"/>
      <c r="G26" s="150"/>
    </row>
    <row r="27" spans="1:7" x14ac:dyDescent="0.25">
      <c r="A27" s="149"/>
      <c r="B27" s="149"/>
      <c r="C27" s="141" t="s">
        <v>429</v>
      </c>
      <c r="D27" s="41" t="s">
        <v>466</v>
      </c>
      <c r="E27" s="41" t="s">
        <v>334</v>
      </c>
      <c r="F27" s="141" t="s">
        <v>35</v>
      </c>
      <c r="G27" s="152" t="s">
        <v>515</v>
      </c>
    </row>
    <row r="28" spans="1:7" x14ac:dyDescent="0.25">
      <c r="A28" s="149"/>
      <c r="B28" s="149"/>
      <c r="C28" s="149"/>
      <c r="D28" s="41" t="s">
        <v>422</v>
      </c>
      <c r="E28" s="41" t="s">
        <v>467</v>
      </c>
      <c r="F28" s="149"/>
      <c r="G28" s="150"/>
    </row>
    <row r="29" spans="1:7" x14ac:dyDescent="0.25">
      <c r="A29" s="150"/>
      <c r="B29" s="150"/>
      <c r="C29" s="150"/>
      <c r="D29" s="41" t="s">
        <v>427</v>
      </c>
      <c r="E29" s="41" t="s">
        <v>426</v>
      </c>
      <c r="F29" s="150"/>
      <c r="G29" s="150"/>
    </row>
    <row r="30" spans="1:7" x14ac:dyDescent="0.25">
      <c r="A30" s="150"/>
      <c r="B30" s="150"/>
      <c r="C30" s="150"/>
      <c r="D30" s="61" t="s">
        <v>423</v>
      </c>
      <c r="E30" s="41" t="s">
        <v>427</v>
      </c>
      <c r="F30" s="150"/>
      <c r="G30" s="150"/>
    </row>
    <row r="31" spans="1:7" ht="28" x14ac:dyDescent="0.25">
      <c r="A31" s="150"/>
      <c r="B31" s="150"/>
      <c r="C31" s="150"/>
      <c r="D31" s="61" t="s">
        <v>430</v>
      </c>
      <c r="E31" s="41" t="s">
        <v>502</v>
      </c>
      <c r="F31" s="150"/>
      <c r="G31" s="150"/>
    </row>
    <row r="32" spans="1:7" x14ac:dyDescent="0.25">
      <c r="A32" s="150"/>
      <c r="B32" s="150"/>
      <c r="C32" s="150"/>
      <c r="D32" s="61"/>
      <c r="E32" s="61" t="s">
        <v>405</v>
      </c>
      <c r="F32" s="150"/>
      <c r="G32" s="150"/>
    </row>
    <row r="33" spans="1:7" x14ac:dyDescent="0.25">
      <c r="A33" s="149"/>
      <c r="B33" s="149"/>
      <c r="C33" s="150"/>
      <c r="D33" s="61"/>
      <c r="E33" s="61" t="s">
        <v>434</v>
      </c>
      <c r="F33" s="150"/>
      <c r="G33" s="150"/>
    </row>
    <row r="34" spans="1:7" x14ac:dyDescent="0.25">
      <c r="A34" s="150"/>
      <c r="B34" s="150"/>
      <c r="C34" s="141" t="s">
        <v>431</v>
      </c>
      <c r="D34" s="41" t="s">
        <v>406</v>
      </c>
      <c r="E34" s="41" t="s">
        <v>334</v>
      </c>
      <c r="F34" s="141" t="s">
        <v>35</v>
      </c>
      <c r="G34" s="152" t="s">
        <v>516</v>
      </c>
    </row>
    <row r="35" spans="1:7" x14ac:dyDescent="0.25">
      <c r="A35" s="150"/>
      <c r="B35" s="150"/>
      <c r="C35" s="149"/>
      <c r="D35" s="41" t="s">
        <v>422</v>
      </c>
      <c r="E35" s="41" t="s">
        <v>469</v>
      </c>
      <c r="F35" s="149"/>
      <c r="G35" s="150"/>
    </row>
    <row r="36" spans="1:7" x14ac:dyDescent="0.25">
      <c r="A36" s="150"/>
      <c r="B36" s="150"/>
      <c r="C36" s="150"/>
      <c r="D36" s="41" t="s">
        <v>427</v>
      </c>
      <c r="E36" s="41" t="s">
        <v>426</v>
      </c>
      <c r="F36" s="150"/>
      <c r="G36" s="150"/>
    </row>
    <row r="37" spans="1:7" x14ac:dyDescent="0.25">
      <c r="A37" s="150"/>
      <c r="B37" s="150"/>
      <c r="C37" s="150"/>
      <c r="D37" s="61" t="s">
        <v>423</v>
      </c>
      <c r="E37" s="41" t="s">
        <v>468</v>
      </c>
      <c r="F37" s="150"/>
      <c r="G37" s="150"/>
    </row>
    <row r="38" spans="1:7" ht="28" x14ac:dyDescent="0.25">
      <c r="A38" s="150"/>
      <c r="B38" s="150"/>
      <c r="C38" s="150"/>
      <c r="D38" s="61" t="s">
        <v>428</v>
      </c>
      <c r="E38" s="41" t="s">
        <v>501</v>
      </c>
      <c r="F38" s="150"/>
      <c r="G38" s="150"/>
    </row>
    <row r="39" spans="1:7" x14ac:dyDescent="0.25">
      <c r="A39" s="150"/>
      <c r="B39" s="150"/>
      <c r="C39" s="150"/>
      <c r="D39" s="61"/>
      <c r="E39" s="61" t="s">
        <v>405</v>
      </c>
      <c r="F39" s="150"/>
      <c r="G39" s="150"/>
    </row>
    <row r="40" spans="1:7" x14ac:dyDescent="0.25">
      <c r="A40" s="150"/>
      <c r="B40" s="150"/>
      <c r="C40" s="150"/>
      <c r="D40" s="61"/>
      <c r="E40" s="61" t="s">
        <v>420</v>
      </c>
      <c r="F40" s="150"/>
      <c r="G40" s="150"/>
    </row>
    <row r="41" spans="1:7" x14ac:dyDescent="0.25">
      <c r="A41" s="150"/>
      <c r="B41" s="150"/>
      <c r="C41" s="141" t="s">
        <v>432</v>
      </c>
      <c r="D41" s="41" t="s">
        <v>406</v>
      </c>
      <c r="E41" s="41" t="s">
        <v>334</v>
      </c>
      <c r="F41" s="141" t="s">
        <v>35</v>
      </c>
      <c r="G41" s="152" t="s">
        <v>517</v>
      </c>
    </row>
    <row r="42" spans="1:7" x14ac:dyDescent="0.25">
      <c r="A42" s="150"/>
      <c r="B42" s="150"/>
      <c r="C42" s="149"/>
      <c r="D42" s="41" t="s">
        <v>422</v>
      </c>
      <c r="E42" s="41" t="s">
        <v>467</v>
      </c>
      <c r="F42" s="149"/>
      <c r="G42" s="150"/>
    </row>
    <row r="43" spans="1:7" x14ac:dyDescent="0.25">
      <c r="A43" s="150"/>
      <c r="B43" s="150"/>
      <c r="C43" s="150"/>
      <c r="D43" s="41" t="s">
        <v>427</v>
      </c>
      <c r="E43" s="41" t="s">
        <v>426</v>
      </c>
      <c r="F43" s="150"/>
      <c r="G43" s="150"/>
    </row>
    <row r="44" spans="1:7" x14ac:dyDescent="0.25">
      <c r="A44" s="150"/>
      <c r="B44" s="150"/>
      <c r="C44" s="150"/>
      <c r="D44" s="61" t="s">
        <v>423</v>
      </c>
      <c r="E44" s="41" t="s">
        <v>457</v>
      </c>
      <c r="F44" s="150"/>
      <c r="G44" s="150"/>
    </row>
    <row r="45" spans="1:7" ht="28" x14ac:dyDescent="0.25">
      <c r="A45" s="150"/>
      <c r="B45" s="150"/>
      <c r="C45" s="150"/>
      <c r="D45" s="61" t="s">
        <v>430</v>
      </c>
      <c r="E45" s="41" t="s">
        <v>500</v>
      </c>
      <c r="F45" s="150"/>
      <c r="G45" s="150"/>
    </row>
    <row r="46" spans="1:7" x14ac:dyDescent="0.25">
      <c r="A46" s="150"/>
      <c r="B46" s="150"/>
      <c r="C46" s="150"/>
      <c r="D46" s="61"/>
      <c r="E46" s="61" t="s">
        <v>405</v>
      </c>
      <c r="F46" s="150"/>
      <c r="G46" s="150"/>
    </row>
    <row r="47" spans="1:7" x14ac:dyDescent="0.25">
      <c r="A47" s="150"/>
      <c r="B47" s="150"/>
      <c r="C47" s="150"/>
      <c r="D47" s="61"/>
      <c r="E47" s="61" t="s">
        <v>435</v>
      </c>
      <c r="F47" s="150"/>
      <c r="G47" s="150"/>
    </row>
    <row r="48" spans="1:7" x14ac:dyDescent="0.25">
      <c r="A48" s="150"/>
      <c r="B48" s="150"/>
      <c r="C48" s="141" t="s">
        <v>471</v>
      </c>
      <c r="D48" s="41" t="s">
        <v>406</v>
      </c>
      <c r="E48" s="41" t="s">
        <v>334</v>
      </c>
      <c r="F48" s="141" t="s">
        <v>35</v>
      </c>
      <c r="G48" s="152" t="s">
        <v>518</v>
      </c>
    </row>
    <row r="49" spans="1:7" x14ac:dyDescent="0.25">
      <c r="A49" s="150"/>
      <c r="B49" s="150"/>
      <c r="C49" s="149"/>
      <c r="D49" s="41" t="s">
        <v>404</v>
      </c>
      <c r="E49" s="41" t="s">
        <v>467</v>
      </c>
      <c r="F49" s="149"/>
      <c r="G49" s="150"/>
    </row>
    <row r="50" spans="1:7" x14ac:dyDescent="0.25">
      <c r="A50" s="150"/>
      <c r="B50" s="150"/>
      <c r="C50" s="150"/>
      <c r="D50" s="41" t="s">
        <v>473</v>
      </c>
      <c r="E50" s="41" t="s">
        <v>475</v>
      </c>
      <c r="F50" s="150"/>
      <c r="G50" s="150"/>
    </row>
    <row r="51" spans="1:7" x14ac:dyDescent="0.25">
      <c r="A51" s="150"/>
      <c r="B51" s="150"/>
      <c r="C51" s="150"/>
      <c r="D51" s="61" t="s">
        <v>472</v>
      </c>
      <c r="E51" s="41" t="s">
        <v>474</v>
      </c>
      <c r="F51" s="150"/>
      <c r="G51" s="150"/>
    </row>
    <row r="52" spans="1:7" x14ac:dyDescent="0.25">
      <c r="A52" s="150"/>
      <c r="B52" s="150"/>
      <c r="C52" s="150"/>
      <c r="D52" s="61"/>
      <c r="E52" s="61" t="s">
        <v>405</v>
      </c>
      <c r="F52" s="150"/>
      <c r="G52" s="150"/>
    </row>
    <row r="53" spans="1:7" x14ac:dyDescent="0.25">
      <c r="A53" s="150"/>
      <c r="B53" s="150"/>
      <c r="C53" s="150"/>
      <c r="D53" s="61"/>
      <c r="E53" s="61" t="s">
        <v>435</v>
      </c>
      <c r="F53" s="150"/>
      <c r="G53" s="150"/>
    </row>
    <row r="54" spans="1:7" x14ac:dyDescent="0.25">
      <c r="A54" s="150"/>
      <c r="B54" s="150"/>
      <c r="C54" s="141" t="s">
        <v>476</v>
      </c>
      <c r="D54" s="41" t="s">
        <v>406</v>
      </c>
      <c r="E54" s="41" t="s">
        <v>334</v>
      </c>
      <c r="F54" s="141" t="s">
        <v>35</v>
      </c>
      <c r="G54" s="152" t="s">
        <v>519</v>
      </c>
    </row>
    <row r="55" spans="1:7" x14ac:dyDescent="0.25">
      <c r="A55" s="150"/>
      <c r="B55" s="150"/>
      <c r="C55" s="149"/>
      <c r="D55" s="41" t="s">
        <v>404</v>
      </c>
      <c r="E55" s="41" t="s">
        <v>467</v>
      </c>
      <c r="F55" s="149"/>
      <c r="G55" s="150"/>
    </row>
    <row r="56" spans="1:7" x14ac:dyDescent="0.25">
      <c r="A56" s="150"/>
      <c r="B56" s="150"/>
      <c r="C56" s="150"/>
      <c r="D56" s="41" t="s">
        <v>473</v>
      </c>
      <c r="E56" s="41" t="s">
        <v>475</v>
      </c>
      <c r="F56" s="150"/>
      <c r="G56" s="150"/>
    </row>
    <row r="57" spans="1:7" x14ac:dyDescent="0.25">
      <c r="A57" s="150"/>
      <c r="B57" s="150"/>
      <c r="C57" s="150"/>
      <c r="D57" s="61" t="s">
        <v>472</v>
      </c>
      <c r="E57" s="41" t="s">
        <v>474</v>
      </c>
      <c r="F57" s="150"/>
      <c r="G57" s="150"/>
    </row>
    <row r="58" spans="1:7" x14ac:dyDescent="0.25">
      <c r="A58" s="150"/>
      <c r="B58" s="150"/>
      <c r="C58" s="150"/>
      <c r="D58" s="61"/>
      <c r="E58" s="61" t="s">
        <v>405</v>
      </c>
      <c r="F58" s="150"/>
      <c r="G58" s="150"/>
    </row>
    <row r="59" spans="1:7" x14ac:dyDescent="0.25">
      <c r="A59" s="150"/>
      <c r="B59" s="150"/>
      <c r="C59" s="150"/>
      <c r="D59" s="61"/>
      <c r="E59" s="61" t="s">
        <v>435</v>
      </c>
      <c r="F59" s="150"/>
      <c r="G59" s="150"/>
    </row>
    <row r="60" spans="1:7" x14ac:dyDescent="0.25">
      <c r="A60" s="150"/>
      <c r="B60" s="150"/>
      <c r="C60" s="141" t="s">
        <v>433</v>
      </c>
      <c r="D60" s="41" t="s">
        <v>455</v>
      </c>
      <c r="E60" s="41" t="s">
        <v>467</v>
      </c>
      <c r="F60" s="141" t="s">
        <v>35</v>
      </c>
      <c r="G60" s="152" t="s">
        <v>520</v>
      </c>
    </row>
    <row r="61" spans="1:7" x14ac:dyDescent="0.25">
      <c r="A61" s="150"/>
      <c r="B61" s="150"/>
      <c r="C61" s="160"/>
      <c r="D61" s="41" t="s">
        <v>334</v>
      </c>
      <c r="E61" s="41" t="s">
        <v>456</v>
      </c>
      <c r="F61" s="160"/>
      <c r="G61" s="160"/>
    </row>
    <row r="62" spans="1:7" x14ac:dyDescent="0.25">
      <c r="A62" s="150"/>
      <c r="B62" s="150"/>
      <c r="C62" s="160"/>
      <c r="D62" s="41" t="s">
        <v>436</v>
      </c>
      <c r="E62" s="61" t="s">
        <v>407</v>
      </c>
      <c r="F62" s="160"/>
      <c r="G62" s="160"/>
    </row>
    <row r="63" spans="1:7" x14ac:dyDescent="0.25">
      <c r="A63" s="150"/>
      <c r="B63" s="150"/>
      <c r="C63" s="160"/>
      <c r="D63" s="61" t="s">
        <v>437</v>
      </c>
      <c r="E63" s="41" t="s">
        <v>438</v>
      </c>
      <c r="F63" s="160"/>
      <c r="G63" s="160"/>
    </row>
    <row r="64" spans="1:7" x14ac:dyDescent="0.25">
      <c r="A64" s="150"/>
      <c r="B64" s="150"/>
      <c r="C64" s="141" t="s">
        <v>451</v>
      </c>
      <c r="D64" s="41" t="s">
        <v>466</v>
      </c>
      <c r="E64" s="41" t="s">
        <v>470</v>
      </c>
      <c r="F64" s="141" t="s">
        <v>35</v>
      </c>
      <c r="G64" s="152" t="s">
        <v>521</v>
      </c>
    </row>
    <row r="65" spans="1:7" x14ac:dyDescent="0.25">
      <c r="A65" s="150"/>
      <c r="B65" s="150"/>
      <c r="C65" s="160"/>
      <c r="D65" s="41" t="s">
        <v>334</v>
      </c>
      <c r="E65" s="41" t="s">
        <v>454</v>
      </c>
      <c r="F65" s="160"/>
      <c r="G65" s="160"/>
    </row>
    <row r="66" spans="1:7" x14ac:dyDescent="0.25">
      <c r="A66" s="150"/>
      <c r="B66" s="150"/>
      <c r="C66" s="160"/>
      <c r="D66" s="41" t="s">
        <v>452</v>
      </c>
      <c r="E66" s="61" t="s">
        <v>407</v>
      </c>
      <c r="F66" s="160"/>
      <c r="G66" s="160"/>
    </row>
    <row r="67" spans="1:7" x14ac:dyDescent="0.25">
      <c r="A67" s="150"/>
      <c r="B67" s="150"/>
      <c r="C67" s="160"/>
      <c r="D67" s="61" t="s">
        <v>453</v>
      </c>
      <c r="E67" s="41" t="s">
        <v>438</v>
      </c>
      <c r="F67" s="160"/>
      <c r="G67" s="160"/>
    </row>
    <row r="68" spans="1:7" x14ac:dyDescent="0.25">
      <c r="A68" s="150"/>
      <c r="B68" s="150"/>
      <c r="C68" s="141" t="s">
        <v>459</v>
      </c>
      <c r="D68" s="61" t="s">
        <v>460</v>
      </c>
      <c r="E68" s="61" t="s">
        <v>419</v>
      </c>
      <c r="F68" s="141" t="s">
        <v>415</v>
      </c>
      <c r="G68" s="141" t="s">
        <v>522</v>
      </c>
    </row>
    <row r="69" spans="1:7" x14ac:dyDescent="0.25">
      <c r="A69" s="150"/>
      <c r="B69" s="150"/>
      <c r="C69" s="153"/>
      <c r="D69" s="42" t="s">
        <v>461</v>
      </c>
      <c r="E69" s="61" t="s">
        <v>420</v>
      </c>
      <c r="F69" s="153"/>
      <c r="G69" s="153"/>
    </row>
    <row r="70" spans="1:7" x14ac:dyDescent="0.25">
      <c r="A70" s="150"/>
      <c r="B70" s="150"/>
      <c r="C70" s="153"/>
      <c r="D70" s="61"/>
      <c r="E70" s="61" t="s">
        <v>421</v>
      </c>
      <c r="F70" s="153"/>
      <c r="G70" s="153"/>
    </row>
    <row r="71" spans="1:7" x14ac:dyDescent="0.25">
      <c r="A71" s="150"/>
      <c r="B71" s="150"/>
      <c r="C71" s="141" t="s">
        <v>463</v>
      </c>
      <c r="D71" s="41" t="s">
        <v>406</v>
      </c>
      <c r="E71" s="41" t="s">
        <v>334</v>
      </c>
      <c r="F71" s="141" t="s">
        <v>35</v>
      </c>
      <c r="G71" s="152" t="s">
        <v>523</v>
      </c>
    </row>
    <row r="72" spans="1:7" x14ac:dyDescent="0.25">
      <c r="A72" s="150"/>
      <c r="B72" s="150"/>
      <c r="C72" s="153"/>
      <c r="D72" s="41" t="s">
        <v>422</v>
      </c>
      <c r="E72" s="41" t="s">
        <v>465</v>
      </c>
      <c r="F72" s="153"/>
      <c r="G72" s="154"/>
    </row>
    <row r="73" spans="1:7" x14ac:dyDescent="0.25">
      <c r="A73" s="150"/>
      <c r="B73" s="150"/>
      <c r="C73" s="149"/>
      <c r="D73" s="41" t="s">
        <v>427</v>
      </c>
      <c r="E73" s="41" t="s">
        <v>458</v>
      </c>
      <c r="F73" s="149"/>
      <c r="G73" s="150"/>
    </row>
    <row r="74" spans="1:7" x14ac:dyDescent="0.25">
      <c r="A74" s="150"/>
      <c r="B74" s="150"/>
      <c r="C74" s="150"/>
      <c r="D74" s="61" t="s">
        <v>423</v>
      </c>
      <c r="E74" s="41" t="s">
        <v>468</v>
      </c>
      <c r="F74" s="150"/>
      <c r="G74" s="150"/>
    </row>
    <row r="75" spans="1:7" ht="28" x14ac:dyDescent="0.25">
      <c r="A75" s="150"/>
      <c r="B75" s="150"/>
      <c r="C75" s="150"/>
      <c r="D75" s="61" t="s">
        <v>483</v>
      </c>
      <c r="E75" s="41" t="s">
        <v>499</v>
      </c>
      <c r="F75" s="150"/>
      <c r="G75" s="150"/>
    </row>
    <row r="76" spans="1:7" x14ac:dyDescent="0.25">
      <c r="A76" s="150"/>
      <c r="B76" s="150"/>
      <c r="C76" s="150"/>
      <c r="D76" s="61"/>
      <c r="E76" s="61" t="s">
        <v>405</v>
      </c>
      <c r="F76" s="150"/>
      <c r="G76" s="150"/>
    </row>
    <row r="77" spans="1:7" ht="28" x14ac:dyDescent="0.25">
      <c r="A77" s="150"/>
      <c r="B77" s="150"/>
      <c r="C77" s="150"/>
      <c r="D77" s="61"/>
      <c r="E77" s="61" t="s">
        <v>486</v>
      </c>
      <c r="F77" s="150"/>
      <c r="G77" s="150"/>
    </row>
    <row r="78" spans="1:7" x14ac:dyDescent="0.25">
      <c r="A78" s="150"/>
      <c r="B78" s="150"/>
      <c r="C78" s="150"/>
      <c r="D78" s="61"/>
      <c r="E78" s="61" t="s">
        <v>420</v>
      </c>
      <c r="F78" s="150"/>
      <c r="G78" s="150"/>
    </row>
    <row r="79" spans="1:7" x14ac:dyDescent="0.25">
      <c r="A79" s="150"/>
      <c r="B79" s="150"/>
      <c r="C79" s="141" t="s">
        <v>477</v>
      </c>
      <c r="D79" s="41" t="s">
        <v>466</v>
      </c>
      <c r="E79" s="41" t="s">
        <v>334</v>
      </c>
      <c r="F79" s="141" t="s">
        <v>35</v>
      </c>
      <c r="G79" s="152" t="s">
        <v>524</v>
      </c>
    </row>
    <row r="80" spans="1:7" x14ac:dyDescent="0.25">
      <c r="A80" s="150"/>
      <c r="B80" s="150"/>
      <c r="C80" s="149"/>
      <c r="D80" s="41" t="s">
        <v>422</v>
      </c>
      <c r="E80" s="41" t="s">
        <v>467</v>
      </c>
      <c r="F80" s="149"/>
      <c r="G80" s="150"/>
    </row>
    <row r="81" spans="1:7" x14ac:dyDescent="0.25">
      <c r="A81" s="150"/>
      <c r="B81" s="150"/>
      <c r="C81" s="150"/>
      <c r="D81" s="41" t="s">
        <v>427</v>
      </c>
      <c r="E81" s="41" t="s">
        <v>426</v>
      </c>
      <c r="F81" s="150"/>
      <c r="G81" s="150"/>
    </row>
    <row r="82" spans="1:7" x14ac:dyDescent="0.25">
      <c r="A82" s="150"/>
      <c r="B82" s="150"/>
      <c r="C82" s="150"/>
      <c r="D82" s="61" t="s">
        <v>423</v>
      </c>
      <c r="E82" s="41" t="s">
        <v>427</v>
      </c>
      <c r="F82" s="150"/>
      <c r="G82" s="150"/>
    </row>
    <row r="83" spans="1:7" ht="28" x14ac:dyDescent="0.25">
      <c r="A83" s="150"/>
      <c r="B83" s="150"/>
      <c r="C83" s="150"/>
      <c r="D83" s="61" t="s">
        <v>484</v>
      </c>
      <c r="E83" s="41" t="s">
        <v>497</v>
      </c>
      <c r="F83" s="150"/>
      <c r="G83" s="150"/>
    </row>
    <row r="84" spans="1:7" x14ac:dyDescent="0.25">
      <c r="A84" s="150"/>
      <c r="B84" s="150"/>
      <c r="C84" s="150"/>
      <c r="D84" s="61"/>
      <c r="E84" s="61" t="s">
        <v>405</v>
      </c>
      <c r="F84" s="150"/>
      <c r="G84" s="150"/>
    </row>
    <row r="85" spans="1:7" ht="28" x14ac:dyDescent="0.25">
      <c r="A85" s="150"/>
      <c r="B85" s="150"/>
      <c r="C85" s="150"/>
      <c r="D85" s="61"/>
      <c r="E85" s="61" t="s">
        <v>487</v>
      </c>
      <c r="F85" s="150"/>
      <c r="G85" s="150"/>
    </row>
    <row r="86" spans="1:7" x14ac:dyDescent="0.25">
      <c r="A86" s="150"/>
      <c r="B86" s="150"/>
      <c r="C86" s="150"/>
      <c r="D86" s="61"/>
      <c r="E86" s="61" t="s">
        <v>434</v>
      </c>
      <c r="F86" s="150"/>
      <c r="G86" s="150"/>
    </row>
    <row r="87" spans="1:7" x14ac:dyDescent="0.25">
      <c r="A87" s="150"/>
      <c r="B87" s="150"/>
      <c r="C87" s="141" t="s">
        <v>478</v>
      </c>
      <c r="D87" s="41" t="s">
        <v>406</v>
      </c>
      <c r="E87" s="41" t="s">
        <v>334</v>
      </c>
      <c r="F87" s="141" t="s">
        <v>35</v>
      </c>
      <c r="G87" s="152" t="s">
        <v>525</v>
      </c>
    </row>
    <row r="88" spans="1:7" x14ac:dyDescent="0.25">
      <c r="A88" s="150"/>
      <c r="B88" s="150"/>
      <c r="C88" s="149"/>
      <c r="D88" s="41" t="s">
        <v>422</v>
      </c>
      <c r="E88" s="41" t="s">
        <v>469</v>
      </c>
      <c r="F88" s="149"/>
      <c r="G88" s="150"/>
    </row>
    <row r="89" spans="1:7" x14ac:dyDescent="0.25">
      <c r="A89" s="150"/>
      <c r="B89" s="150"/>
      <c r="C89" s="150"/>
      <c r="D89" s="41" t="s">
        <v>427</v>
      </c>
      <c r="E89" s="41" t="s">
        <v>426</v>
      </c>
      <c r="F89" s="150"/>
      <c r="G89" s="150"/>
    </row>
    <row r="90" spans="1:7" x14ac:dyDescent="0.25">
      <c r="A90" s="150"/>
      <c r="B90" s="150"/>
      <c r="C90" s="150"/>
      <c r="D90" s="61" t="s">
        <v>423</v>
      </c>
      <c r="E90" s="41" t="s">
        <v>468</v>
      </c>
      <c r="F90" s="150"/>
      <c r="G90" s="150"/>
    </row>
    <row r="91" spans="1:7" ht="28" x14ac:dyDescent="0.25">
      <c r="A91" s="150"/>
      <c r="B91" s="150"/>
      <c r="C91" s="150"/>
      <c r="D91" s="61" t="s">
        <v>485</v>
      </c>
      <c r="E91" s="41" t="s">
        <v>498</v>
      </c>
      <c r="F91" s="150"/>
      <c r="G91" s="150"/>
    </row>
    <row r="92" spans="1:7" x14ac:dyDescent="0.25">
      <c r="A92" s="150"/>
      <c r="B92" s="150"/>
      <c r="C92" s="150"/>
      <c r="D92" s="61"/>
      <c r="E92" s="61" t="s">
        <v>405</v>
      </c>
      <c r="F92" s="150"/>
      <c r="G92" s="150"/>
    </row>
    <row r="93" spans="1:7" ht="28" x14ac:dyDescent="0.25">
      <c r="A93" s="150"/>
      <c r="B93" s="150"/>
      <c r="C93" s="150"/>
      <c r="D93" s="61"/>
      <c r="E93" s="61" t="s">
        <v>496</v>
      </c>
      <c r="F93" s="150"/>
      <c r="G93" s="150"/>
    </row>
    <row r="94" spans="1:7" x14ac:dyDescent="0.25">
      <c r="A94" s="150"/>
      <c r="B94" s="150"/>
      <c r="C94" s="150"/>
      <c r="D94" s="61"/>
      <c r="E94" s="61" t="s">
        <v>420</v>
      </c>
      <c r="F94" s="150"/>
      <c r="G94" s="150"/>
    </row>
    <row r="95" spans="1:7" x14ac:dyDescent="0.25">
      <c r="A95" s="150"/>
      <c r="B95" s="150"/>
      <c r="C95" s="141" t="s">
        <v>479</v>
      </c>
      <c r="D95" s="41" t="s">
        <v>406</v>
      </c>
      <c r="E95" s="41" t="s">
        <v>334</v>
      </c>
      <c r="F95" s="141" t="s">
        <v>35</v>
      </c>
      <c r="G95" s="152" t="s">
        <v>526</v>
      </c>
    </row>
    <row r="96" spans="1:7" x14ac:dyDescent="0.25">
      <c r="A96" s="150"/>
      <c r="B96" s="150"/>
      <c r="C96" s="149"/>
      <c r="D96" s="41" t="s">
        <v>422</v>
      </c>
      <c r="E96" s="41" t="s">
        <v>467</v>
      </c>
      <c r="F96" s="149"/>
      <c r="G96" s="150"/>
    </row>
    <row r="97" spans="1:7" x14ac:dyDescent="0.25">
      <c r="A97" s="150"/>
      <c r="B97" s="150"/>
      <c r="C97" s="150"/>
      <c r="D97" s="41" t="s">
        <v>427</v>
      </c>
      <c r="E97" s="41" t="s">
        <v>426</v>
      </c>
      <c r="F97" s="150"/>
      <c r="G97" s="150"/>
    </row>
    <row r="98" spans="1:7" x14ac:dyDescent="0.25">
      <c r="A98" s="150"/>
      <c r="B98" s="150"/>
      <c r="C98" s="150"/>
      <c r="D98" s="61" t="s">
        <v>423</v>
      </c>
      <c r="E98" s="41" t="s">
        <v>457</v>
      </c>
      <c r="F98" s="150"/>
      <c r="G98" s="150"/>
    </row>
    <row r="99" spans="1:7" ht="28" x14ac:dyDescent="0.25">
      <c r="A99" s="150"/>
      <c r="B99" s="150"/>
      <c r="C99" s="150"/>
      <c r="D99" s="61" t="s">
        <v>494</v>
      </c>
      <c r="E99" s="41" t="s">
        <v>495</v>
      </c>
      <c r="F99" s="150"/>
      <c r="G99" s="150"/>
    </row>
    <row r="100" spans="1:7" x14ac:dyDescent="0.25">
      <c r="A100" s="150"/>
      <c r="B100" s="150"/>
      <c r="C100" s="150"/>
      <c r="D100" s="61"/>
      <c r="E100" s="61" t="s">
        <v>405</v>
      </c>
      <c r="F100" s="150"/>
      <c r="G100" s="150"/>
    </row>
    <row r="101" spans="1:7" ht="28" x14ac:dyDescent="0.25">
      <c r="A101" s="150"/>
      <c r="B101" s="150"/>
      <c r="C101" s="150"/>
      <c r="D101" s="61"/>
      <c r="E101" s="61" t="s">
        <v>488</v>
      </c>
      <c r="F101" s="150"/>
      <c r="G101" s="150"/>
    </row>
    <row r="102" spans="1:7" x14ac:dyDescent="0.25">
      <c r="A102" s="150"/>
      <c r="B102" s="150"/>
      <c r="C102" s="150"/>
      <c r="D102" s="61"/>
      <c r="E102" s="61" t="s">
        <v>435</v>
      </c>
      <c r="F102" s="150"/>
      <c r="G102" s="150"/>
    </row>
    <row r="103" spans="1:7" x14ac:dyDescent="0.25">
      <c r="A103" s="150"/>
      <c r="B103" s="150"/>
      <c r="C103" s="141" t="s">
        <v>480</v>
      </c>
      <c r="D103" s="41" t="s">
        <v>406</v>
      </c>
      <c r="E103" s="41" t="s">
        <v>334</v>
      </c>
      <c r="F103" s="141" t="s">
        <v>35</v>
      </c>
      <c r="G103" s="152" t="s">
        <v>527</v>
      </c>
    </row>
    <row r="104" spans="1:7" x14ac:dyDescent="0.25">
      <c r="A104" s="150"/>
      <c r="B104" s="150"/>
      <c r="C104" s="149"/>
      <c r="D104" s="41" t="s">
        <v>404</v>
      </c>
      <c r="E104" s="41" t="s">
        <v>467</v>
      </c>
      <c r="F104" s="149"/>
      <c r="G104" s="150"/>
    </row>
    <row r="105" spans="1:7" x14ac:dyDescent="0.25">
      <c r="A105" s="150"/>
      <c r="B105" s="150"/>
      <c r="C105" s="150"/>
      <c r="D105" s="41" t="s">
        <v>473</v>
      </c>
      <c r="E105" s="41" t="s">
        <v>475</v>
      </c>
      <c r="F105" s="150"/>
      <c r="G105" s="150"/>
    </row>
    <row r="106" spans="1:7" x14ac:dyDescent="0.25">
      <c r="A106" s="150"/>
      <c r="B106" s="150"/>
      <c r="C106" s="150"/>
      <c r="D106" s="61" t="s">
        <v>472</v>
      </c>
      <c r="E106" s="41" t="s">
        <v>474</v>
      </c>
      <c r="F106" s="150"/>
      <c r="G106" s="150"/>
    </row>
    <row r="107" spans="1:7" x14ac:dyDescent="0.25">
      <c r="A107" s="150"/>
      <c r="B107" s="150"/>
      <c r="C107" s="150"/>
      <c r="D107" s="61"/>
      <c r="E107" s="61" t="s">
        <v>405</v>
      </c>
      <c r="F107" s="150"/>
      <c r="G107" s="150"/>
    </row>
    <row r="108" spans="1:7" ht="28" x14ac:dyDescent="0.25">
      <c r="A108" s="150"/>
      <c r="B108" s="150"/>
      <c r="C108" s="150"/>
      <c r="D108" s="61"/>
      <c r="E108" s="61" t="s">
        <v>489</v>
      </c>
      <c r="F108" s="150"/>
      <c r="G108" s="150"/>
    </row>
    <row r="109" spans="1:7" x14ac:dyDescent="0.25">
      <c r="A109" s="150"/>
      <c r="B109" s="150"/>
      <c r="C109" s="150"/>
      <c r="D109" s="61"/>
      <c r="E109" s="61" t="s">
        <v>435</v>
      </c>
      <c r="F109" s="150"/>
      <c r="G109" s="150"/>
    </row>
    <row r="110" spans="1:7" x14ac:dyDescent="0.25">
      <c r="A110" s="150"/>
      <c r="B110" s="150"/>
      <c r="C110" s="141" t="s">
        <v>481</v>
      </c>
      <c r="D110" s="41" t="s">
        <v>406</v>
      </c>
      <c r="E110" s="41" t="s">
        <v>334</v>
      </c>
      <c r="F110" s="141" t="s">
        <v>35</v>
      </c>
      <c r="G110" s="152" t="s">
        <v>528</v>
      </c>
    </row>
    <row r="111" spans="1:7" x14ac:dyDescent="0.25">
      <c r="A111" s="150"/>
      <c r="B111" s="150"/>
      <c r="C111" s="149"/>
      <c r="D111" s="41" t="s">
        <v>404</v>
      </c>
      <c r="E111" s="41" t="s">
        <v>467</v>
      </c>
      <c r="F111" s="149"/>
      <c r="G111" s="150"/>
    </row>
    <row r="112" spans="1:7" x14ac:dyDescent="0.25">
      <c r="A112" s="150"/>
      <c r="B112" s="150"/>
      <c r="C112" s="150"/>
      <c r="D112" s="41" t="s">
        <v>473</v>
      </c>
      <c r="E112" s="41" t="s">
        <v>475</v>
      </c>
      <c r="F112" s="150"/>
      <c r="G112" s="150"/>
    </row>
    <row r="113" spans="1:7" x14ac:dyDescent="0.25">
      <c r="A113" s="150"/>
      <c r="B113" s="150"/>
      <c r="C113" s="150"/>
      <c r="D113" s="61" t="s">
        <v>472</v>
      </c>
      <c r="E113" s="41" t="s">
        <v>474</v>
      </c>
      <c r="F113" s="150"/>
      <c r="G113" s="150"/>
    </row>
    <row r="114" spans="1:7" x14ac:dyDescent="0.25">
      <c r="A114" s="150"/>
      <c r="B114" s="150"/>
      <c r="C114" s="150"/>
      <c r="D114" s="61"/>
      <c r="E114" s="61" t="s">
        <v>405</v>
      </c>
      <c r="F114" s="150"/>
      <c r="G114" s="150"/>
    </row>
    <row r="115" spans="1:7" ht="28" x14ac:dyDescent="0.25">
      <c r="A115" s="150"/>
      <c r="B115" s="150"/>
      <c r="C115" s="150"/>
      <c r="D115" s="61"/>
      <c r="E115" s="61" t="s">
        <v>490</v>
      </c>
      <c r="F115" s="150"/>
      <c r="G115" s="150"/>
    </row>
    <row r="116" spans="1:7" x14ac:dyDescent="0.25">
      <c r="A116" s="150"/>
      <c r="B116" s="150"/>
      <c r="C116" s="150"/>
      <c r="D116" s="61"/>
      <c r="E116" s="61" t="s">
        <v>435</v>
      </c>
      <c r="F116" s="150"/>
      <c r="G116" s="150"/>
    </row>
    <row r="117" spans="1:7" x14ac:dyDescent="0.25">
      <c r="A117" s="150"/>
      <c r="B117" s="150"/>
      <c r="C117" s="141" t="s">
        <v>464</v>
      </c>
      <c r="D117" s="41" t="s">
        <v>455</v>
      </c>
      <c r="E117" s="41" t="s">
        <v>467</v>
      </c>
      <c r="F117" s="141" t="s">
        <v>35</v>
      </c>
      <c r="G117" s="152" t="s">
        <v>529</v>
      </c>
    </row>
    <row r="118" spans="1:7" x14ac:dyDescent="0.25">
      <c r="A118" s="150"/>
      <c r="B118" s="150"/>
      <c r="C118" s="160"/>
      <c r="D118" s="41" t="s">
        <v>334</v>
      </c>
      <c r="E118" s="41" t="s">
        <v>456</v>
      </c>
      <c r="F118" s="160"/>
      <c r="G118" s="160"/>
    </row>
    <row r="119" spans="1:7" x14ac:dyDescent="0.25">
      <c r="A119" s="150"/>
      <c r="B119" s="150"/>
      <c r="C119" s="160"/>
      <c r="D119" s="41" t="s">
        <v>436</v>
      </c>
      <c r="E119" s="61" t="s">
        <v>407</v>
      </c>
      <c r="F119" s="160"/>
      <c r="G119" s="160"/>
    </row>
    <row r="120" spans="1:7" ht="28" x14ac:dyDescent="0.25">
      <c r="A120" s="150"/>
      <c r="B120" s="150"/>
      <c r="C120" s="160"/>
      <c r="D120" s="61" t="s">
        <v>437</v>
      </c>
      <c r="E120" s="61" t="s">
        <v>491</v>
      </c>
      <c r="F120" s="160"/>
      <c r="G120" s="160"/>
    </row>
    <row r="121" spans="1:7" x14ac:dyDescent="0.25">
      <c r="A121" s="150"/>
      <c r="B121" s="150"/>
      <c r="C121" s="160"/>
      <c r="D121" s="61"/>
      <c r="E121" s="41" t="s">
        <v>438</v>
      </c>
      <c r="F121" s="160"/>
      <c r="G121" s="160"/>
    </row>
    <row r="122" spans="1:7" x14ac:dyDescent="0.25">
      <c r="A122" s="150"/>
      <c r="B122" s="150"/>
      <c r="C122" s="141" t="s">
        <v>482</v>
      </c>
      <c r="D122" s="41" t="s">
        <v>466</v>
      </c>
      <c r="E122" s="41" t="s">
        <v>470</v>
      </c>
      <c r="F122" s="141" t="s">
        <v>35</v>
      </c>
      <c r="G122" s="152" t="s">
        <v>530</v>
      </c>
    </row>
    <row r="123" spans="1:7" x14ac:dyDescent="0.25">
      <c r="A123" s="150"/>
      <c r="B123" s="150"/>
      <c r="C123" s="160"/>
      <c r="D123" s="41" t="s">
        <v>334</v>
      </c>
      <c r="E123" s="41" t="s">
        <v>454</v>
      </c>
      <c r="F123" s="160"/>
      <c r="G123" s="160"/>
    </row>
    <row r="124" spans="1:7" x14ac:dyDescent="0.25">
      <c r="A124" s="150"/>
      <c r="B124" s="150"/>
      <c r="C124" s="160"/>
      <c r="D124" s="41" t="s">
        <v>452</v>
      </c>
      <c r="E124" s="61" t="s">
        <v>407</v>
      </c>
      <c r="F124" s="160"/>
      <c r="G124" s="160"/>
    </row>
    <row r="125" spans="1:7" ht="28" x14ac:dyDescent="0.25">
      <c r="A125" s="150"/>
      <c r="B125" s="150"/>
      <c r="C125" s="160"/>
      <c r="D125" s="61" t="s">
        <v>453</v>
      </c>
      <c r="E125" s="61" t="s">
        <v>493</v>
      </c>
      <c r="F125" s="160"/>
      <c r="G125" s="160"/>
    </row>
    <row r="126" spans="1:7" x14ac:dyDescent="0.25">
      <c r="A126" s="150"/>
      <c r="B126" s="150"/>
      <c r="C126" s="160"/>
      <c r="D126" s="61"/>
      <c r="E126" s="41" t="s">
        <v>492</v>
      </c>
      <c r="F126" s="160"/>
      <c r="G126" s="160"/>
    </row>
    <row r="127" spans="1:7" x14ac:dyDescent="0.25">
      <c r="A127" s="149"/>
      <c r="B127" s="147" t="s">
        <v>38</v>
      </c>
      <c r="C127" s="146"/>
      <c r="D127" s="146"/>
      <c r="E127" s="146"/>
      <c r="F127" s="146"/>
      <c r="G127" s="134"/>
    </row>
    <row r="128" spans="1:7" x14ac:dyDescent="0.25">
      <c r="A128" s="149"/>
      <c r="B128" s="157" t="s">
        <v>39</v>
      </c>
      <c r="C128" s="33" t="s">
        <v>19</v>
      </c>
      <c r="D128" s="33" t="s">
        <v>40</v>
      </c>
      <c r="E128" s="33" t="s">
        <v>41</v>
      </c>
      <c r="F128" s="33" t="s">
        <v>42</v>
      </c>
      <c r="G128" s="33" t="s">
        <v>43</v>
      </c>
    </row>
    <row r="129" spans="1:7" x14ac:dyDescent="0.25">
      <c r="A129" s="149"/>
      <c r="B129" s="151"/>
      <c r="C129" s="64" t="s">
        <v>44</v>
      </c>
      <c r="D129" s="61"/>
      <c r="E129" s="61"/>
      <c r="F129" s="61"/>
      <c r="G129" s="61" t="s">
        <v>505</v>
      </c>
    </row>
    <row r="130" spans="1:7" x14ac:dyDescent="0.25">
      <c r="A130" s="149"/>
      <c r="B130" s="147" t="s">
        <v>45</v>
      </c>
      <c r="C130" s="146"/>
      <c r="D130" s="146"/>
      <c r="E130" s="146"/>
      <c r="F130" s="146"/>
      <c r="G130" s="134"/>
    </row>
    <row r="131" spans="1:7" x14ac:dyDescent="0.25">
      <c r="A131" s="149"/>
      <c r="B131" s="65" t="s">
        <v>46</v>
      </c>
      <c r="C131" s="147" t="s">
        <v>47</v>
      </c>
      <c r="D131" s="146"/>
      <c r="E131" s="134"/>
      <c r="F131" s="34" t="s">
        <v>48</v>
      </c>
      <c r="G131" s="34" t="s">
        <v>49</v>
      </c>
    </row>
    <row r="132" spans="1:7" ht="14.5" customHeight="1" x14ac:dyDescent="0.25">
      <c r="A132" s="149"/>
      <c r="B132" s="35" t="s">
        <v>510</v>
      </c>
      <c r="C132" s="158" t="s">
        <v>742</v>
      </c>
      <c r="D132" s="146"/>
      <c r="E132" s="134"/>
      <c r="F132" s="43" t="s">
        <v>533</v>
      </c>
      <c r="G132" s="36" t="s">
        <v>531</v>
      </c>
    </row>
    <row r="133" spans="1:7" x14ac:dyDescent="0.25">
      <c r="A133" s="149"/>
      <c r="B133" s="148" t="s">
        <v>50</v>
      </c>
      <c r="C133" s="146"/>
      <c r="D133" s="146"/>
      <c r="E133" s="146"/>
      <c r="F133" s="146"/>
      <c r="G133" s="134"/>
    </row>
    <row r="134" spans="1:7" x14ac:dyDescent="0.25">
      <c r="A134" s="149"/>
      <c r="B134" s="33" t="s">
        <v>46</v>
      </c>
      <c r="C134" s="33" t="s">
        <v>51</v>
      </c>
      <c r="D134" s="33" t="s">
        <v>19</v>
      </c>
      <c r="E134" s="33" t="s">
        <v>52</v>
      </c>
      <c r="F134" s="33" t="s">
        <v>53</v>
      </c>
      <c r="G134" s="33" t="s">
        <v>54</v>
      </c>
    </row>
    <row r="135" spans="1:7" ht="15" customHeight="1" x14ac:dyDescent="0.25">
      <c r="A135" s="150"/>
      <c r="B135" s="37" t="s">
        <v>511</v>
      </c>
      <c r="C135" s="37" t="s">
        <v>743</v>
      </c>
      <c r="D135" s="37" t="s">
        <v>532</v>
      </c>
      <c r="E135" s="37" t="s">
        <v>55</v>
      </c>
      <c r="F135" s="37" t="s">
        <v>506</v>
      </c>
      <c r="G135" s="37" t="s">
        <v>507</v>
      </c>
    </row>
    <row r="136" spans="1:7" x14ac:dyDescent="0.25">
      <c r="A136" s="141" t="s">
        <v>534</v>
      </c>
      <c r="B136" s="145" t="s">
        <v>27</v>
      </c>
      <c r="C136" s="146"/>
      <c r="D136" s="146"/>
      <c r="E136" s="146"/>
      <c r="F136" s="146"/>
      <c r="G136" s="134"/>
    </row>
    <row r="137" spans="1:7" x14ac:dyDescent="0.25">
      <c r="A137" s="149"/>
      <c r="B137" s="147" t="s">
        <v>28</v>
      </c>
      <c r="C137" s="146"/>
      <c r="D137" s="146"/>
      <c r="E137" s="146"/>
      <c r="F137" s="146"/>
      <c r="G137" s="134"/>
    </row>
    <row r="138" spans="1:7" x14ac:dyDescent="0.25">
      <c r="A138" s="149"/>
      <c r="B138" s="157" t="s">
        <v>29</v>
      </c>
      <c r="C138" s="39" t="s">
        <v>19</v>
      </c>
      <c r="D138" s="39" t="s">
        <v>30</v>
      </c>
      <c r="E138" s="39" t="s">
        <v>31</v>
      </c>
      <c r="F138" s="34" t="s">
        <v>32</v>
      </c>
      <c r="G138" s="34" t="s">
        <v>33</v>
      </c>
    </row>
    <row r="139" spans="1:7" x14ac:dyDescent="0.25">
      <c r="A139" s="150"/>
      <c r="B139" s="159"/>
      <c r="C139" s="141" t="s">
        <v>330</v>
      </c>
      <c r="D139" s="41" t="s">
        <v>334</v>
      </c>
      <c r="E139" s="61" t="s">
        <v>331</v>
      </c>
      <c r="F139" s="141" t="s">
        <v>35</v>
      </c>
      <c r="G139" s="152" t="s">
        <v>537</v>
      </c>
    </row>
    <row r="140" spans="1:7" x14ac:dyDescent="0.25">
      <c r="A140" s="150"/>
      <c r="B140" s="159"/>
      <c r="C140" s="142"/>
      <c r="D140" s="41" t="s">
        <v>333</v>
      </c>
      <c r="E140" s="41" t="s">
        <v>335</v>
      </c>
      <c r="F140" s="149"/>
      <c r="G140" s="150"/>
    </row>
    <row r="141" spans="1:7" x14ac:dyDescent="0.25">
      <c r="A141" s="150"/>
      <c r="B141" s="159"/>
      <c r="C141" s="143"/>
      <c r="D141" s="41"/>
      <c r="E141" s="61" t="s">
        <v>332</v>
      </c>
      <c r="F141" s="150"/>
      <c r="G141" s="150"/>
    </row>
    <row r="142" spans="1:7" x14ac:dyDescent="0.25">
      <c r="A142" s="150"/>
      <c r="B142" s="159"/>
      <c r="C142" s="144"/>
      <c r="D142" s="61"/>
      <c r="E142" s="61" t="s">
        <v>352</v>
      </c>
      <c r="F142" s="151"/>
      <c r="G142" s="151"/>
    </row>
    <row r="143" spans="1:7" x14ac:dyDescent="0.25">
      <c r="A143" s="149"/>
      <c r="B143" s="149"/>
      <c r="C143" s="141" t="s">
        <v>414</v>
      </c>
      <c r="D143" s="61" t="s">
        <v>538</v>
      </c>
      <c r="E143" s="61" t="s">
        <v>539</v>
      </c>
      <c r="F143" s="141" t="s">
        <v>415</v>
      </c>
      <c r="G143" s="141" t="s">
        <v>512</v>
      </c>
    </row>
    <row r="144" spans="1:7" x14ac:dyDescent="0.25">
      <c r="A144" s="150"/>
      <c r="B144" s="150"/>
      <c r="C144" s="153"/>
      <c r="D144" s="61"/>
      <c r="E144" s="61" t="s">
        <v>410</v>
      </c>
      <c r="F144" s="153"/>
      <c r="G144" s="153"/>
    </row>
    <row r="145" spans="1:7" x14ac:dyDescent="0.25">
      <c r="A145" s="149"/>
      <c r="B145" s="149"/>
      <c r="C145" s="153"/>
      <c r="D145" s="61"/>
      <c r="E145" s="61" t="s">
        <v>412</v>
      </c>
      <c r="F145" s="153"/>
      <c r="G145" s="153"/>
    </row>
    <row r="146" spans="1:7" x14ac:dyDescent="0.25">
      <c r="A146" s="150"/>
      <c r="B146" s="150"/>
      <c r="C146" s="153"/>
      <c r="D146" s="61"/>
      <c r="E146" s="61" t="s">
        <v>420</v>
      </c>
      <c r="F146" s="153"/>
      <c r="G146" s="153"/>
    </row>
    <row r="147" spans="1:7" x14ac:dyDescent="0.25">
      <c r="A147" s="150"/>
      <c r="B147" s="150"/>
      <c r="C147" s="141" t="s">
        <v>416</v>
      </c>
      <c r="D147" s="61" t="s">
        <v>417</v>
      </c>
      <c r="E147" s="61" t="s">
        <v>419</v>
      </c>
      <c r="F147" s="141" t="s">
        <v>415</v>
      </c>
      <c r="G147" s="141" t="s">
        <v>513</v>
      </c>
    </row>
    <row r="148" spans="1:7" x14ac:dyDescent="0.25">
      <c r="A148" s="150"/>
      <c r="B148" s="150"/>
      <c r="C148" s="153"/>
      <c r="D148" s="61" t="s">
        <v>418</v>
      </c>
      <c r="E148" s="61" t="s">
        <v>420</v>
      </c>
      <c r="F148" s="153"/>
      <c r="G148" s="153"/>
    </row>
    <row r="149" spans="1:7" x14ac:dyDescent="0.25">
      <c r="A149" s="149"/>
      <c r="B149" s="149"/>
      <c r="C149" s="153"/>
      <c r="D149" s="61"/>
      <c r="E149" s="61" t="s">
        <v>421</v>
      </c>
      <c r="F149" s="153"/>
      <c r="G149" s="153"/>
    </row>
    <row r="150" spans="1:7" x14ac:dyDescent="0.25">
      <c r="A150" s="149"/>
      <c r="B150" s="149"/>
      <c r="C150" s="141" t="s">
        <v>408</v>
      </c>
      <c r="D150" s="41" t="s">
        <v>406</v>
      </c>
      <c r="E150" s="41" t="s">
        <v>334</v>
      </c>
      <c r="F150" s="141" t="s">
        <v>35</v>
      </c>
      <c r="G150" s="152" t="s">
        <v>514</v>
      </c>
    </row>
    <row r="151" spans="1:7" x14ac:dyDescent="0.25">
      <c r="A151" s="150"/>
      <c r="B151" s="150"/>
      <c r="C151" s="153"/>
      <c r="D151" s="41" t="s">
        <v>422</v>
      </c>
      <c r="E151" s="41" t="s">
        <v>465</v>
      </c>
      <c r="F151" s="153"/>
      <c r="G151" s="154"/>
    </row>
    <row r="152" spans="1:7" x14ac:dyDescent="0.25">
      <c r="A152" s="150"/>
      <c r="B152" s="150"/>
      <c r="C152" s="149"/>
      <c r="D152" s="41" t="s">
        <v>427</v>
      </c>
      <c r="E152" s="41" t="s">
        <v>458</v>
      </c>
      <c r="F152" s="149"/>
      <c r="G152" s="150"/>
    </row>
    <row r="153" spans="1:7" x14ac:dyDescent="0.25">
      <c r="A153" s="150"/>
      <c r="B153" s="150"/>
      <c r="C153" s="150"/>
      <c r="D153" s="61" t="s">
        <v>423</v>
      </c>
      <c r="E153" s="41" t="s">
        <v>468</v>
      </c>
      <c r="F153" s="150"/>
      <c r="G153" s="150"/>
    </row>
    <row r="154" spans="1:7" ht="28" x14ac:dyDescent="0.25">
      <c r="A154" s="150"/>
      <c r="B154" s="150"/>
      <c r="C154" s="150"/>
      <c r="D154" s="61" t="s">
        <v>428</v>
      </c>
      <c r="E154" s="41" t="s">
        <v>503</v>
      </c>
      <c r="F154" s="150"/>
      <c r="G154" s="150"/>
    </row>
    <row r="155" spans="1:7" x14ac:dyDescent="0.25">
      <c r="A155" s="150"/>
      <c r="B155" s="150"/>
      <c r="C155" s="150"/>
      <c r="D155" s="61"/>
      <c r="E155" s="61" t="s">
        <v>405</v>
      </c>
      <c r="F155" s="150"/>
      <c r="G155" s="150"/>
    </row>
    <row r="156" spans="1:7" x14ac:dyDescent="0.25">
      <c r="A156" s="149"/>
      <c r="B156" s="149"/>
      <c r="C156" s="150"/>
      <c r="D156" s="61"/>
      <c r="E156" s="61" t="s">
        <v>420</v>
      </c>
      <c r="F156" s="150"/>
      <c r="G156" s="150"/>
    </row>
    <row r="157" spans="1:7" x14ac:dyDescent="0.25">
      <c r="A157" s="149"/>
      <c r="B157" s="149"/>
      <c r="C157" s="141" t="s">
        <v>429</v>
      </c>
      <c r="D157" s="41" t="s">
        <v>466</v>
      </c>
      <c r="E157" s="41" t="s">
        <v>334</v>
      </c>
      <c r="F157" s="141" t="s">
        <v>35</v>
      </c>
      <c r="G157" s="152" t="s">
        <v>515</v>
      </c>
    </row>
    <row r="158" spans="1:7" x14ac:dyDescent="0.25">
      <c r="A158" s="149"/>
      <c r="B158" s="149"/>
      <c r="C158" s="149"/>
      <c r="D158" s="41" t="s">
        <v>422</v>
      </c>
      <c r="E158" s="41" t="s">
        <v>467</v>
      </c>
      <c r="F158" s="149"/>
      <c r="G158" s="150"/>
    </row>
    <row r="159" spans="1:7" x14ac:dyDescent="0.25">
      <c r="A159" s="150"/>
      <c r="B159" s="150"/>
      <c r="C159" s="150"/>
      <c r="D159" s="41" t="s">
        <v>427</v>
      </c>
      <c r="E159" s="41" t="s">
        <v>426</v>
      </c>
      <c r="F159" s="150"/>
      <c r="G159" s="150"/>
    </row>
    <row r="160" spans="1:7" x14ac:dyDescent="0.25">
      <c r="A160" s="150"/>
      <c r="B160" s="150"/>
      <c r="C160" s="150"/>
      <c r="D160" s="61" t="s">
        <v>423</v>
      </c>
      <c r="E160" s="41" t="s">
        <v>977</v>
      </c>
      <c r="F160" s="150"/>
      <c r="G160" s="150"/>
    </row>
    <row r="161" spans="1:7" ht="28" x14ac:dyDescent="0.25">
      <c r="A161" s="150"/>
      <c r="B161" s="150"/>
      <c r="C161" s="150"/>
      <c r="D161" s="61" t="s">
        <v>430</v>
      </c>
      <c r="E161" s="41" t="s">
        <v>502</v>
      </c>
      <c r="F161" s="150"/>
      <c r="G161" s="150"/>
    </row>
    <row r="162" spans="1:7" x14ac:dyDescent="0.25">
      <c r="A162" s="150"/>
      <c r="B162" s="150"/>
      <c r="C162" s="150"/>
      <c r="D162" s="61"/>
      <c r="E162" s="61" t="s">
        <v>405</v>
      </c>
      <c r="F162" s="150"/>
      <c r="G162" s="150"/>
    </row>
    <row r="163" spans="1:7" x14ac:dyDescent="0.25">
      <c r="A163" s="149"/>
      <c r="B163" s="149"/>
      <c r="C163" s="150"/>
      <c r="D163" s="61"/>
      <c r="E163" s="61" t="s">
        <v>434</v>
      </c>
      <c r="F163" s="150"/>
      <c r="G163" s="150"/>
    </row>
    <row r="164" spans="1:7" x14ac:dyDescent="0.25">
      <c r="A164" s="150"/>
      <c r="B164" s="150"/>
      <c r="C164" s="141" t="s">
        <v>431</v>
      </c>
      <c r="D164" s="41" t="s">
        <v>406</v>
      </c>
      <c r="E164" s="41" t="s">
        <v>334</v>
      </c>
      <c r="F164" s="141" t="s">
        <v>35</v>
      </c>
      <c r="G164" s="152" t="s">
        <v>516</v>
      </c>
    </row>
    <row r="165" spans="1:7" x14ac:dyDescent="0.25">
      <c r="A165" s="150"/>
      <c r="B165" s="150"/>
      <c r="C165" s="149"/>
      <c r="D165" s="41" t="s">
        <v>422</v>
      </c>
      <c r="E165" s="41" t="s">
        <v>469</v>
      </c>
      <c r="F165" s="149"/>
      <c r="G165" s="150"/>
    </row>
    <row r="166" spans="1:7" x14ac:dyDescent="0.25">
      <c r="A166" s="150"/>
      <c r="B166" s="150"/>
      <c r="C166" s="150"/>
      <c r="D166" s="41" t="s">
        <v>427</v>
      </c>
      <c r="E166" s="41" t="s">
        <v>426</v>
      </c>
      <c r="F166" s="150"/>
      <c r="G166" s="150"/>
    </row>
    <row r="167" spans="1:7" x14ac:dyDescent="0.25">
      <c r="A167" s="150"/>
      <c r="B167" s="150"/>
      <c r="C167" s="150"/>
      <c r="D167" s="61" t="s">
        <v>423</v>
      </c>
      <c r="E167" s="41" t="s">
        <v>468</v>
      </c>
      <c r="F167" s="150"/>
      <c r="G167" s="150"/>
    </row>
    <row r="168" spans="1:7" ht="28" x14ac:dyDescent="0.25">
      <c r="A168" s="150"/>
      <c r="B168" s="150"/>
      <c r="C168" s="150"/>
      <c r="D168" s="61" t="s">
        <v>428</v>
      </c>
      <c r="E168" s="41" t="s">
        <v>501</v>
      </c>
      <c r="F168" s="150"/>
      <c r="G168" s="150"/>
    </row>
    <row r="169" spans="1:7" x14ac:dyDescent="0.25">
      <c r="A169" s="150"/>
      <c r="B169" s="150"/>
      <c r="C169" s="150"/>
      <c r="D169" s="61"/>
      <c r="E169" s="61" t="s">
        <v>405</v>
      </c>
      <c r="F169" s="150"/>
      <c r="G169" s="150"/>
    </row>
    <row r="170" spans="1:7" x14ac:dyDescent="0.25">
      <c r="A170" s="150"/>
      <c r="B170" s="150"/>
      <c r="C170" s="150"/>
      <c r="D170" s="61"/>
      <c r="E170" s="61" t="s">
        <v>420</v>
      </c>
      <c r="F170" s="150"/>
      <c r="G170" s="150"/>
    </row>
    <row r="171" spans="1:7" x14ac:dyDescent="0.25">
      <c r="A171" s="150"/>
      <c r="B171" s="150"/>
      <c r="C171" s="141" t="s">
        <v>432</v>
      </c>
      <c r="D171" s="41" t="s">
        <v>406</v>
      </c>
      <c r="E171" s="41" t="s">
        <v>334</v>
      </c>
      <c r="F171" s="141" t="s">
        <v>35</v>
      </c>
      <c r="G171" s="152" t="s">
        <v>517</v>
      </c>
    </row>
    <row r="172" spans="1:7" x14ac:dyDescent="0.25">
      <c r="A172" s="150"/>
      <c r="B172" s="150"/>
      <c r="C172" s="149"/>
      <c r="D172" s="41" t="s">
        <v>422</v>
      </c>
      <c r="E172" s="41" t="s">
        <v>467</v>
      </c>
      <c r="F172" s="149"/>
      <c r="G172" s="150"/>
    </row>
    <row r="173" spans="1:7" x14ac:dyDescent="0.25">
      <c r="A173" s="150"/>
      <c r="B173" s="150"/>
      <c r="C173" s="150"/>
      <c r="D173" s="41" t="s">
        <v>427</v>
      </c>
      <c r="E173" s="41" t="s">
        <v>426</v>
      </c>
      <c r="F173" s="150"/>
      <c r="G173" s="150"/>
    </row>
    <row r="174" spans="1:7" x14ac:dyDescent="0.25">
      <c r="A174" s="150"/>
      <c r="B174" s="150"/>
      <c r="C174" s="150"/>
      <c r="D174" s="61" t="s">
        <v>423</v>
      </c>
      <c r="E174" s="41" t="s">
        <v>457</v>
      </c>
      <c r="F174" s="150"/>
      <c r="G174" s="150"/>
    </row>
    <row r="175" spans="1:7" ht="28" x14ac:dyDescent="0.25">
      <c r="A175" s="150"/>
      <c r="B175" s="150"/>
      <c r="C175" s="150"/>
      <c r="D175" s="61" t="s">
        <v>430</v>
      </c>
      <c r="E175" s="41" t="s">
        <v>500</v>
      </c>
      <c r="F175" s="150"/>
      <c r="G175" s="150"/>
    </row>
    <row r="176" spans="1:7" x14ac:dyDescent="0.25">
      <c r="A176" s="150"/>
      <c r="B176" s="150"/>
      <c r="C176" s="150"/>
      <c r="D176" s="61"/>
      <c r="E176" s="61" t="s">
        <v>405</v>
      </c>
      <c r="F176" s="150"/>
      <c r="G176" s="150"/>
    </row>
    <row r="177" spans="1:7" x14ac:dyDescent="0.25">
      <c r="A177" s="150"/>
      <c r="B177" s="150"/>
      <c r="C177" s="150"/>
      <c r="D177" s="61"/>
      <c r="E177" s="61" t="s">
        <v>435</v>
      </c>
      <c r="F177" s="150"/>
      <c r="G177" s="150"/>
    </row>
    <row r="178" spans="1:7" x14ac:dyDescent="0.25">
      <c r="A178" s="150"/>
      <c r="B178" s="150"/>
      <c r="C178" s="141" t="s">
        <v>471</v>
      </c>
      <c r="D178" s="41" t="s">
        <v>406</v>
      </c>
      <c r="E178" s="41" t="s">
        <v>334</v>
      </c>
      <c r="F178" s="141" t="s">
        <v>35</v>
      </c>
      <c r="G178" s="152" t="s">
        <v>518</v>
      </c>
    </row>
    <row r="179" spans="1:7" x14ac:dyDescent="0.25">
      <c r="A179" s="150"/>
      <c r="B179" s="150"/>
      <c r="C179" s="149"/>
      <c r="D179" s="41" t="s">
        <v>404</v>
      </c>
      <c r="E179" s="41" t="s">
        <v>467</v>
      </c>
      <c r="F179" s="149"/>
      <c r="G179" s="150"/>
    </row>
    <row r="180" spans="1:7" x14ac:dyDescent="0.25">
      <c r="A180" s="150"/>
      <c r="B180" s="150"/>
      <c r="C180" s="150"/>
      <c r="D180" s="41" t="s">
        <v>473</v>
      </c>
      <c r="E180" s="41" t="s">
        <v>475</v>
      </c>
      <c r="F180" s="150"/>
      <c r="G180" s="150"/>
    </row>
    <row r="181" spans="1:7" x14ac:dyDescent="0.25">
      <c r="A181" s="150"/>
      <c r="B181" s="150"/>
      <c r="C181" s="150"/>
      <c r="D181" s="61" t="s">
        <v>472</v>
      </c>
      <c r="E181" s="41" t="s">
        <v>474</v>
      </c>
      <c r="F181" s="150"/>
      <c r="G181" s="150"/>
    </row>
    <row r="182" spans="1:7" x14ac:dyDescent="0.25">
      <c r="A182" s="150"/>
      <c r="B182" s="150"/>
      <c r="C182" s="150"/>
      <c r="D182" s="61"/>
      <c r="E182" s="61" t="s">
        <v>405</v>
      </c>
      <c r="F182" s="150"/>
      <c r="G182" s="150"/>
    </row>
    <row r="183" spans="1:7" x14ac:dyDescent="0.25">
      <c r="A183" s="150"/>
      <c r="B183" s="150"/>
      <c r="C183" s="150"/>
      <c r="D183" s="61"/>
      <c r="E183" s="61" t="s">
        <v>435</v>
      </c>
      <c r="F183" s="150"/>
      <c r="G183" s="150"/>
    </row>
    <row r="184" spans="1:7" x14ac:dyDescent="0.25">
      <c r="A184" s="150"/>
      <c r="B184" s="150"/>
      <c r="C184" s="141" t="s">
        <v>476</v>
      </c>
      <c r="D184" s="41" t="s">
        <v>406</v>
      </c>
      <c r="E184" s="41" t="s">
        <v>334</v>
      </c>
      <c r="F184" s="141" t="s">
        <v>35</v>
      </c>
      <c r="G184" s="152" t="s">
        <v>519</v>
      </c>
    </row>
    <row r="185" spans="1:7" x14ac:dyDescent="0.25">
      <c r="A185" s="150"/>
      <c r="B185" s="150"/>
      <c r="C185" s="149"/>
      <c r="D185" s="41" t="s">
        <v>404</v>
      </c>
      <c r="E185" s="41" t="s">
        <v>467</v>
      </c>
      <c r="F185" s="149"/>
      <c r="G185" s="150"/>
    </row>
    <row r="186" spans="1:7" x14ac:dyDescent="0.25">
      <c r="A186" s="150"/>
      <c r="B186" s="150"/>
      <c r="C186" s="150"/>
      <c r="D186" s="41" t="s">
        <v>473</v>
      </c>
      <c r="E186" s="41" t="s">
        <v>475</v>
      </c>
      <c r="F186" s="150"/>
      <c r="G186" s="150"/>
    </row>
    <row r="187" spans="1:7" x14ac:dyDescent="0.25">
      <c r="A187" s="150"/>
      <c r="B187" s="150"/>
      <c r="C187" s="150"/>
      <c r="D187" s="61" t="s">
        <v>472</v>
      </c>
      <c r="E187" s="41" t="s">
        <v>474</v>
      </c>
      <c r="F187" s="150"/>
      <c r="G187" s="150"/>
    </row>
    <row r="188" spans="1:7" x14ac:dyDescent="0.25">
      <c r="A188" s="150"/>
      <c r="B188" s="150"/>
      <c r="C188" s="150"/>
      <c r="D188" s="61"/>
      <c r="E188" s="61" t="s">
        <v>405</v>
      </c>
      <c r="F188" s="150"/>
      <c r="G188" s="150"/>
    </row>
    <row r="189" spans="1:7" x14ac:dyDescent="0.25">
      <c r="A189" s="150"/>
      <c r="B189" s="150"/>
      <c r="C189" s="150"/>
      <c r="D189" s="61"/>
      <c r="E189" s="61" t="s">
        <v>435</v>
      </c>
      <c r="F189" s="150"/>
      <c r="G189" s="150"/>
    </row>
    <row r="190" spans="1:7" x14ac:dyDescent="0.25">
      <c r="A190" s="150"/>
      <c r="B190" s="150"/>
      <c r="C190" s="141" t="s">
        <v>433</v>
      </c>
      <c r="D190" s="41" t="s">
        <v>455</v>
      </c>
      <c r="E190" s="41" t="s">
        <v>467</v>
      </c>
      <c r="F190" s="141" t="s">
        <v>35</v>
      </c>
      <c r="G190" s="152" t="s">
        <v>520</v>
      </c>
    </row>
    <row r="191" spans="1:7" x14ac:dyDescent="0.25">
      <c r="A191" s="150"/>
      <c r="B191" s="150"/>
      <c r="C191" s="160"/>
      <c r="D191" s="41" t="s">
        <v>334</v>
      </c>
      <c r="E191" s="41" t="s">
        <v>456</v>
      </c>
      <c r="F191" s="160"/>
      <c r="G191" s="160"/>
    </row>
    <row r="192" spans="1:7" x14ac:dyDescent="0.25">
      <c r="A192" s="150"/>
      <c r="B192" s="150"/>
      <c r="C192" s="160"/>
      <c r="D192" s="41" t="s">
        <v>436</v>
      </c>
      <c r="E192" s="61" t="s">
        <v>407</v>
      </c>
      <c r="F192" s="160"/>
      <c r="G192" s="160"/>
    </row>
    <row r="193" spans="1:7" x14ac:dyDescent="0.25">
      <c r="A193" s="150"/>
      <c r="B193" s="150"/>
      <c r="C193" s="160"/>
      <c r="D193" s="61" t="s">
        <v>437</v>
      </c>
      <c r="E193" s="41" t="s">
        <v>438</v>
      </c>
      <c r="F193" s="160"/>
      <c r="G193" s="160"/>
    </row>
    <row r="194" spans="1:7" x14ac:dyDescent="0.25">
      <c r="A194" s="150"/>
      <c r="B194" s="150"/>
      <c r="C194" s="141" t="s">
        <v>451</v>
      </c>
      <c r="D194" s="41" t="s">
        <v>466</v>
      </c>
      <c r="E194" s="41" t="s">
        <v>470</v>
      </c>
      <c r="F194" s="141" t="s">
        <v>35</v>
      </c>
      <c r="G194" s="152" t="s">
        <v>521</v>
      </c>
    </row>
    <row r="195" spans="1:7" x14ac:dyDescent="0.25">
      <c r="A195" s="150"/>
      <c r="B195" s="150"/>
      <c r="C195" s="160"/>
      <c r="D195" s="41" t="s">
        <v>334</v>
      </c>
      <c r="E195" s="41" t="s">
        <v>454</v>
      </c>
      <c r="F195" s="160"/>
      <c r="G195" s="160"/>
    </row>
    <row r="196" spans="1:7" x14ac:dyDescent="0.25">
      <c r="A196" s="150"/>
      <c r="B196" s="150"/>
      <c r="C196" s="160"/>
      <c r="D196" s="41" t="s">
        <v>452</v>
      </c>
      <c r="E196" s="61" t="s">
        <v>407</v>
      </c>
      <c r="F196" s="160"/>
      <c r="G196" s="160"/>
    </row>
    <row r="197" spans="1:7" x14ac:dyDescent="0.25">
      <c r="A197" s="150"/>
      <c r="B197" s="150"/>
      <c r="C197" s="160"/>
      <c r="D197" s="61" t="s">
        <v>453</v>
      </c>
      <c r="E197" s="41" t="s">
        <v>438</v>
      </c>
      <c r="F197" s="160"/>
      <c r="G197" s="160"/>
    </row>
    <row r="198" spans="1:7" x14ac:dyDescent="0.25">
      <c r="A198" s="150"/>
      <c r="B198" s="150"/>
      <c r="C198" s="141" t="s">
        <v>459</v>
      </c>
      <c r="D198" s="61" t="s">
        <v>460</v>
      </c>
      <c r="E198" s="61" t="s">
        <v>419</v>
      </c>
      <c r="F198" s="141" t="s">
        <v>415</v>
      </c>
      <c r="G198" s="141" t="s">
        <v>522</v>
      </c>
    </row>
    <row r="199" spans="1:7" x14ac:dyDescent="0.25">
      <c r="A199" s="150"/>
      <c r="B199" s="150"/>
      <c r="C199" s="153"/>
      <c r="D199" s="42" t="s">
        <v>461</v>
      </c>
      <c r="E199" s="61" t="s">
        <v>420</v>
      </c>
      <c r="F199" s="153"/>
      <c r="G199" s="153"/>
    </row>
    <row r="200" spans="1:7" x14ac:dyDescent="0.25">
      <c r="A200" s="150"/>
      <c r="B200" s="150"/>
      <c r="C200" s="153"/>
      <c r="D200" s="61"/>
      <c r="E200" s="61" t="s">
        <v>421</v>
      </c>
      <c r="F200" s="153"/>
      <c r="G200" s="153"/>
    </row>
    <row r="201" spans="1:7" x14ac:dyDescent="0.25">
      <c r="A201" s="150"/>
      <c r="B201" s="150"/>
      <c r="C201" s="141" t="s">
        <v>463</v>
      </c>
      <c r="D201" s="41" t="s">
        <v>406</v>
      </c>
      <c r="E201" s="41" t="s">
        <v>334</v>
      </c>
      <c r="F201" s="141" t="s">
        <v>35</v>
      </c>
      <c r="G201" s="152" t="s">
        <v>523</v>
      </c>
    </row>
    <row r="202" spans="1:7" x14ac:dyDescent="0.25">
      <c r="A202" s="150"/>
      <c r="B202" s="150"/>
      <c r="C202" s="153"/>
      <c r="D202" s="41" t="s">
        <v>422</v>
      </c>
      <c r="E202" s="41" t="s">
        <v>465</v>
      </c>
      <c r="F202" s="153"/>
      <c r="G202" s="154"/>
    </row>
    <row r="203" spans="1:7" x14ac:dyDescent="0.25">
      <c r="A203" s="150"/>
      <c r="B203" s="150"/>
      <c r="C203" s="149"/>
      <c r="D203" s="41" t="s">
        <v>427</v>
      </c>
      <c r="E203" s="41" t="s">
        <v>458</v>
      </c>
      <c r="F203" s="149"/>
      <c r="G203" s="150"/>
    </row>
    <row r="204" spans="1:7" x14ac:dyDescent="0.25">
      <c r="A204" s="150"/>
      <c r="B204" s="150"/>
      <c r="C204" s="150"/>
      <c r="D204" s="61" t="s">
        <v>423</v>
      </c>
      <c r="E204" s="41" t="s">
        <v>468</v>
      </c>
      <c r="F204" s="150"/>
      <c r="G204" s="150"/>
    </row>
    <row r="205" spans="1:7" ht="28" x14ac:dyDescent="0.25">
      <c r="A205" s="150"/>
      <c r="B205" s="150"/>
      <c r="C205" s="150"/>
      <c r="D205" s="61" t="s">
        <v>483</v>
      </c>
      <c r="E205" s="41" t="s">
        <v>499</v>
      </c>
      <c r="F205" s="150"/>
      <c r="G205" s="150"/>
    </row>
    <row r="206" spans="1:7" x14ac:dyDescent="0.25">
      <c r="A206" s="150"/>
      <c r="B206" s="150"/>
      <c r="C206" s="150"/>
      <c r="D206" s="61"/>
      <c r="E206" s="61" t="s">
        <v>405</v>
      </c>
      <c r="F206" s="150"/>
      <c r="G206" s="150"/>
    </row>
    <row r="207" spans="1:7" ht="28" x14ac:dyDescent="0.25">
      <c r="A207" s="150"/>
      <c r="B207" s="150"/>
      <c r="C207" s="150"/>
      <c r="D207" s="61"/>
      <c r="E207" s="61" t="s">
        <v>486</v>
      </c>
      <c r="F207" s="150"/>
      <c r="G207" s="150"/>
    </row>
    <row r="208" spans="1:7" x14ac:dyDescent="0.25">
      <c r="A208" s="150"/>
      <c r="B208" s="150"/>
      <c r="C208" s="150"/>
      <c r="D208" s="61"/>
      <c r="E208" s="61" t="s">
        <v>420</v>
      </c>
      <c r="F208" s="150"/>
      <c r="G208" s="150"/>
    </row>
    <row r="209" spans="1:7" x14ac:dyDescent="0.25">
      <c r="A209" s="150"/>
      <c r="B209" s="150"/>
      <c r="C209" s="141" t="s">
        <v>477</v>
      </c>
      <c r="D209" s="41" t="s">
        <v>466</v>
      </c>
      <c r="E209" s="41" t="s">
        <v>334</v>
      </c>
      <c r="F209" s="141" t="s">
        <v>35</v>
      </c>
      <c r="G209" s="152" t="s">
        <v>524</v>
      </c>
    </row>
    <row r="210" spans="1:7" x14ac:dyDescent="0.25">
      <c r="A210" s="150"/>
      <c r="B210" s="150"/>
      <c r="C210" s="149"/>
      <c r="D210" s="41" t="s">
        <v>422</v>
      </c>
      <c r="E210" s="41" t="s">
        <v>467</v>
      </c>
      <c r="F210" s="149"/>
      <c r="G210" s="150"/>
    </row>
    <row r="211" spans="1:7" x14ac:dyDescent="0.25">
      <c r="A211" s="150"/>
      <c r="B211" s="150"/>
      <c r="C211" s="150"/>
      <c r="D211" s="41" t="s">
        <v>427</v>
      </c>
      <c r="E211" s="41" t="s">
        <v>426</v>
      </c>
      <c r="F211" s="150"/>
      <c r="G211" s="150"/>
    </row>
    <row r="212" spans="1:7" x14ac:dyDescent="0.25">
      <c r="A212" s="150"/>
      <c r="B212" s="150"/>
      <c r="C212" s="150"/>
      <c r="D212" s="61" t="s">
        <v>423</v>
      </c>
      <c r="E212" s="41" t="s">
        <v>427</v>
      </c>
      <c r="F212" s="150"/>
      <c r="G212" s="150"/>
    </row>
    <row r="213" spans="1:7" ht="28" x14ac:dyDescent="0.25">
      <c r="A213" s="150"/>
      <c r="B213" s="150"/>
      <c r="C213" s="150"/>
      <c r="D213" s="61" t="s">
        <v>484</v>
      </c>
      <c r="E213" s="41" t="s">
        <v>497</v>
      </c>
      <c r="F213" s="150"/>
      <c r="G213" s="150"/>
    </row>
    <row r="214" spans="1:7" x14ac:dyDescent="0.25">
      <c r="A214" s="150"/>
      <c r="B214" s="150"/>
      <c r="C214" s="150"/>
      <c r="D214" s="61"/>
      <c r="E214" s="61" t="s">
        <v>405</v>
      </c>
      <c r="F214" s="150"/>
      <c r="G214" s="150"/>
    </row>
    <row r="215" spans="1:7" ht="28" x14ac:dyDescent="0.25">
      <c r="A215" s="150"/>
      <c r="B215" s="150"/>
      <c r="C215" s="150"/>
      <c r="D215" s="61"/>
      <c r="E215" s="61" t="s">
        <v>487</v>
      </c>
      <c r="F215" s="150"/>
      <c r="G215" s="150"/>
    </row>
    <row r="216" spans="1:7" x14ac:dyDescent="0.25">
      <c r="A216" s="150"/>
      <c r="B216" s="150"/>
      <c r="C216" s="150"/>
      <c r="D216" s="61"/>
      <c r="E216" s="61" t="s">
        <v>434</v>
      </c>
      <c r="F216" s="150"/>
      <c r="G216" s="150"/>
    </row>
    <row r="217" spans="1:7" x14ac:dyDescent="0.25">
      <c r="A217" s="150"/>
      <c r="B217" s="150"/>
      <c r="C217" s="141" t="s">
        <v>478</v>
      </c>
      <c r="D217" s="41" t="s">
        <v>406</v>
      </c>
      <c r="E217" s="41" t="s">
        <v>334</v>
      </c>
      <c r="F217" s="141" t="s">
        <v>35</v>
      </c>
      <c r="G217" s="152" t="s">
        <v>525</v>
      </c>
    </row>
    <row r="218" spans="1:7" x14ac:dyDescent="0.25">
      <c r="A218" s="150"/>
      <c r="B218" s="150"/>
      <c r="C218" s="149"/>
      <c r="D218" s="41" t="s">
        <v>422</v>
      </c>
      <c r="E218" s="41" t="s">
        <v>469</v>
      </c>
      <c r="F218" s="149"/>
      <c r="G218" s="150"/>
    </row>
    <row r="219" spans="1:7" x14ac:dyDescent="0.25">
      <c r="A219" s="150"/>
      <c r="B219" s="150"/>
      <c r="C219" s="150"/>
      <c r="D219" s="41" t="s">
        <v>427</v>
      </c>
      <c r="E219" s="41" t="s">
        <v>426</v>
      </c>
      <c r="F219" s="150"/>
      <c r="G219" s="150"/>
    </row>
    <row r="220" spans="1:7" x14ac:dyDescent="0.25">
      <c r="A220" s="150"/>
      <c r="B220" s="150"/>
      <c r="C220" s="150"/>
      <c r="D220" s="61" t="s">
        <v>423</v>
      </c>
      <c r="E220" s="41" t="s">
        <v>468</v>
      </c>
      <c r="F220" s="150"/>
      <c r="G220" s="150"/>
    </row>
    <row r="221" spans="1:7" ht="28" x14ac:dyDescent="0.25">
      <c r="A221" s="150"/>
      <c r="B221" s="150"/>
      <c r="C221" s="150"/>
      <c r="D221" s="61" t="s">
        <v>485</v>
      </c>
      <c r="E221" s="41" t="s">
        <v>498</v>
      </c>
      <c r="F221" s="150"/>
      <c r="G221" s="150"/>
    </row>
    <row r="222" spans="1:7" x14ac:dyDescent="0.25">
      <c r="A222" s="150"/>
      <c r="B222" s="150"/>
      <c r="C222" s="150"/>
      <c r="D222" s="61"/>
      <c r="E222" s="61" t="s">
        <v>405</v>
      </c>
      <c r="F222" s="150"/>
      <c r="G222" s="150"/>
    </row>
    <row r="223" spans="1:7" ht="28" x14ac:dyDescent="0.25">
      <c r="A223" s="150"/>
      <c r="B223" s="150"/>
      <c r="C223" s="150"/>
      <c r="D223" s="61"/>
      <c r="E223" s="61" t="s">
        <v>496</v>
      </c>
      <c r="F223" s="150"/>
      <c r="G223" s="150"/>
    </row>
    <row r="224" spans="1:7" x14ac:dyDescent="0.25">
      <c r="A224" s="150"/>
      <c r="B224" s="150"/>
      <c r="C224" s="150"/>
      <c r="D224" s="61"/>
      <c r="E224" s="61" t="s">
        <v>420</v>
      </c>
      <c r="F224" s="150"/>
      <c r="G224" s="150"/>
    </row>
    <row r="225" spans="1:7" x14ac:dyDescent="0.25">
      <c r="A225" s="150"/>
      <c r="B225" s="150"/>
      <c r="C225" s="141" t="s">
        <v>479</v>
      </c>
      <c r="D225" s="41" t="s">
        <v>406</v>
      </c>
      <c r="E225" s="41" t="s">
        <v>334</v>
      </c>
      <c r="F225" s="141" t="s">
        <v>35</v>
      </c>
      <c r="G225" s="152" t="s">
        <v>526</v>
      </c>
    </row>
    <row r="226" spans="1:7" x14ac:dyDescent="0.25">
      <c r="A226" s="150"/>
      <c r="B226" s="150"/>
      <c r="C226" s="149"/>
      <c r="D226" s="41" t="s">
        <v>422</v>
      </c>
      <c r="E226" s="41" t="s">
        <v>467</v>
      </c>
      <c r="F226" s="149"/>
      <c r="G226" s="150"/>
    </row>
    <row r="227" spans="1:7" x14ac:dyDescent="0.25">
      <c r="A227" s="150"/>
      <c r="B227" s="150"/>
      <c r="C227" s="150"/>
      <c r="D227" s="41" t="s">
        <v>427</v>
      </c>
      <c r="E227" s="41" t="s">
        <v>426</v>
      </c>
      <c r="F227" s="150"/>
      <c r="G227" s="150"/>
    </row>
    <row r="228" spans="1:7" x14ac:dyDescent="0.25">
      <c r="A228" s="150"/>
      <c r="B228" s="150"/>
      <c r="C228" s="150"/>
      <c r="D228" s="61" t="s">
        <v>423</v>
      </c>
      <c r="E228" s="41" t="s">
        <v>457</v>
      </c>
      <c r="F228" s="150"/>
      <c r="G228" s="150"/>
    </row>
    <row r="229" spans="1:7" ht="28" x14ac:dyDescent="0.25">
      <c r="A229" s="150"/>
      <c r="B229" s="150"/>
      <c r="C229" s="150"/>
      <c r="D229" s="61" t="s">
        <v>494</v>
      </c>
      <c r="E229" s="41" t="s">
        <v>495</v>
      </c>
      <c r="F229" s="150"/>
      <c r="G229" s="150"/>
    </row>
    <row r="230" spans="1:7" x14ac:dyDescent="0.25">
      <c r="A230" s="150"/>
      <c r="B230" s="150"/>
      <c r="C230" s="150"/>
      <c r="D230" s="61"/>
      <c r="E230" s="61" t="s">
        <v>405</v>
      </c>
      <c r="F230" s="150"/>
      <c r="G230" s="150"/>
    </row>
    <row r="231" spans="1:7" ht="28" x14ac:dyDescent="0.25">
      <c r="A231" s="150"/>
      <c r="B231" s="150"/>
      <c r="C231" s="150"/>
      <c r="D231" s="61"/>
      <c r="E231" s="61" t="s">
        <v>488</v>
      </c>
      <c r="F231" s="150"/>
      <c r="G231" s="150"/>
    </row>
    <row r="232" spans="1:7" x14ac:dyDescent="0.25">
      <c r="A232" s="150"/>
      <c r="B232" s="150"/>
      <c r="C232" s="150"/>
      <c r="D232" s="61"/>
      <c r="E232" s="61" t="s">
        <v>435</v>
      </c>
      <c r="F232" s="150"/>
      <c r="G232" s="150"/>
    </row>
    <row r="233" spans="1:7" x14ac:dyDescent="0.25">
      <c r="A233" s="150"/>
      <c r="B233" s="150"/>
      <c r="C233" s="141" t="s">
        <v>480</v>
      </c>
      <c r="D233" s="41" t="s">
        <v>406</v>
      </c>
      <c r="E233" s="41" t="s">
        <v>334</v>
      </c>
      <c r="F233" s="141" t="s">
        <v>35</v>
      </c>
      <c r="G233" s="152" t="s">
        <v>527</v>
      </c>
    </row>
    <row r="234" spans="1:7" x14ac:dyDescent="0.25">
      <c r="A234" s="150"/>
      <c r="B234" s="150"/>
      <c r="C234" s="149"/>
      <c r="D234" s="41" t="s">
        <v>404</v>
      </c>
      <c r="E234" s="41" t="s">
        <v>467</v>
      </c>
      <c r="F234" s="149"/>
      <c r="G234" s="150"/>
    </row>
    <row r="235" spans="1:7" x14ac:dyDescent="0.25">
      <c r="A235" s="150"/>
      <c r="B235" s="150"/>
      <c r="C235" s="150"/>
      <c r="D235" s="41" t="s">
        <v>473</v>
      </c>
      <c r="E235" s="41" t="s">
        <v>475</v>
      </c>
      <c r="F235" s="150"/>
      <c r="G235" s="150"/>
    </row>
    <row r="236" spans="1:7" x14ac:dyDescent="0.25">
      <c r="A236" s="150"/>
      <c r="B236" s="150"/>
      <c r="C236" s="150"/>
      <c r="D236" s="61" t="s">
        <v>472</v>
      </c>
      <c r="E236" s="41" t="s">
        <v>474</v>
      </c>
      <c r="F236" s="150"/>
      <c r="G236" s="150"/>
    </row>
    <row r="237" spans="1:7" x14ac:dyDescent="0.25">
      <c r="A237" s="150"/>
      <c r="B237" s="150"/>
      <c r="C237" s="150"/>
      <c r="D237" s="61"/>
      <c r="E237" s="61" t="s">
        <v>405</v>
      </c>
      <c r="F237" s="150"/>
      <c r="G237" s="150"/>
    </row>
    <row r="238" spans="1:7" ht="28" x14ac:dyDescent="0.25">
      <c r="A238" s="150"/>
      <c r="B238" s="150"/>
      <c r="C238" s="150"/>
      <c r="D238" s="61"/>
      <c r="E238" s="61" t="s">
        <v>489</v>
      </c>
      <c r="F238" s="150"/>
      <c r="G238" s="150"/>
    </row>
    <row r="239" spans="1:7" x14ac:dyDescent="0.25">
      <c r="A239" s="150"/>
      <c r="B239" s="150"/>
      <c r="C239" s="150"/>
      <c r="D239" s="61"/>
      <c r="E239" s="61" t="s">
        <v>435</v>
      </c>
      <c r="F239" s="150"/>
      <c r="G239" s="150"/>
    </row>
    <row r="240" spans="1:7" x14ac:dyDescent="0.25">
      <c r="A240" s="150"/>
      <c r="B240" s="150"/>
      <c r="C240" s="141" t="s">
        <v>481</v>
      </c>
      <c r="D240" s="41" t="s">
        <v>406</v>
      </c>
      <c r="E240" s="41" t="s">
        <v>334</v>
      </c>
      <c r="F240" s="141" t="s">
        <v>35</v>
      </c>
      <c r="G240" s="152" t="s">
        <v>528</v>
      </c>
    </row>
    <row r="241" spans="1:7" x14ac:dyDescent="0.25">
      <c r="A241" s="150"/>
      <c r="B241" s="150"/>
      <c r="C241" s="149"/>
      <c r="D241" s="41" t="s">
        <v>404</v>
      </c>
      <c r="E241" s="41" t="s">
        <v>467</v>
      </c>
      <c r="F241" s="149"/>
      <c r="G241" s="150"/>
    </row>
    <row r="242" spans="1:7" x14ac:dyDescent="0.25">
      <c r="A242" s="150"/>
      <c r="B242" s="150"/>
      <c r="C242" s="150"/>
      <c r="D242" s="41" t="s">
        <v>473</v>
      </c>
      <c r="E242" s="41" t="s">
        <v>475</v>
      </c>
      <c r="F242" s="150"/>
      <c r="G242" s="150"/>
    </row>
    <row r="243" spans="1:7" x14ac:dyDescent="0.25">
      <c r="A243" s="150"/>
      <c r="B243" s="150"/>
      <c r="C243" s="150"/>
      <c r="D243" s="61" t="s">
        <v>472</v>
      </c>
      <c r="E243" s="41" t="s">
        <v>474</v>
      </c>
      <c r="F243" s="150"/>
      <c r="G243" s="150"/>
    </row>
    <row r="244" spans="1:7" x14ac:dyDescent="0.25">
      <c r="A244" s="150"/>
      <c r="B244" s="150"/>
      <c r="C244" s="150"/>
      <c r="D244" s="61"/>
      <c r="E244" s="61" t="s">
        <v>405</v>
      </c>
      <c r="F244" s="150"/>
      <c r="G244" s="150"/>
    </row>
    <row r="245" spans="1:7" ht="28" x14ac:dyDescent="0.25">
      <c r="A245" s="150"/>
      <c r="B245" s="150"/>
      <c r="C245" s="150"/>
      <c r="D245" s="61"/>
      <c r="E245" s="61" t="s">
        <v>490</v>
      </c>
      <c r="F245" s="150"/>
      <c r="G245" s="150"/>
    </row>
    <row r="246" spans="1:7" x14ac:dyDescent="0.25">
      <c r="A246" s="150"/>
      <c r="B246" s="150"/>
      <c r="C246" s="150"/>
      <c r="D246" s="61"/>
      <c r="E246" s="61" t="s">
        <v>435</v>
      </c>
      <c r="F246" s="150"/>
      <c r="G246" s="150"/>
    </row>
    <row r="247" spans="1:7" x14ac:dyDescent="0.25">
      <c r="A247" s="150"/>
      <c r="B247" s="150"/>
      <c r="C247" s="141" t="s">
        <v>464</v>
      </c>
      <c r="D247" s="41" t="s">
        <v>455</v>
      </c>
      <c r="E247" s="41" t="s">
        <v>467</v>
      </c>
      <c r="F247" s="141" t="s">
        <v>35</v>
      </c>
      <c r="G247" s="152" t="s">
        <v>529</v>
      </c>
    </row>
    <row r="248" spans="1:7" x14ac:dyDescent="0.25">
      <c r="A248" s="150"/>
      <c r="B248" s="150"/>
      <c r="C248" s="160"/>
      <c r="D248" s="41" t="s">
        <v>334</v>
      </c>
      <c r="E248" s="41" t="s">
        <v>456</v>
      </c>
      <c r="F248" s="160"/>
      <c r="G248" s="160"/>
    </row>
    <row r="249" spans="1:7" x14ac:dyDescent="0.25">
      <c r="A249" s="150"/>
      <c r="B249" s="150"/>
      <c r="C249" s="160"/>
      <c r="D249" s="41" t="s">
        <v>436</v>
      </c>
      <c r="E249" s="61" t="s">
        <v>407</v>
      </c>
      <c r="F249" s="160"/>
      <c r="G249" s="160"/>
    </row>
    <row r="250" spans="1:7" ht="28" x14ac:dyDescent="0.25">
      <c r="A250" s="150"/>
      <c r="B250" s="150"/>
      <c r="C250" s="160"/>
      <c r="D250" s="61" t="s">
        <v>437</v>
      </c>
      <c r="E250" s="61" t="s">
        <v>491</v>
      </c>
      <c r="F250" s="160"/>
      <c r="G250" s="160"/>
    </row>
    <row r="251" spans="1:7" x14ac:dyDescent="0.25">
      <c r="A251" s="150"/>
      <c r="B251" s="150"/>
      <c r="C251" s="160"/>
      <c r="D251" s="61"/>
      <c r="E251" s="41" t="s">
        <v>438</v>
      </c>
      <c r="F251" s="160"/>
      <c r="G251" s="160"/>
    </row>
    <row r="252" spans="1:7" x14ac:dyDescent="0.25">
      <c r="A252" s="150"/>
      <c r="B252" s="150"/>
      <c r="C252" s="141" t="s">
        <v>482</v>
      </c>
      <c r="D252" s="41" t="s">
        <v>466</v>
      </c>
      <c r="E252" s="41" t="s">
        <v>470</v>
      </c>
      <c r="F252" s="141" t="s">
        <v>35</v>
      </c>
      <c r="G252" s="152" t="s">
        <v>530</v>
      </c>
    </row>
    <row r="253" spans="1:7" x14ac:dyDescent="0.25">
      <c r="A253" s="150"/>
      <c r="B253" s="150"/>
      <c r="C253" s="160"/>
      <c r="D253" s="41" t="s">
        <v>334</v>
      </c>
      <c r="E253" s="41" t="s">
        <v>454</v>
      </c>
      <c r="F253" s="160"/>
      <c r="G253" s="160"/>
    </row>
    <row r="254" spans="1:7" x14ac:dyDescent="0.25">
      <c r="A254" s="150"/>
      <c r="B254" s="150"/>
      <c r="C254" s="160"/>
      <c r="D254" s="41" t="s">
        <v>452</v>
      </c>
      <c r="E254" s="61" t="s">
        <v>407</v>
      </c>
      <c r="F254" s="160"/>
      <c r="G254" s="160"/>
    </row>
    <row r="255" spans="1:7" ht="28" x14ac:dyDescent="0.25">
      <c r="A255" s="150"/>
      <c r="B255" s="150"/>
      <c r="C255" s="160"/>
      <c r="D255" s="61" t="s">
        <v>453</v>
      </c>
      <c r="E255" s="61" t="s">
        <v>493</v>
      </c>
      <c r="F255" s="160"/>
      <c r="G255" s="160"/>
    </row>
    <row r="256" spans="1:7" x14ac:dyDescent="0.25">
      <c r="A256" s="150"/>
      <c r="B256" s="150"/>
      <c r="C256" s="160"/>
      <c r="D256" s="61"/>
      <c r="E256" s="41" t="s">
        <v>492</v>
      </c>
      <c r="F256" s="160"/>
      <c r="G256" s="160"/>
    </row>
    <row r="257" spans="1:7" x14ac:dyDescent="0.25">
      <c r="A257" s="149"/>
      <c r="B257" s="147" t="s">
        <v>38</v>
      </c>
      <c r="C257" s="146"/>
      <c r="D257" s="146"/>
      <c r="E257" s="146"/>
      <c r="F257" s="146"/>
      <c r="G257" s="134"/>
    </row>
    <row r="258" spans="1:7" x14ac:dyDescent="0.25">
      <c r="A258" s="149"/>
      <c r="B258" s="157" t="s">
        <v>39</v>
      </c>
      <c r="C258" s="33" t="s">
        <v>19</v>
      </c>
      <c r="D258" s="33" t="s">
        <v>40</v>
      </c>
      <c r="E258" s="33" t="s">
        <v>41</v>
      </c>
      <c r="F258" s="33" t="s">
        <v>42</v>
      </c>
      <c r="G258" s="33" t="s">
        <v>43</v>
      </c>
    </row>
    <row r="259" spans="1:7" x14ac:dyDescent="0.25">
      <c r="A259" s="149"/>
      <c r="B259" s="151"/>
      <c r="C259" s="64" t="s">
        <v>44</v>
      </c>
      <c r="D259" s="61"/>
      <c r="E259" s="61"/>
      <c r="F259" s="61"/>
      <c r="G259" s="61" t="s">
        <v>462</v>
      </c>
    </row>
    <row r="260" spans="1:7" x14ac:dyDescent="0.25">
      <c r="A260" s="149"/>
      <c r="B260" s="147" t="s">
        <v>45</v>
      </c>
      <c r="C260" s="146"/>
      <c r="D260" s="146"/>
      <c r="E260" s="146"/>
      <c r="F260" s="146"/>
      <c r="G260" s="134"/>
    </row>
    <row r="261" spans="1:7" x14ac:dyDescent="0.25">
      <c r="A261" s="149"/>
      <c r="B261" s="65" t="s">
        <v>46</v>
      </c>
      <c r="C261" s="147" t="s">
        <v>47</v>
      </c>
      <c r="D261" s="146"/>
      <c r="E261" s="134"/>
      <c r="F261" s="34" t="s">
        <v>48</v>
      </c>
      <c r="G261" s="34" t="s">
        <v>49</v>
      </c>
    </row>
    <row r="262" spans="1:7" ht="17.149999999999999" customHeight="1" x14ac:dyDescent="0.25">
      <c r="A262" s="149"/>
      <c r="B262" s="35" t="s">
        <v>535</v>
      </c>
      <c r="C262" s="158" t="s">
        <v>740</v>
      </c>
      <c r="D262" s="146"/>
      <c r="E262" s="134"/>
      <c r="F262" s="43" t="s">
        <v>533</v>
      </c>
      <c r="G262" s="36" t="s">
        <v>541</v>
      </c>
    </row>
    <row r="263" spans="1:7" x14ac:dyDescent="0.25">
      <c r="A263" s="149"/>
      <c r="B263" s="148" t="s">
        <v>50</v>
      </c>
      <c r="C263" s="146"/>
      <c r="D263" s="146"/>
      <c r="E263" s="146"/>
      <c r="F263" s="146"/>
      <c r="G263" s="134"/>
    </row>
    <row r="264" spans="1:7" x14ac:dyDescent="0.25">
      <c r="A264" s="149"/>
      <c r="B264" s="33" t="s">
        <v>46</v>
      </c>
      <c r="C264" s="33" t="s">
        <v>51</v>
      </c>
      <c r="D264" s="33" t="s">
        <v>19</v>
      </c>
      <c r="E264" s="33" t="s">
        <v>52</v>
      </c>
      <c r="F264" s="33" t="s">
        <v>53</v>
      </c>
      <c r="G264" s="33" t="s">
        <v>54</v>
      </c>
    </row>
    <row r="265" spans="1:7" ht="19" customHeight="1" x14ac:dyDescent="0.25">
      <c r="A265" s="150"/>
      <c r="B265" s="37" t="s">
        <v>536</v>
      </c>
      <c r="C265" s="37" t="s">
        <v>741</v>
      </c>
      <c r="D265" s="37" t="s">
        <v>540</v>
      </c>
      <c r="E265" s="37" t="s">
        <v>55</v>
      </c>
      <c r="F265" s="37" t="s">
        <v>506</v>
      </c>
      <c r="G265" s="37" t="s">
        <v>507</v>
      </c>
    </row>
    <row r="266" spans="1:7" x14ac:dyDescent="0.25">
      <c r="A266" s="141" t="s">
        <v>542</v>
      </c>
      <c r="B266" s="145" t="s">
        <v>57</v>
      </c>
      <c r="C266" s="146"/>
      <c r="D266" s="146"/>
      <c r="E266" s="146"/>
      <c r="F266" s="146"/>
      <c r="G266" s="134"/>
    </row>
    <row r="267" spans="1:7" x14ac:dyDescent="0.25">
      <c r="A267" s="149"/>
      <c r="B267" s="147" t="s">
        <v>58</v>
      </c>
      <c r="C267" s="146"/>
      <c r="D267" s="146"/>
      <c r="E267" s="146"/>
      <c r="F267" s="146"/>
      <c r="G267" s="134"/>
    </row>
    <row r="268" spans="1:7" x14ac:dyDescent="0.25">
      <c r="A268" s="149"/>
      <c r="B268" s="65" t="s">
        <v>46</v>
      </c>
      <c r="C268" s="147" t="s">
        <v>47</v>
      </c>
      <c r="D268" s="146"/>
      <c r="E268" s="134"/>
      <c r="F268" s="34" t="s">
        <v>48</v>
      </c>
      <c r="G268" s="34" t="s">
        <v>49</v>
      </c>
    </row>
    <row r="269" spans="1:7" x14ac:dyDescent="0.25">
      <c r="A269" s="149"/>
      <c r="B269" s="35" t="s">
        <v>546</v>
      </c>
      <c r="C269" s="158" t="s">
        <v>544</v>
      </c>
      <c r="D269" s="146"/>
      <c r="E269" s="134"/>
      <c r="F269" s="43" t="s">
        <v>56</v>
      </c>
      <c r="G269" s="36" t="s">
        <v>351</v>
      </c>
    </row>
    <row r="270" spans="1:7" x14ac:dyDescent="0.25">
      <c r="A270" s="149"/>
      <c r="B270" s="148" t="s">
        <v>60</v>
      </c>
      <c r="C270" s="146"/>
      <c r="D270" s="146"/>
      <c r="E270" s="146"/>
      <c r="F270" s="146"/>
      <c r="G270" s="134"/>
    </row>
    <row r="271" spans="1:7" x14ac:dyDescent="0.25">
      <c r="A271" s="149"/>
      <c r="B271" s="33" t="s">
        <v>46</v>
      </c>
      <c r="C271" s="33" t="s">
        <v>51</v>
      </c>
      <c r="D271" s="33" t="s">
        <v>19</v>
      </c>
      <c r="E271" s="33" t="s">
        <v>52</v>
      </c>
      <c r="F271" s="33" t="s">
        <v>53</v>
      </c>
      <c r="G271" s="33" t="s">
        <v>54</v>
      </c>
    </row>
    <row r="272" spans="1:7" ht="16.5" customHeight="1" x14ac:dyDescent="0.25">
      <c r="A272" s="151"/>
      <c r="B272" s="37" t="s">
        <v>547</v>
      </c>
      <c r="C272" s="37" t="s">
        <v>545</v>
      </c>
      <c r="D272" s="37" t="s">
        <v>61</v>
      </c>
      <c r="E272" s="37" t="s">
        <v>361</v>
      </c>
      <c r="F272" s="37" t="s">
        <v>550</v>
      </c>
      <c r="G272" s="37" t="s">
        <v>548</v>
      </c>
    </row>
    <row r="273" spans="1:7" x14ac:dyDescent="0.25">
      <c r="A273" s="141" t="s">
        <v>543</v>
      </c>
      <c r="B273" s="145" t="s">
        <v>57</v>
      </c>
      <c r="C273" s="146"/>
      <c r="D273" s="146"/>
      <c r="E273" s="146"/>
      <c r="F273" s="146"/>
      <c r="G273" s="134"/>
    </row>
    <row r="274" spans="1:7" x14ac:dyDescent="0.25">
      <c r="A274" s="149"/>
      <c r="B274" s="147" t="s">
        <v>58</v>
      </c>
      <c r="C274" s="146"/>
      <c r="D274" s="146"/>
      <c r="E274" s="146"/>
      <c r="F274" s="146"/>
      <c r="G274" s="134"/>
    </row>
    <row r="275" spans="1:7" x14ac:dyDescent="0.25">
      <c r="A275" s="149"/>
      <c r="B275" s="65" t="s">
        <v>46</v>
      </c>
      <c r="C275" s="147" t="s">
        <v>47</v>
      </c>
      <c r="D275" s="146"/>
      <c r="E275" s="134"/>
      <c r="F275" s="34" t="s">
        <v>48</v>
      </c>
      <c r="G275" s="34" t="s">
        <v>49</v>
      </c>
    </row>
    <row r="276" spans="1:7" x14ac:dyDescent="0.25">
      <c r="A276" s="149"/>
      <c r="B276" s="35" t="s">
        <v>562</v>
      </c>
      <c r="C276" s="158" t="s">
        <v>560</v>
      </c>
      <c r="D276" s="146"/>
      <c r="E276" s="134"/>
      <c r="F276" s="43" t="s">
        <v>62</v>
      </c>
      <c r="G276" s="36" t="s">
        <v>63</v>
      </c>
    </row>
    <row r="277" spans="1:7" x14ac:dyDescent="0.25">
      <c r="A277" s="149"/>
      <c r="B277" s="148" t="s">
        <v>60</v>
      </c>
      <c r="C277" s="146"/>
      <c r="D277" s="146"/>
      <c r="E277" s="146"/>
      <c r="F277" s="146"/>
      <c r="G277" s="134"/>
    </row>
    <row r="278" spans="1:7" x14ac:dyDescent="0.25">
      <c r="A278" s="149"/>
      <c r="B278" s="33" t="s">
        <v>46</v>
      </c>
      <c r="C278" s="33" t="s">
        <v>51</v>
      </c>
      <c r="D278" s="33" t="s">
        <v>19</v>
      </c>
      <c r="E278" s="33" t="s">
        <v>52</v>
      </c>
      <c r="F278" s="33" t="s">
        <v>53</v>
      </c>
      <c r="G278" s="33" t="s">
        <v>54</v>
      </c>
    </row>
    <row r="279" spans="1:7" ht="22.5" customHeight="1" x14ac:dyDescent="0.25">
      <c r="A279" s="151"/>
      <c r="B279" s="37" t="s">
        <v>562</v>
      </c>
      <c r="C279" s="37" t="s">
        <v>560</v>
      </c>
      <c r="D279" s="37" t="s">
        <v>63</v>
      </c>
      <c r="E279" s="37" t="s">
        <v>360</v>
      </c>
      <c r="F279" s="37" t="s">
        <v>549</v>
      </c>
      <c r="G279" s="37" t="s">
        <v>64</v>
      </c>
    </row>
    <row r="280" spans="1:7" x14ac:dyDescent="0.25">
      <c r="A280" s="141" t="s">
        <v>554</v>
      </c>
      <c r="B280" s="145" t="s">
        <v>57</v>
      </c>
      <c r="C280" s="146"/>
      <c r="D280" s="146"/>
      <c r="E280" s="146"/>
      <c r="F280" s="146"/>
      <c r="G280" s="134"/>
    </row>
    <row r="281" spans="1:7" x14ac:dyDescent="0.25">
      <c r="A281" s="149"/>
      <c r="B281" s="147" t="s">
        <v>58</v>
      </c>
      <c r="C281" s="146"/>
      <c r="D281" s="146"/>
      <c r="E281" s="146"/>
      <c r="F281" s="146"/>
      <c r="G281" s="134"/>
    </row>
    <row r="282" spans="1:7" x14ac:dyDescent="0.25">
      <c r="A282" s="149"/>
      <c r="B282" s="65" t="s">
        <v>46</v>
      </c>
      <c r="C282" s="147" t="s">
        <v>47</v>
      </c>
      <c r="D282" s="146"/>
      <c r="E282" s="134"/>
      <c r="F282" s="34" t="s">
        <v>48</v>
      </c>
      <c r="G282" s="34" t="s">
        <v>49</v>
      </c>
    </row>
    <row r="283" spans="1:7" x14ac:dyDescent="0.25">
      <c r="A283" s="149"/>
      <c r="B283" s="35" t="s">
        <v>563</v>
      </c>
      <c r="C283" s="158" t="s">
        <v>555</v>
      </c>
      <c r="D283" s="146"/>
      <c r="E283" s="134"/>
      <c r="F283" s="43" t="s">
        <v>364</v>
      </c>
      <c r="G283" s="36" t="s">
        <v>63</v>
      </c>
    </row>
    <row r="284" spans="1:7" x14ac:dyDescent="0.25">
      <c r="A284" s="149"/>
      <c r="B284" s="148" t="s">
        <v>60</v>
      </c>
      <c r="C284" s="146"/>
      <c r="D284" s="146"/>
      <c r="E284" s="146"/>
      <c r="F284" s="146"/>
      <c r="G284" s="134"/>
    </row>
    <row r="285" spans="1:7" x14ac:dyDescent="0.25">
      <c r="A285" s="149"/>
      <c r="B285" s="33" t="s">
        <v>46</v>
      </c>
      <c r="C285" s="33" t="s">
        <v>51</v>
      </c>
      <c r="D285" s="33" t="s">
        <v>19</v>
      </c>
      <c r="E285" s="33" t="s">
        <v>52</v>
      </c>
      <c r="F285" s="33" t="s">
        <v>53</v>
      </c>
      <c r="G285" s="33" t="s">
        <v>54</v>
      </c>
    </row>
    <row r="286" spans="1:7" ht="70" x14ac:dyDescent="0.25">
      <c r="A286" s="151"/>
      <c r="B286" s="37" t="s">
        <v>563</v>
      </c>
      <c r="C286" s="37" t="s">
        <v>555</v>
      </c>
      <c r="D286" s="37" t="s">
        <v>63</v>
      </c>
      <c r="E286" s="37" t="s">
        <v>360</v>
      </c>
      <c r="F286" s="37" t="s">
        <v>556</v>
      </c>
      <c r="G286" s="37" t="s">
        <v>557</v>
      </c>
    </row>
    <row r="287" spans="1:7" x14ac:dyDescent="0.25">
      <c r="A287" s="141" t="s">
        <v>558</v>
      </c>
      <c r="B287" s="145" t="s">
        <v>57</v>
      </c>
      <c r="C287" s="146"/>
      <c r="D287" s="146"/>
      <c r="E287" s="146"/>
      <c r="F287" s="146"/>
      <c r="G287" s="134"/>
    </row>
    <row r="288" spans="1:7" x14ac:dyDescent="0.25">
      <c r="A288" s="149"/>
      <c r="B288" s="147" t="s">
        <v>28</v>
      </c>
      <c r="C288" s="146"/>
      <c r="D288" s="146"/>
      <c r="E288" s="146"/>
      <c r="F288" s="146"/>
      <c r="G288" s="134"/>
    </row>
    <row r="289" spans="1:7" x14ac:dyDescent="0.25">
      <c r="A289" s="149"/>
      <c r="B289" s="157" t="s">
        <v>29</v>
      </c>
      <c r="C289" s="39" t="s">
        <v>19</v>
      </c>
      <c r="D289" s="39" t="s">
        <v>30</v>
      </c>
      <c r="E289" s="39" t="s">
        <v>31</v>
      </c>
      <c r="F289" s="34" t="s">
        <v>32</v>
      </c>
      <c r="G289" s="34" t="s">
        <v>33</v>
      </c>
    </row>
    <row r="290" spans="1:7" x14ac:dyDescent="0.25">
      <c r="A290" s="149"/>
      <c r="B290" s="149"/>
      <c r="C290" s="141" t="s">
        <v>66</v>
      </c>
      <c r="D290" s="61" t="s">
        <v>67</v>
      </c>
      <c r="E290" s="61"/>
      <c r="F290" s="141" t="s">
        <v>65</v>
      </c>
      <c r="G290" s="152" t="s">
        <v>68</v>
      </c>
    </row>
    <row r="291" spans="1:7" x14ac:dyDescent="0.25">
      <c r="A291" s="149"/>
      <c r="B291" s="149"/>
      <c r="C291" s="149"/>
      <c r="D291" s="61" t="s">
        <v>59</v>
      </c>
      <c r="E291" s="61"/>
      <c r="F291" s="149"/>
      <c r="G291" s="149"/>
    </row>
    <row r="292" spans="1:7" x14ac:dyDescent="0.25">
      <c r="A292" s="149"/>
      <c r="B292" s="149"/>
      <c r="C292" s="151"/>
      <c r="D292" s="61" t="s">
        <v>69</v>
      </c>
      <c r="E292" s="61"/>
      <c r="F292" s="151"/>
      <c r="G292" s="151"/>
    </row>
    <row r="293" spans="1:7" x14ac:dyDescent="0.25">
      <c r="A293" s="149"/>
      <c r="B293" s="149"/>
      <c r="C293" s="141" t="s">
        <v>70</v>
      </c>
      <c r="D293" s="61" t="s">
        <v>71</v>
      </c>
      <c r="E293" s="61"/>
      <c r="F293" s="141" t="s">
        <v>65</v>
      </c>
      <c r="G293" s="152" t="s">
        <v>72</v>
      </c>
    </row>
    <row r="294" spans="1:7" x14ac:dyDescent="0.25">
      <c r="A294" s="149"/>
      <c r="B294" s="151"/>
      <c r="C294" s="151"/>
      <c r="D294" s="61" t="s">
        <v>73</v>
      </c>
      <c r="E294" s="61"/>
      <c r="F294" s="151"/>
      <c r="G294" s="151"/>
    </row>
    <row r="295" spans="1:7" x14ac:dyDescent="0.25">
      <c r="A295" s="149"/>
      <c r="B295" s="147" t="s">
        <v>38</v>
      </c>
      <c r="C295" s="146"/>
      <c r="D295" s="146"/>
      <c r="E295" s="146"/>
      <c r="F295" s="146"/>
      <c r="G295" s="134"/>
    </row>
    <row r="296" spans="1:7" x14ac:dyDescent="0.25">
      <c r="A296" s="149"/>
      <c r="B296" s="157" t="s">
        <v>39</v>
      </c>
      <c r="C296" s="33" t="s">
        <v>19</v>
      </c>
      <c r="D296" s="33" t="s">
        <v>40</v>
      </c>
      <c r="E296" s="33" t="s">
        <v>74</v>
      </c>
      <c r="F296" s="33" t="s">
        <v>75</v>
      </c>
      <c r="G296" s="33" t="s">
        <v>43</v>
      </c>
    </row>
    <row r="297" spans="1:7" ht="28" x14ac:dyDescent="0.25">
      <c r="A297" s="149"/>
      <c r="B297" s="149"/>
      <c r="C297" s="64" t="s">
        <v>66</v>
      </c>
      <c r="D297" s="35" t="s">
        <v>84</v>
      </c>
      <c r="E297" s="35" t="s">
        <v>77</v>
      </c>
      <c r="F297" s="61" t="s">
        <v>76</v>
      </c>
      <c r="G297" s="35" t="s">
        <v>85</v>
      </c>
    </row>
    <row r="298" spans="1:7" x14ac:dyDescent="0.25">
      <c r="A298" s="149"/>
      <c r="B298" s="151"/>
      <c r="C298" s="64" t="s">
        <v>70</v>
      </c>
      <c r="D298" s="35" t="s">
        <v>77</v>
      </c>
      <c r="E298" s="35" t="s">
        <v>78</v>
      </c>
      <c r="F298" s="35" t="s">
        <v>86</v>
      </c>
      <c r="G298" s="61"/>
    </row>
    <row r="299" spans="1:7" x14ac:dyDescent="0.25">
      <c r="A299" s="149"/>
      <c r="B299" s="147" t="s">
        <v>79</v>
      </c>
      <c r="C299" s="146"/>
      <c r="D299" s="146"/>
      <c r="E299" s="146"/>
      <c r="F299" s="146"/>
      <c r="G299" s="134"/>
    </row>
    <row r="300" spans="1:7" x14ac:dyDescent="0.25">
      <c r="A300" s="149"/>
      <c r="B300" s="65" t="s">
        <v>46</v>
      </c>
      <c r="C300" s="147" t="s">
        <v>47</v>
      </c>
      <c r="D300" s="146"/>
      <c r="E300" s="134"/>
      <c r="F300" s="34" t="s">
        <v>48</v>
      </c>
      <c r="G300" s="34" t="s">
        <v>49</v>
      </c>
    </row>
    <row r="301" spans="1:7" x14ac:dyDescent="0.25">
      <c r="A301" s="149"/>
      <c r="B301" s="66" t="s">
        <v>564</v>
      </c>
      <c r="C301" s="158" t="s">
        <v>80</v>
      </c>
      <c r="D301" s="146"/>
      <c r="E301" s="134"/>
      <c r="F301" s="43" t="s">
        <v>81</v>
      </c>
      <c r="G301" s="35"/>
    </row>
    <row r="302" spans="1:7" x14ac:dyDescent="0.25">
      <c r="A302" s="149"/>
      <c r="B302" s="148" t="s">
        <v>82</v>
      </c>
      <c r="C302" s="146"/>
      <c r="D302" s="146"/>
      <c r="E302" s="146"/>
      <c r="F302" s="146"/>
      <c r="G302" s="134"/>
    </row>
    <row r="303" spans="1:7" x14ac:dyDescent="0.25">
      <c r="A303" s="149"/>
      <c r="B303" s="33" t="s">
        <v>46</v>
      </c>
      <c r="C303" s="33" t="s">
        <v>51</v>
      </c>
      <c r="D303" s="33" t="s">
        <v>19</v>
      </c>
      <c r="E303" s="33" t="s">
        <v>52</v>
      </c>
      <c r="F303" s="33" t="s">
        <v>53</v>
      </c>
      <c r="G303" s="33" t="s">
        <v>54</v>
      </c>
    </row>
    <row r="304" spans="1:7" ht="25" customHeight="1" x14ac:dyDescent="0.25">
      <c r="A304" s="151"/>
      <c r="B304" s="37" t="s">
        <v>564</v>
      </c>
      <c r="C304" s="37" t="s">
        <v>559</v>
      </c>
      <c r="D304" s="37" t="s">
        <v>85</v>
      </c>
      <c r="E304" s="37" t="s">
        <v>55</v>
      </c>
      <c r="F304" s="37" t="s">
        <v>749</v>
      </c>
      <c r="G304" s="37" t="s">
        <v>83</v>
      </c>
    </row>
    <row r="305" spans="1:7" x14ac:dyDescent="0.25">
      <c r="A305" s="141" t="s">
        <v>561</v>
      </c>
      <c r="B305" s="145" t="s">
        <v>57</v>
      </c>
      <c r="C305" s="146"/>
      <c r="D305" s="146"/>
      <c r="E305" s="146"/>
      <c r="F305" s="146"/>
      <c r="G305" s="134"/>
    </row>
    <row r="306" spans="1:7" x14ac:dyDescent="0.25">
      <c r="A306" s="149"/>
      <c r="B306" s="147" t="s">
        <v>58</v>
      </c>
      <c r="C306" s="146"/>
      <c r="D306" s="146"/>
      <c r="E306" s="146"/>
      <c r="F306" s="146"/>
      <c r="G306" s="134"/>
    </row>
    <row r="307" spans="1:7" x14ac:dyDescent="0.25">
      <c r="A307" s="149"/>
      <c r="B307" s="65" t="s">
        <v>46</v>
      </c>
      <c r="C307" s="147" t="s">
        <v>47</v>
      </c>
      <c r="D307" s="146"/>
      <c r="E307" s="134"/>
      <c r="F307" s="34" t="s">
        <v>48</v>
      </c>
      <c r="G307" s="34" t="s">
        <v>49</v>
      </c>
    </row>
    <row r="308" spans="1:7" x14ac:dyDescent="0.25">
      <c r="A308" s="149"/>
      <c r="B308" s="35" t="s">
        <v>566</v>
      </c>
      <c r="C308" s="158" t="s">
        <v>571</v>
      </c>
      <c r="D308" s="146"/>
      <c r="E308" s="134"/>
      <c r="F308" s="43" t="s">
        <v>569</v>
      </c>
      <c r="G308" s="36" t="s">
        <v>63</v>
      </c>
    </row>
    <row r="309" spans="1:7" x14ac:dyDescent="0.25">
      <c r="A309" s="150"/>
      <c r="B309" s="35" t="s">
        <v>568</v>
      </c>
      <c r="C309" s="158" t="s">
        <v>573</v>
      </c>
      <c r="D309" s="146"/>
      <c r="E309" s="134"/>
      <c r="F309" s="43" t="s">
        <v>570</v>
      </c>
      <c r="G309" s="36" t="s">
        <v>63</v>
      </c>
    </row>
    <row r="310" spans="1:7" x14ac:dyDescent="0.25">
      <c r="A310" s="149"/>
      <c r="B310" s="148" t="s">
        <v>60</v>
      </c>
      <c r="C310" s="146"/>
      <c r="D310" s="146"/>
      <c r="E310" s="146"/>
      <c r="F310" s="146"/>
      <c r="G310" s="134"/>
    </row>
    <row r="311" spans="1:7" x14ac:dyDescent="0.25">
      <c r="A311" s="149"/>
      <c r="B311" s="33" t="s">
        <v>46</v>
      </c>
      <c r="C311" s="33" t="s">
        <v>51</v>
      </c>
      <c r="D311" s="33" t="s">
        <v>19</v>
      </c>
      <c r="E311" s="33" t="s">
        <v>52</v>
      </c>
      <c r="F311" s="33" t="s">
        <v>53</v>
      </c>
      <c r="G311" s="33" t="s">
        <v>54</v>
      </c>
    </row>
    <row r="312" spans="1:7" ht="16" customHeight="1" x14ac:dyDescent="0.25">
      <c r="A312" s="150"/>
      <c r="B312" s="37" t="s">
        <v>565</v>
      </c>
      <c r="C312" s="37" t="s">
        <v>572</v>
      </c>
      <c r="D312" s="37" t="s">
        <v>63</v>
      </c>
      <c r="E312" s="37" t="s">
        <v>360</v>
      </c>
      <c r="F312" s="37" t="s">
        <v>750</v>
      </c>
      <c r="G312" s="37" t="s">
        <v>1386</v>
      </c>
    </row>
    <row r="313" spans="1:7" ht="16" customHeight="1" x14ac:dyDescent="0.25">
      <c r="A313" s="151"/>
      <c r="B313" s="37" t="s">
        <v>567</v>
      </c>
      <c r="C313" s="37" t="s">
        <v>574</v>
      </c>
      <c r="D313" s="37" t="s">
        <v>63</v>
      </c>
      <c r="E313" s="37" t="s">
        <v>360</v>
      </c>
      <c r="F313" s="37" t="s">
        <v>575</v>
      </c>
      <c r="G313" s="37" t="s">
        <v>1387</v>
      </c>
    </row>
  </sheetData>
  <mergeCells count="188">
    <mergeCell ref="A305:A313"/>
    <mergeCell ref="B305:G305"/>
    <mergeCell ref="B306:G306"/>
    <mergeCell ref="C307:E307"/>
    <mergeCell ref="C308:E308"/>
    <mergeCell ref="B310:G310"/>
    <mergeCell ref="C309:E309"/>
    <mergeCell ref="B295:G295"/>
    <mergeCell ref="B296:B298"/>
    <mergeCell ref="B299:G299"/>
    <mergeCell ref="C300:E300"/>
    <mergeCell ref="C301:E301"/>
    <mergeCell ref="B302:G302"/>
    <mergeCell ref="A287:A304"/>
    <mergeCell ref="B287:G287"/>
    <mergeCell ref="B288:G288"/>
    <mergeCell ref="B289:B294"/>
    <mergeCell ref="C290:C292"/>
    <mergeCell ref="F290:F292"/>
    <mergeCell ref="G290:G292"/>
    <mergeCell ref="C293:C294"/>
    <mergeCell ref="F293:F294"/>
    <mergeCell ref="G293:G294"/>
    <mergeCell ref="A280:A286"/>
    <mergeCell ref="B280:G280"/>
    <mergeCell ref="B281:G281"/>
    <mergeCell ref="C282:E282"/>
    <mergeCell ref="C283:E283"/>
    <mergeCell ref="B284:G284"/>
    <mergeCell ref="A273:A279"/>
    <mergeCell ref="B273:G273"/>
    <mergeCell ref="B274:G274"/>
    <mergeCell ref="C275:E275"/>
    <mergeCell ref="C276:E276"/>
    <mergeCell ref="B277:G277"/>
    <mergeCell ref="A266:A272"/>
    <mergeCell ref="B266:G266"/>
    <mergeCell ref="B267:G267"/>
    <mergeCell ref="C268:E268"/>
    <mergeCell ref="C269:E269"/>
    <mergeCell ref="B270:G270"/>
    <mergeCell ref="C261:E261"/>
    <mergeCell ref="C262:E262"/>
    <mergeCell ref="B263:G263"/>
    <mergeCell ref="C139:C142"/>
    <mergeCell ref="F139:F142"/>
    <mergeCell ref="G139:G142"/>
    <mergeCell ref="C252:C256"/>
    <mergeCell ref="F252:F256"/>
    <mergeCell ref="G252:G256"/>
    <mergeCell ref="B257:G257"/>
    <mergeCell ref="B258:B259"/>
    <mergeCell ref="B260:G260"/>
    <mergeCell ref="C240:C246"/>
    <mergeCell ref="F240:F246"/>
    <mergeCell ref="G240:G246"/>
    <mergeCell ref="C247:C251"/>
    <mergeCell ref="F247:F251"/>
    <mergeCell ref="G247:G251"/>
    <mergeCell ref="C225:C232"/>
    <mergeCell ref="F225:F232"/>
    <mergeCell ref="G225:G232"/>
    <mergeCell ref="C233:C239"/>
    <mergeCell ref="F233:F239"/>
    <mergeCell ref="G233:G239"/>
    <mergeCell ref="C209:C216"/>
    <mergeCell ref="F209:F216"/>
    <mergeCell ref="G209:G216"/>
    <mergeCell ref="C217:C224"/>
    <mergeCell ref="F217:F224"/>
    <mergeCell ref="G217:G224"/>
    <mergeCell ref="C198:C200"/>
    <mergeCell ref="F198:F200"/>
    <mergeCell ref="G198:G200"/>
    <mergeCell ref="C201:C208"/>
    <mergeCell ref="F201:F208"/>
    <mergeCell ref="G201:G208"/>
    <mergeCell ref="C194:C197"/>
    <mergeCell ref="F194:F197"/>
    <mergeCell ref="G194:G197"/>
    <mergeCell ref="C178:C183"/>
    <mergeCell ref="F178:F183"/>
    <mergeCell ref="G178:G183"/>
    <mergeCell ref="C184:C189"/>
    <mergeCell ref="F184:F189"/>
    <mergeCell ref="G184:G189"/>
    <mergeCell ref="C150:C156"/>
    <mergeCell ref="F150:F156"/>
    <mergeCell ref="G150:G156"/>
    <mergeCell ref="C157:C163"/>
    <mergeCell ref="F157:F163"/>
    <mergeCell ref="G157:G163"/>
    <mergeCell ref="C190:C193"/>
    <mergeCell ref="F190:F193"/>
    <mergeCell ref="G190:G193"/>
    <mergeCell ref="C131:E131"/>
    <mergeCell ref="B130:G130"/>
    <mergeCell ref="F122:F126"/>
    <mergeCell ref="G122:G126"/>
    <mergeCell ref="A136:A265"/>
    <mergeCell ref="B137:G137"/>
    <mergeCell ref="B138:B256"/>
    <mergeCell ref="C143:C146"/>
    <mergeCell ref="F143:F146"/>
    <mergeCell ref="G143:G146"/>
    <mergeCell ref="C147:C149"/>
    <mergeCell ref="F147:F149"/>
    <mergeCell ref="C132:E132"/>
    <mergeCell ref="B133:G133"/>
    <mergeCell ref="A10:A135"/>
    <mergeCell ref="B10:G10"/>
    <mergeCell ref="B11:G11"/>
    <mergeCell ref="C164:C170"/>
    <mergeCell ref="F164:F170"/>
    <mergeCell ref="G164:G170"/>
    <mergeCell ref="C171:C177"/>
    <mergeCell ref="F171:F177"/>
    <mergeCell ref="G171:G177"/>
    <mergeCell ref="G147:G149"/>
    <mergeCell ref="C68:C70"/>
    <mergeCell ref="F68:F70"/>
    <mergeCell ref="F71:F78"/>
    <mergeCell ref="G71:G78"/>
    <mergeCell ref="C103:C109"/>
    <mergeCell ref="F103:F109"/>
    <mergeCell ref="G103:G109"/>
    <mergeCell ref="C110:C116"/>
    <mergeCell ref="F110:F116"/>
    <mergeCell ref="G110:G116"/>
    <mergeCell ref="C71:C78"/>
    <mergeCell ref="C79:C86"/>
    <mergeCell ref="F79:F86"/>
    <mergeCell ref="G79:G86"/>
    <mergeCell ref="C87:C94"/>
    <mergeCell ref="F87:F94"/>
    <mergeCell ref="G87:G94"/>
    <mergeCell ref="B127:G127"/>
    <mergeCell ref="B128:B129"/>
    <mergeCell ref="C117:C121"/>
    <mergeCell ref="F117:F121"/>
    <mergeCell ref="G117:G121"/>
    <mergeCell ref="C122:C126"/>
    <mergeCell ref="C95:C102"/>
    <mergeCell ref="F95:F102"/>
    <mergeCell ref="G95:G102"/>
    <mergeCell ref="C64:C67"/>
    <mergeCell ref="F64:F67"/>
    <mergeCell ref="G64:G67"/>
    <mergeCell ref="C48:C53"/>
    <mergeCell ref="F48:F53"/>
    <mergeCell ref="G48:G53"/>
    <mergeCell ref="C54:C59"/>
    <mergeCell ref="F54:F59"/>
    <mergeCell ref="G54:G59"/>
    <mergeCell ref="C20:C26"/>
    <mergeCell ref="F20:F26"/>
    <mergeCell ref="G20:G26"/>
    <mergeCell ref="C27:C33"/>
    <mergeCell ref="F27:F33"/>
    <mergeCell ref="G27:G33"/>
    <mergeCell ref="G13:G16"/>
    <mergeCell ref="G17:G19"/>
    <mergeCell ref="B136:G136"/>
    <mergeCell ref="B12:B126"/>
    <mergeCell ref="C13:C16"/>
    <mergeCell ref="F13:F16"/>
    <mergeCell ref="C34:C40"/>
    <mergeCell ref="F34:F40"/>
    <mergeCell ref="G34:G40"/>
    <mergeCell ref="C41:C47"/>
    <mergeCell ref="C17:C19"/>
    <mergeCell ref="F17:F19"/>
    <mergeCell ref="G68:G70"/>
    <mergeCell ref="F41:F47"/>
    <mergeCell ref="G41:G47"/>
    <mergeCell ref="C60:C63"/>
    <mergeCell ref="F60:F63"/>
    <mergeCell ref="G60:G63"/>
    <mergeCell ref="A1:A9"/>
    <mergeCell ref="F1:G1"/>
    <mergeCell ref="F2:G2"/>
    <mergeCell ref="F3:G3"/>
    <mergeCell ref="F4:G4"/>
    <mergeCell ref="F5:G5"/>
    <mergeCell ref="F6:G6"/>
    <mergeCell ref="F7:G7"/>
    <mergeCell ref="F8:G8"/>
    <mergeCell ref="F9:G9"/>
  </mergeCells>
  <phoneticPr fontId="1" type="noConversion"/>
  <dataValidations count="1">
    <dataValidation type="list" allowBlank="1" showInputMessage="1" showErrorMessage="1" sqref="C2:C9">
      <formula1>"流程图,状态机,等价类划分&amp;数据组合,直接分析"</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270"/>
  <sheetViews>
    <sheetView zoomScaleNormal="100" workbookViewId="0">
      <pane xSplit="1" ySplit="15" topLeftCell="B16" activePane="bottomRight" state="frozen"/>
      <selection pane="topRight" activeCell="B1" sqref="B1"/>
      <selection pane="bottomLeft" activeCell="A10" sqref="A10"/>
      <selection pane="bottomRight" activeCell="E24" sqref="E24"/>
    </sheetView>
  </sheetViews>
  <sheetFormatPr defaultColWidth="9" defaultRowHeight="14" x14ac:dyDescent="0.25"/>
  <cols>
    <col min="1" max="1" width="9.90625" style="46" customWidth="1"/>
    <col min="2" max="2" width="26.90625" style="46" customWidth="1"/>
    <col min="3" max="3" width="27.08984375" style="46" customWidth="1"/>
    <col min="4" max="5" width="32.08984375" style="46" customWidth="1"/>
    <col min="6" max="6" width="48.90625" style="46" customWidth="1"/>
    <col min="7" max="7" width="45.90625" style="46" customWidth="1"/>
    <col min="8" max="23" width="9" style="46" customWidth="1"/>
    <col min="24" max="16384" width="9" style="46"/>
  </cols>
  <sheetData>
    <row r="1" spans="1:7" x14ac:dyDescent="0.25">
      <c r="A1" s="162" t="s">
        <v>26</v>
      </c>
      <c r="B1" s="49" t="s">
        <v>15</v>
      </c>
      <c r="C1" s="49" t="s">
        <v>16</v>
      </c>
      <c r="D1" s="49" t="s">
        <v>17</v>
      </c>
      <c r="E1" s="49" t="s">
        <v>18</v>
      </c>
      <c r="F1" s="156" t="s">
        <v>19</v>
      </c>
      <c r="G1" s="134"/>
    </row>
    <row r="2" spans="1:7" ht="14.15" customHeight="1" x14ac:dyDescent="0.25">
      <c r="A2" s="149"/>
      <c r="B2" s="63" t="s">
        <v>199</v>
      </c>
      <c r="C2" s="63" t="s">
        <v>21</v>
      </c>
      <c r="D2" s="63"/>
      <c r="E2" s="68">
        <v>13</v>
      </c>
      <c r="F2" s="132" t="s">
        <v>200</v>
      </c>
      <c r="G2" s="132"/>
    </row>
    <row r="3" spans="1:7" x14ac:dyDescent="0.25">
      <c r="A3" s="149"/>
      <c r="B3" s="63" t="s">
        <v>201</v>
      </c>
      <c r="C3" s="63" t="s">
        <v>21</v>
      </c>
      <c r="D3" s="63"/>
      <c r="E3" s="68">
        <v>13</v>
      </c>
      <c r="F3" s="132" t="s">
        <v>200</v>
      </c>
      <c r="G3" s="132"/>
    </row>
    <row r="4" spans="1:7" x14ac:dyDescent="0.25">
      <c r="A4" s="150"/>
      <c r="B4" s="63" t="s">
        <v>202</v>
      </c>
      <c r="C4" s="63" t="s">
        <v>22</v>
      </c>
      <c r="D4" s="63"/>
      <c r="E4" s="68">
        <v>2</v>
      </c>
      <c r="F4" s="132"/>
      <c r="G4" s="132"/>
    </row>
    <row r="5" spans="1:7" x14ac:dyDescent="0.25">
      <c r="A5" s="150"/>
      <c r="B5" s="63" t="s">
        <v>203</v>
      </c>
      <c r="C5" s="63" t="s">
        <v>22</v>
      </c>
      <c r="D5" s="63"/>
      <c r="E5" s="68">
        <v>2</v>
      </c>
      <c r="F5" s="132"/>
      <c r="G5" s="132"/>
    </row>
    <row r="6" spans="1:7" x14ac:dyDescent="0.25">
      <c r="A6" s="150"/>
      <c r="B6" s="63" t="s">
        <v>661</v>
      </c>
      <c r="C6" s="63" t="s">
        <v>22</v>
      </c>
      <c r="D6" s="63"/>
      <c r="E6" s="68">
        <v>1</v>
      </c>
      <c r="F6" s="132"/>
      <c r="G6" s="132"/>
    </row>
    <row r="7" spans="1:7" x14ac:dyDescent="0.25">
      <c r="A7" s="150"/>
      <c r="B7" s="63" t="s">
        <v>204</v>
      </c>
      <c r="C7" s="63" t="s">
        <v>22</v>
      </c>
      <c r="D7" s="63"/>
      <c r="E7" s="68">
        <v>1</v>
      </c>
      <c r="F7" s="132"/>
      <c r="G7" s="132"/>
    </row>
    <row r="8" spans="1:7" x14ac:dyDescent="0.25">
      <c r="A8" s="150"/>
      <c r="B8" s="63" t="s">
        <v>205</v>
      </c>
      <c r="C8" s="63" t="s">
        <v>22</v>
      </c>
      <c r="D8" s="63"/>
      <c r="E8" s="68">
        <v>1</v>
      </c>
      <c r="F8" s="132"/>
      <c r="G8" s="132"/>
    </row>
    <row r="9" spans="1:7" x14ac:dyDescent="0.25">
      <c r="A9" s="150"/>
      <c r="B9" s="63" t="s">
        <v>683</v>
      </c>
      <c r="C9" s="63" t="s">
        <v>22</v>
      </c>
      <c r="D9" s="63"/>
      <c r="E9" s="68">
        <v>2</v>
      </c>
      <c r="F9" s="132" t="s">
        <v>207</v>
      </c>
      <c r="G9" s="132"/>
    </row>
    <row r="10" spans="1:7" x14ac:dyDescent="0.25">
      <c r="A10" s="150"/>
      <c r="B10" s="63" t="s">
        <v>208</v>
      </c>
      <c r="C10" s="63" t="s">
        <v>22</v>
      </c>
      <c r="D10" s="63"/>
      <c r="E10" s="68">
        <v>1</v>
      </c>
      <c r="F10" s="132"/>
      <c r="G10" s="132"/>
    </row>
    <row r="11" spans="1:7" x14ac:dyDescent="0.25">
      <c r="A11" s="150"/>
      <c r="B11" s="76" t="s">
        <v>209</v>
      </c>
      <c r="C11" s="77" t="s">
        <v>22</v>
      </c>
      <c r="D11" s="77"/>
      <c r="E11" s="78">
        <v>6</v>
      </c>
      <c r="F11" s="163" t="s">
        <v>751</v>
      </c>
      <c r="G11" s="163"/>
    </row>
    <row r="12" spans="1:7" x14ac:dyDescent="0.25">
      <c r="A12" s="150"/>
      <c r="B12" s="63" t="s">
        <v>704</v>
      </c>
      <c r="C12" s="63" t="s">
        <v>22</v>
      </c>
      <c r="D12" s="63"/>
      <c r="E12" s="68">
        <v>6</v>
      </c>
      <c r="F12" s="132" t="s">
        <v>212</v>
      </c>
      <c r="G12" s="132"/>
    </row>
    <row r="13" spans="1:7" x14ac:dyDescent="0.25">
      <c r="A13" s="150"/>
      <c r="B13" s="63" t="s">
        <v>213</v>
      </c>
      <c r="C13" s="63" t="s">
        <v>22</v>
      </c>
      <c r="D13" s="63"/>
      <c r="E13" s="68">
        <v>1</v>
      </c>
      <c r="F13" s="132" t="s">
        <v>214</v>
      </c>
      <c r="G13" s="132"/>
    </row>
    <row r="14" spans="1:7" x14ac:dyDescent="0.25">
      <c r="A14" s="150"/>
      <c r="B14" s="70" t="s">
        <v>215</v>
      </c>
      <c r="C14" s="71" t="s">
        <v>22</v>
      </c>
      <c r="D14" s="63"/>
      <c r="E14" s="68">
        <v>1</v>
      </c>
      <c r="F14" s="132"/>
      <c r="G14" s="132"/>
    </row>
    <row r="15" spans="1:7" x14ac:dyDescent="0.25">
      <c r="A15" s="150"/>
      <c r="B15" s="70" t="s">
        <v>216</v>
      </c>
      <c r="C15" s="71" t="s">
        <v>22</v>
      </c>
      <c r="D15" s="71"/>
      <c r="E15" s="38">
        <v>5</v>
      </c>
      <c r="F15" s="140" t="s">
        <v>727</v>
      </c>
      <c r="G15" s="140"/>
    </row>
    <row r="16" spans="1:7" x14ac:dyDescent="0.25">
      <c r="A16" s="141" t="s">
        <v>199</v>
      </c>
      <c r="B16" s="145" t="s">
        <v>27</v>
      </c>
      <c r="C16" s="146"/>
      <c r="D16" s="146"/>
      <c r="E16" s="146"/>
      <c r="F16" s="146"/>
      <c r="G16" s="134"/>
    </row>
    <row r="17" spans="1:7" x14ac:dyDescent="0.25">
      <c r="A17" s="149"/>
      <c r="B17" s="147" t="s">
        <v>28</v>
      </c>
      <c r="C17" s="146"/>
      <c r="D17" s="146"/>
      <c r="E17" s="146"/>
      <c r="F17" s="146"/>
      <c r="G17" s="134"/>
    </row>
    <row r="18" spans="1:7" x14ac:dyDescent="0.25">
      <c r="A18" s="149"/>
      <c r="B18" s="157" t="s">
        <v>29</v>
      </c>
      <c r="C18" s="39" t="s">
        <v>19</v>
      </c>
      <c r="D18" s="39" t="s">
        <v>30</v>
      </c>
      <c r="E18" s="39" t="s">
        <v>31</v>
      </c>
      <c r="F18" s="34" t="s">
        <v>32</v>
      </c>
      <c r="G18" s="34" t="s">
        <v>33</v>
      </c>
    </row>
    <row r="19" spans="1:7" ht="14.15" customHeight="1" x14ac:dyDescent="0.25">
      <c r="A19" s="149"/>
      <c r="B19" s="149"/>
      <c r="C19" s="141" t="s">
        <v>576</v>
      </c>
      <c r="D19" s="61" t="s">
        <v>577</v>
      </c>
      <c r="E19" s="61" t="s">
        <v>419</v>
      </c>
      <c r="F19" s="141" t="s">
        <v>35</v>
      </c>
      <c r="G19" s="152" t="s">
        <v>610</v>
      </c>
    </row>
    <row r="20" spans="1:7" x14ac:dyDescent="0.25">
      <c r="A20" s="149"/>
      <c r="B20" s="149"/>
      <c r="C20" s="142"/>
      <c r="D20" s="61" t="s">
        <v>578</v>
      </c>
      <c r="E20" s="61" t="s">
        <v>420</v>
      </c>
      <c r="F20" s="149"/>
      <c r="G20" s="150"/>
    </row>
    <row r="21" spans="1:7" x14ac:dyDescent="0.25">
      <c r="A21" s="150"/>
      <c r="B21" s="150"/>
      <c r="C21" s="143"/>
      <c r="D21" s="61"/>
      <c r="E21" s="61" t="s">
        <v>421</v>
      </c>
      <c r="F21" s="150"/>
      <c r="G21" s="150"/>
    </row>
    <row r="22" spans="1:7" ht="14.15" customHeight="1" x14ac:dyDescent="0.25">
      <c r="A22" s="149"/>
      <c r="B22" s="149"/>
      <c r="C22" s="141" t="s">
        <v>579</v>
      </c>
      <c r="D22" s="61" t="s">
        <v>409</v>
      </c>
      <c r="E22" s="61" t="s">
        <v>410</v>
      </c>
      <c r="F22" s="141" t="s">
        <v>415</v>
      </c>
      <c r="G22" s="141" t="s">
        <v>2410</v>
      </c>
    </row>
    <row r="23" spans="1:7" x14ac:dyDescent="0.25">
      <c r="A23" s="150"/>
      <c r="B23" s="150"/>
      <c r="C23" s="153"/>
      <c r="D23" s="61" t="s">
        <v>411</v>
      </c>
      <c r="E23" s="61" t="s">
        <v>412</v>
      </c>
      <c r="F23" s="153"/>
      <c r="G23" s="153"/>
    </row>
    <row r="24" spans="1:7" x14ac:dyDescent="0.25">
      <c r="A24" s="150"/>
      <c r="B24" s="150"/>
      <c r="C24" s="153"/>
      <c r="D24" s="61" t="s">
        <v>413</v>
      </c>
      <c r="E24" s="61" t="s">
        <v>2409</v>
      </c>
      <c r="F24" s="153"/>
      <c r="G24" s="153"/>
    </row>
    <row r="25" spans="1:7" x14ac:dyDescent="0.25">
      <c r="A25" s="150"/>
      <c r="B25" s="150"/>
      <c r="C25" s="153"/>
      <c r="D25" s="61"/>
      <c r="E25" s="61" t="s">
        <v>420</v>
      </c>
      <c r="F25" s="153"/>
      <c r="G25" s="153"/>
    </row>
    <row r="26" spans="1:7" ht="14.15" customHeight="1" x14ac:dyDescent="0.25">
      <c r="A26" s="150"/>
      <c r="B26" s="150"/>
      <c r="C26" s="141" t="s">
        <v>580</v>
      </c>
      <c r="D26" s="61" t="s">
        <v>311</v>
      </c>
      <c r="E26" s="61" t="s">
        <v>312</v>
      </c>
      <c r="F26" s="141" t="s">
        <v>35</v>
      </c>
      <c r="G26" s="152" t="s">
        <v>612</v>
      </c>
    </row>
    <row r="27" spans="1:7" x14ac:dyDescent="0.25">
      <c r="A27" s="149"/>
      <c r="B27" s="149"/>
      <c r="C27" s="142"/>
      <c r="D27" s="61" t="s">
        <v>320</v>
      </c>
      <c r="E27" s="61" t="s">
        <v>313</v>
      </c>
      <c r="F27" s="149"/>
      <c r="G27" s="150"/>
    </row>
    <row r="28" spans="1:7" x14ac:dyDescent="0.25">
      <c r="A28" s="149"/>
      <c r="B28" s="149"/>
      <c r="C28" s="143"/>
      <c r="D28" s="61" t="s">
        <v>582</v>
      </c>
      <c r="E28" s="61" t="s">
        <v>314</v>
      </c>
      <c r="F28" s="150"/>
      <c r="G28" s="150"/>
    </row>
    <row r="29" spans="1:7" ht="14.15" customHeight="1" x14ac:dyDescent="0.25">
      <c r="A29" s="149"/>
      <c r="B29" s="149"/>
      <c r="C29" s="143"/>
      <c r="D29" s="61"/>
      <c r="E29" s="61" t="s">
        <v>315</v>
      </c>
      <c r="F29" s="150"/>
      <c r="G29" s="150"/>
    </row>
    <row r="30" spans="1:7" x14ac:dyDescent="0.25">
      <c r="A30" s="150"/>
      <c r="B30" s="150"/>
      <c r="C30" s="143"/>
      <c r="D30" s="61"/>
      <c r="E30" s="61" t="s">
        <v>321</v>
      </c>
      <c r="F30" s="150"/>
      <c r="G30" s="150"/>
    </row>
    <row r="31" spans="1:7" x14ac:dyDescent="0.25">
      <c r="A31" s="150"/>
      <c r="B31" s="150"/>
      <c r="C31" s="143"/>
      <c r="D31" s="61"/>
      <c r="E31" s="61" t="s">
        <v>322</v>
      </c>
      <c r="F31" s="150"/>
      <c r="G31" s="150"/>
    </row>
    <row r="32" spans="1:7" x14ac:dyDescent="0.25">
      <c r="A32" s="150"/>
      <c r="B32" s="150"/>
      <c r="C32" s="144"/>
      <c r="D32" s="40"/>
      <c r="E32" s="61" t="s">
        <v>441</v>
      </c>
      <c r="F32" s="151"/>
      <c r="G32" s="151"/>
    </row>
    <row r="33" spans="1:7" ht="14.15" customHeight="1" x14ac:dyDescent="0.25">
      <c r="A33" s="150"/>
      <c r="B33" s="150"/>
      <c r="C33" s="141" t="s">
        <v>581</v>
      </c>
      <c r="D33" s="61" t="s">
        <v>311</v>
      </c>
      <c r="E33" s="61" t="s">
        <v>312</v>
      </c>
      <c r="F33" s="141" t="s">
        <v>35</v>
      </c>
      <c r="G33" s="152" t="s">
        <v>613</v>
      </c>
    </row>
    <row r="34" spans="1:7" x14ac:dyDescent="0.25">
      <c r="A34" s="149"/>
      <c r="B34" s="149"/>
      <c r="C34" s="142"/>
      <c r="D34" s="61" t="s">
        <v>320</v>
      </c>
      <c r="E34" s="61" t="s">
        <v>313</v>
      </c>
      <c r="F34" s="149"/>
      <c r="G34" s="150"/>
    </row>
    <row r="35" spans="1:7" x14ac:dyDescent="0.25">
      <c r="A35" s="149"/>
      <c r="B35" s="149"/>
      <c r="C35" s="143"/>
      <c r="D35" s="61" t="s">
        <v>583</v>
      </c>
      <c r="E35" s="61" t="s">
        <v>314</v>
      </c>
      <c r="F35" s="150"/>
      <c r="G35" s="150"/>
    </row>
    <row r="36" spans="1:7" ht="14.15" customHeight="1" x14ac:dyDescent="0.25">
      <c r="A36" s="149"/>
      <c r="B36" s="149"/>
      <c r="C36" s="143"/>
      <c r="D36" s="61"/>
      <c r="E36" s="61" t="s">
        <v>315</v>
      </c>
      <c r="F36" s="150"/>
      <c r="G36" s="150"/>
    </row>
    <row r="37" spans="1:7" x14ac:dyDescent="0.25">
      <c r="A37" s="150"/>
      <c r="B37" s="150"/>
      <c r="C37" s="143"/>
      <c r="D37" s="61"/>
      <c r="E37" s="61" t="s">
        <v>321</v>
      </c>
      <c r="F37" s="150"/>
      <c r="G37" s="150"/>
    </row>
    <row r="38" spans="1:7" x14ac:dyDescent="0.25">
      <c r="A38" s="150"/>
      <c r="B38" s="150"/>
      <c r="C38" s="143"/>
      <c r="D38" s="61"/>
      <c r="E38" s="61" t="s">
        <v>322</v>
      </c>
      <c r="F38" s="150"/>
      <c r="G38" s="150"/>
    </row>
    <row r="39" spans="1:7" x14ac:dyDescent="0.25">
      <c r="A39" s="150"/>
      <c r="B39" s="150"/>
      <c r="C39" s="144"/>
      <c r="D39" s="40"/>
      <c r="E39" s="61" t="s">
        <v>441</v>
      </c>
      <c r="F39" s="151"/>
      <c r="G39" s="151"/>
    </row>
    <row r="40" spans="1:7" ht="14.15" customHeight="1" x14ac:dyDescent="0.25">
      <c r="A40" s="150"/>
      <c r="B40" s="150"/>
      <c r="C40" s="141" t="s">
        <v>584</v>
      </c>
      <c r="D40" s="72" t="s">
        <v>585</v>
      </c>
      <c r="E40" s="61" t="s">
        <v>34</v>
      </c>
      <c r="F40" s="141" t="s">
        <v>35</v>
      </c>
      <c r="G40" s="152" t="s">
        <v>614</v>
      </c>
    </row>
    <row r="41" spans="1:7" x14ac:dyDescent="0.25">
      <c r="A41" s="150"/>
      <c r="B41" s="150"/>
      <c r="C41" s="142"/>
      <c r="D41" s="72" t="s">
        <v>589</v>
      </c>
      <c r="E41" s="61" t="s">
        <v>591</v>
      </c>
      <c r="F41" s="149"/>
      <c r="G41" s="150"/>
    </row>
    <row r="42" spans="1:7" x14ac:dyDescent="0.25">
      <c r="A42" s="150"/>
      <c r="B42" s="150"/>
      <c r="C42" s="143"/>
      <c r="D42" s="72" t="s">
        <v>593</v>
      </c>
      <c r="E42" s="61" t="s">
        <v>586</v>
      </c>
      <c r="F42" s="150"/>
      <c r="G42" s="150"/>
    </row>
    <row r="43" spans="1:7" x14ac:dyDescent="0.25">
      <c r="A43" s="150"/>
      <c r="B43" s="150"/>
      <c r="C43" s="143"/>
      <c r="D43" s="72"/>
      <c r="E43" s="61" t="s">
        <v>587</v>
      </c>
      <c r="F43" s="150"/>
      <c r="G43" s="150"/>
    </row>
    <row r="44" spans="1:7" ht="14.15" customHeight="1" x14ac:dyDescent="0.25">
      <c r="A44" s="150"/>
      <c r="B44" s="150"/>
      <c r="C44" s="141" t="s">
        <v>588</v>
      </c>
      <c r="D44" s="72" t="s">
        <v>585</v>
      </c>
      <c r="E44" s="61" t="s">
        <v>34</v>
      </c>
      <c r="F44" s="141" t="s">
        <v>35</v>
      </c>
      <c r="G44" s="152" t="s">
        <v>615</v>
      </c>
    </row>
    <row r="45" spans="1:7" x14ac:dyDescent="0.25">
      <c r="A45" s="150"/>
      <c r="B45" s="150"/>
      <c r="C45" s="142"/>
      <c r="D45" s="72" t="s">
        <v>590</v>
      </c>
      <c r="E45" s="61" t="s">
        <v>592</v>
      </c>
      <c r="F45" s="149"/>
      <c r="G45" s="150"/>
    </row>
    <row r="46" spans="1:7" x14ac:dyDescent="0.25">
      <c r="A46" s="150"/>
      <c r="B46" s="150"/>
      <c r="C46" s="143"/>
      <c r="D46" s="72" t="s">
        <v>594</v>
      </c>
      <c r="E46" s="61" t="s">
        <v>586</v>
      </c>
      <c r="F46" s="150"/>
      <c r="G46" s="150"/>
    </row>
    <row r="47" spans="1:7" x14ac:dyDescent="0.25">
      <c r="A47" s="150"/>
      <c r="B47" s="150"/>
      <c r="C47" s="143"/>
      <c r="D47" s="72"/>
      <c r="E47" s="61" t="s">
        <v>587</v>
      </c>
      <c r="F47" s="150"/>
      <c r="G47" s="150"/>
    </row>
    <row r="48" spans="1:7" ht="14.15" customHeight="1" x14ac:dyDescent="0.25">
      <c r="A48" s="150"/>
      <c r="B48" s="150"/>
      <c r="C48" s="141" t="s">
        <v>595</v>
      </c>
      <c r="D48" s="72" t="s">
        <v>585</v>
      </c>
      <c r="E48" s="61" t="s">
        <v>34</v>
      </c>
      <c r="F48" s="141" t="s">
        <v>35</v>
      </c>
      <c r="G48" s="152" t="s">
        <v>616</v>
      </c>
    </row>
    <row r="49" spans="1:7" x14ac:dyDescent="0.25">
      <c r="A49" s="150"/>
      <c r="B49" s="150"/>
      <c r="C49" s="142"/>
      <c r="D49" s="72" t="s">
        <v>589</v>
      </c>
      <c r="E49" s="61" t="s">
        <v>591</v>
      </c>
      <c r="F49" s="149"/>
      <c r="G49" s="150"/>
    </row>
    <row r="50" spans="1:7" x14ac:dyDescent="0.25">
      <c r="A50" s="150"/>
      <c r="B50" s="150"/>
      <c r="C50" s="143"/>
      <c r="D50" s="72" t="s">
        <v>593</v>
      </c>
      <c r="E50" s="61" t="s">
        <v>586</v>
      </c>
      <c r="F50" s="150"/>
      <c r="G50" s="150"/>
    </row>
    <row r="51" spans="1:7" x14ac:dyDescent="0.25">
      <c r="A51" s="150"/>
      <c r="B51" s="150"/>
      <c r="C51" s="143"/>
      <c r="D51" s="72"/>
      <c r="E51" s="61" t="s">
        <v>587</v>
      </c>
      <c r="F51" s="150"/>
      <c r="G51" s="150"/>
    </row>
    <row r="52" spans="1:7" ht="14.15" customHeight="1" x14ac:dyDescent="0.25">
      <c r="A52" s="150"/>
      <c r="B52" s="150"/>
      <c r="C52" s="141" t="s">
        <v>596</v>
      </c>
      <c r="D52" s="72" t="s">
        <v>585</v>
      </c>
      <c r="E52" s="61" t="s">
        <v>34</v>
      </c>
      <c r="F52" s="141" t="s">
        <v>35</v>
      </c>
      <c r="G52" s="152" t="s">
        <v>617</v>
      </c>
    </row>
    <row r="53" spans="1:7" x14ac:dyDescent="0.25">
      <c r="A53" s="150"/>
      <c r="B53" s="150"/>
      <c r="C53" s="142"/>
      <c r="D53" s="72" t="s">
        <v>590</v>
      </c>
      <c r="E53" s="61" t="s">
        <v>592</v>
      </c>
      <c r="F53" s="149"/>
      <c r="G53" s="150"/>
    </row>
    <row r="54" spans="1:7" x14ac:dyDescent="0.25">
      <c r="A54" s="150"/>
      <c r="B54" s="150"/>
      <c r="C54" s="143"/>
      <c r="D54" s="72" t="s">
        <v>594</v>
      </c>
      <c r="E54" s="61" t="s">
        <v>586</v>
      </c>
      <c r="F54" s="150"/>
      <c r="G54" s="150"/>
    </row>
    <row r="55" spans="1:7" x14ac:dyDescent="0.25">
      <c r="A55" s="150"/>
      <c r="B55" s="150"/>
      <c r="C55" s="143"/>
      <c r="D55" s="72"/>
      <c r="E55" s="61" t="s">
        <v>587</v>
      </c>
      <c r="F55" s="150"/>
      <c r="G55" s="150"/>
    </row>
    <row r="56" spans="1:7" ht="14.15" customHeight="1" x14ac:dyDescent="0.25">
      <c r="A56" s="150"/>
      <c r="B56" s="150"/>
      <c r="C56" s="141" t="s">
        <v>597</v>
      </c>
      <c r="D56" s="72" t="s">
        <v>585</v>
      </c>
      <c r="E56" s="61" t="s">
        <v>34</v>
      </c>
      <c r="F56" s="141" t="s">
        <v>35</v>
      </c>
      <c r="G56" s="152" t="s">
        <v>618</v>
      </c>
    </row>
    <row r="57" spans="1:7" x14ac:dyDescent="0.25">
      <c r="A57" s="150"/>
      <c r="B57" s="150"/>
      <c r="C57" s="142"/>
      <c r="D57" s="72" t="s">
        <v>589</v>
      </c>
      <c r="E57" s="61" t="s">
        <v>599</v>
      </c>
      <c r="F57" s="149"/>
      <c r="G57" s="150"/>
    </row>
    <row r="58" spans="1:7" x14ac:dyDescent="0.25">
      <c r="A58" s="150"/>
      <c r="B58" s="150"/>
      <c r="C58" s="143"/>
      <c r="D58" s="72" t="s">
        <v>603</v>
      </c>
      <c r="E58" s="61" t="s">
        <v>586</v>
      </c>
      <c r="F58" s="150"/>
      <c r="G58" s="150"/>
    </row>
    <row r="59" spans="1:7" x14ac:dyDescent="0.25">
      <c r="A59" s="150"/>
      <c r="B59" s="150"/>
      <c r="C59" s="143"/>
      <c r="D59" s="72"/>
      <c r="E59" s="61" t="s">
        <v>587</v>
      </c>
      <c r="F59" s="150"/>
      <c r="G59" s="150"/>
    </row>
    <row r="60" spans="1:7" ht="14.15" customHeight="1" x14ac:dyDescent="0.25">
      <c r="A60" s="150"/>
      <c r="B60" s="150"/>
      <c r="C60" s="141" t="s">
        <v>598</v>
      </c>
      <c r="D60" s="72" t="s">
        <v>585</v>
      </c>
      <c r="E60" s="61" t="s">
        <v>34</v>
      </c>
      <c r="F60" s="141" t="s">
        <v>35</v>
      </c>
      <c r="G60" s="152" t="s">
        <v>619</v>
      </c>
    </row>
    <row r="61" spans="1:7" x14ac:dyDescent="0.25">
      <c r="A61" s="150"/>
      <c r="B61" s="150"/>
      <c r="C61" s="142"/>
      <c r="D61" s="72" t="s">
        <v>590</v>
      </c>
      <c r="E61" s="61" t="s">
        <v>601</v>
      </c>
      <c r="F61" s="149"/>
      <c r="G61" s="150"/>
    </row>
    <row r="62" spans="1:7" x14ac:dyDescent="0.25">
      <c r="A62" s="150"/>
      <c r="B62" s="150"/>
      <c r="C62" s="143"/>
      <c r="D62" s="72" t="s">
        <v>602</v>
      </c>
      <c r="E62" s="61" t="s">
        <v>600</v>
      </c>
      <c r="F62" s="150"/>
      <c r="G62" s="150"/>
    </row>
    <row r="63" spans="1:7" x14ac:dyDescent="0.25">
      <c r="A63" s="150"/>
      <c r="B63" s="150"/>
      <c r="C63" s="143"/>
      <c r="D63" s="111"/>
      <c r="E63" s="61" t="s">
        <v>587</v>
      </c>
      <c r="F63" s="150"/>
      <c r="G63" s="150"/>
    </row>
    <row r="64" spans="1:7" x14ac:dyDescent="0.25">
      <c r="A64" s="150"/>
      <c r="B64" s="150"/>
      <c r="C64" s="112" t="s">
        <v>2221</v>
      </c>
      <c r="D64" s="110" t="s">
        <v>2223</v>
      </c>
      <c r="E64" s="61"/>
      <c r="F64" s="109"/>
      <c r="G64" s="109"/>
    </row>
    <row r="65" spans="1:7" x14ac:dyDescent="0.25">
      <c r="A65" s="150"/>
      <c r="B65" s="150"/>
      <c r="C65" s="112" t="s">
        <v>2222</v>
      </c>
      <c r="D65" s="110" t="s">
        <v>2224</v>
      </c>
      <c r="E65" s="61"/>
      <c r="F65" s="109"/>
      <c r="G65" s="109"/>
    </row>
    <row r="66" spans="1:7" ht="14.15" customHeight="1" x14ac:dyDescent="0.25">
      <c r="A66" s="150"/>
      <c r="B66" s="150"/>
      <c r="C66" s="141" t="s">
        <v>604</v>
      </c>
      <c r="D66" s="72" t="s">
        <v>605</v>
      </c>
      <c r="E66" s="61" t="s">
        <v>609</v>
      </c>
      <c r="F66" s="141" t="s">
        <v>35</v>
      </c>
      <c r="G66" s="152" t="s">
        <v>620</v>
      </c>
    </row>
    <row r="67" spans="1:7" x14ac:dyDescent="0.25">
      <c r="A67" s="150"/>
      <c r="B67" s="150"/>
      <c r="C67" s="142"/>
      <c r="D67" s="72" t="s">
        <v>606</v>
      </c>
      <c r="E67" s="61" t="s">
        <v>587</v>
      </c>
      <c r="F67" s="149"/>
      <c r="G67" s="150"/>
    </row>
    <row r="68" spans="1:7" ht="14.15" customHeight="1" x14ac:dyDescent="0.25">
      <c r="A68" s="150"/>
      <c r="B68" s="150"/>
      <c r="C68" s="141" t="s">
        <v>607</v>
      </c>
      <c r="D68" s="72" t="s">
        <v>606</v>
      </c>
      <c r="E68" s="61" t="s">
        <v>605</v>
      </c>
      <c r="F68" s="141" t="s">
        <v>35</v>
      </c>
      <c r="G68" s="152" t="s">
        <v>621</v>
      </c>
    </row>
    <row r="69" spans="1:7" x14ac:dyDescent="0.25">
      <c r="A69" s="150"/>
      <c r="B69" s="150"/>
      <c r="C69" s="153"/>
      <c r="D69" s="72"/>
      <c r="E69" s="61" t="s">
        <v>608</v>
      </c>
      <c r="F69" s="153"/>
      <c r="G69" s="154"/>
    </row>
    <row r="70" spans="1:7" x14ac:dyDescent="0.25">
      <c r="A70" s="149"/>
      <c r="B70" s="149"/>
      <c r="C70" s="142"/>
      <c r="D70" s="72"/>
      <c r="E70" s="61" t="s">
        <v>587</v>
      </c>
      <c r="F70" s="149"/>
      <c r="G70" s="150"/>
    </row>
    <row r="71" spans="1:7" x14ac:dyDescent="0.25">
      <c r="A71" s="149"/>
      <c r="B71" s="147" t="s">
        <v>38</v>
      </c>
      <c r="C71" s="146"/>
      <c r="D71" s="146"/>
      <c r="E71" s="146"/>
      <c r="F71" s="146"/>
      <c r="G71" s="134"/>
    </row>
    <row r="72" spans="1:7" x14ac:dyDescent="0.25">
      <c r="A72" s="149"/>
      <c r="B72" s="157" t="s">
        <v>39</v>
      </c>
      <c r="C72" s="33" t="s">
        <v>19</v>
      </c>
      <c r="D72" s="33" t="s">
        <v>40</v>
      </c>
      <c r="E72" s="33" t="s">
        <v>41</v>
      </c>
      <c r="F72" s="33" t="s">
        <v>42</v>
      </c>
      <c r="G72" s="33" t="s">
        <v>43</v>
      </c>
    </row>
    <row r="73" spans="1:7" x14ac:dyDescent="0.25">
      <c r="A73" s="149"/>
      <c r="B73" s="151"/>
      <c r="C73" s="64" t="s">
        <v>44</v>
      </c>
      <c r="D73" s="61"/>
      <c r="E73" s="61"/>
      <c r="F73" s="61"/>
      <c r="G73" s="61"/>
    </row>
    <row r="74" spans="1:7" x14ac:dyDescent="0.25">
      <c r="A74" s="149"/>
      <c r="B74" s="147" t="s">
        <v>45</v>
      </c>
      <c r="C74" s="146"/>
      <c r="D74" s="146"/>
      <c r="E74" s="146"/>
      <c r="F74" s="146"/>
      <c r="G74" s="134"/>
    </row>
    <row r="75" spans="1:7" x14ac:dyDescent="0.25">
      <c r="A75" s="149"/>
      <c r="B75" s="65" t="s">
        <v>46</v>
      </c>
      <c r="C75" s="147" t="s">
        <v>47</v>
      </c>
      <c r="D75" s="146"/>
      <c r="E75" s="134"/>
      <c r="F75" s="34" t="s">
        <v>48</v>
      </c>
      <c r="G75" s="34" t="s">
        <v>49</v>
      </c>
    </row>
    <row r="76" spans="1:7" ht="13.5" customHeight="1" x14ac:dyDescent="0.25">
      <c r="A76" s="149"/>
      <c r="B76" s="35" t="s">
        <v>626</v>
      </c>
      <c r="C76" s="158" t="s">
        <v>747</v>
      </c>
      <c r="D76" s="146"/>
      <c r="E76" s="134"/>
      <c r="F76" s="43" t="s">
        <v>627</v>
      </c>
      <c r="G76" s="36" t="s">
        <v>624</v>
      </c>
    </row>
    <row r="77" spans="1:7" x14ac:dyDescent="0.25">
      <c r="A77" s="149"/>
      <c r="B77" s="148" t="s">
        <v>50</v>
      </c>
      <c r="C77" s="146"/>
      <c r="D77" s="146"/>
      <c r="E77" s="146"/>
      <c r="F77" s="146"/>
      <c r="G77" s="134"/>
    </row>
    <row r="78" spans="1:7" x14ac:dyDescent="0.25">
      <c r="A78" s="149"/>
      <c r="B78" s="33" t="s">
        <v>46</v>
      </c>
      <c r="C78" s="33" t="s">
        <v>51</v>
      </c>
      <c r="D78" s="33" t="s">
        <v>19</v>
      </c>
      <c r="E78" s="33" t="s">
        <v>52</v>
      </c>
      <c r="F78" s="33" t="s">
        <v>53</v>
      </c>
      <c r="G78" s="33" t="s">
        <v>54</v>
      </c>
    </row>
    <row r="79" spans="1:7" ht="16" customHeight="1" x14ac:dyDescent="0.25">
      <c r="A79" s="150"/>
      <c r="B79" s="37" t="s">
        <v>626</v>
      </c>
      <c r="C79" s="37" t="s">
        <v>748</v>
      </c>
      <c r="D79" s="37" t="s">
        <v>625</v>
      </c>
      <c r="E79" s="37" t="s">
        <v>55</v>
      </c>
      <c r="F79" s="37" t="s">
        <v>623</v>
      </c>
      <c r="G79" s="37" t="s">
        <v>622</v>
      </c>
    </row>
    <row r="80" spans="1:7" x14ac:dyDescent="0.25">
      <c r="A80" s="141" t="s">
        <v>628</v>
      </c>
      <c r="B80" s="145" t="s">
        <v>27</v>
      </c>
      <c r="C80" s="146"/>
      <c r="D80" s="146"/>
      <c r="E80" s="146"/>
      <c r="F80" s="146"/>
      <c r="G80" s="134"/>
    </row>
    <row r="81" spans="1:7" x14ac:dyDescent="0.25">
      <c r="A81" s="149"/>
      <c r="B81" s="147" t="s">
        <v>28</v>
      </c>
      <c r="C81" s="146"/>
      <c r="D81" s="146"/>
      <c r="E81" s="146"/>
      <c r="F81" s="146"/>
      <c r="G81" s="134"/>
    </row>
    <row r="82" spans="1:7" x14ac:dyDescent="0.25">
      <c r="A82" s="149"/>
      <c r="B82" s="157" t="s">
        <v>29</v>
      </c>
      <c r="C82" s="39" t="s">
        <v>19</v>
      </c>
      <c r="D82" s="39" t="s">
        <v>30</v>
      </c>
      <c r="E82" s="39" t="s">
        <v>31</v>
      </c>
      <c r="F82" s="34" t="s">
        <v>32</v>
      </c>
      <c r="G82" s="34" t="s">
        <v>33</v>
      </c>
    </row>
    <row r="83" spans="1:7" x14ac:dyDescent="0.25">
      <c r="A83" s="150"/>
      <c r="B83" s="159"/>
      <c r="C83" s="141" t="s">
        <v>330</v>
      </c>
      <c r="D83" s="41" t="s">
        <v>334</v>
      </c>
      <c r="E83" s="61" t="s">
        <v>331</v>
      </c>
      <c r="F83" s="141" t="s">
        <v>35</v>
      </c>
      <c r="G83" s="152" t="s">
        <v>537</v>
      </c>
    </row>
    <row r="84" spans="1:7" x14ac:dyDescent="0.25">
      <c r="A84" s="150"/>
      <c r="B84" s="159"/>
      <c r="C84" s="142"/>
      <c r="D84" s="41" t="s">
        <v>333</v>
      </c>
      <c r="E84" s="41" t="s">
        <v>335</v>
      </c>
      <c r="F84" s="149"/>
      <c r="G84" s="150"/>
    </row>
    <row r="85" spans="1:7" x14ac:dyDescent="0.25">
      <c r="A85" s="150"/>
      <c r="B85" s="159"/>
      <c r="C85" s="143"/>
      <c r="D85" s="41"/>
      <c r="E85" s="61" t="s">
        <v>332</v>
      </c>
      <c r="F85" s="150"/>
      <c r="G85" s="150"/>
    </row>
    <row r="86" spans="1:7" x14ac:dyDescent="0.25">
      <c r="A86" s="150"/>
      <c r="B86" s="159"/>
      <c r="C86" s="144"/>
      <c r="D86" s="61"/>
      <c r="E86" s="61" t="s">
        <v>352</v>
      </c>
      <c r="F86" s="151"/>
      <c r="G86" s="151"/>
    </row>
    <row r="87" spans="1:7" x14ac:dyDescent="0.25">
      <c r="A87" s="149"/>
      <c r="B87" s="149"/>
      <c r="C87" s="141" t="s">
        <v>629</v>
      </c>
      <c r="D87" s="61" t="s">
        <v>577</v>
      </c>
      <c r="E87" s="61" t="s">
        <v>419</v>
      </c>
      <c r="F87" s="141" t="s">
        <v>35</v>
      </c>
      <c r="G87" s="152" t="s">
        <v>610</v>
      </c>
    </row>
    <row r="88" spans="1:7" x14ac:dyDescent="0.25">
      <c r="A88" s="149"/>
      <c r="B88" s="149"/>
      <c r="C88" s="142"/>
      <c r="D88" s="61" t="s">
        <v>578</v>
      </c>
      <c r="E88" s="61" t="s">
        <v>420</v>
      </c>
      <c r="F88" s="149"/>
      <c r="G88" s="150"/>
    </row>
    <row r="89" spans="1:7" x14ac:dyDescent="0.25">
      <c r="A89" s="150"/>
      <c r="B89" s="150"/>
      <c r="C89" s="143"/>
      <c r="D89" s="61"/>
      <c r="E89" s="61" t="s">
        <v>421</v>
      </c>
      <c r="F89" s="150"/>
      <c r="G89" s="150"/>
    </row>
    <row r="90" spans="1:7" x14ac:dyDescent="0.25">
      <c r="A90" s="149"/>
      <c r="B90" s="149"/>
      <c r="C90" s="141" t="s">
        <v>579</v>
      </c>
      <c r="D90" s="61" t="s">
        <v>538</v>
      </c>
      <c r="E90" s="61" t="s">
        <v>539</v>
      </c>
      <c r="F90" s="141" t="s">
        <v>415</v>
      </c>
      <c r="G90" s="141" t="s">
        <v>611</v>
      </c>
    </row>
    <row r="91" spans="1:7" x14ac:dyDescent="0.25">
      <c r="A91" s="150"/>
      <c r="B91" s="150"/>
      <c r="C91" s="153"/>
      <c r="D91" s="61"/>
      <c r="E91" s="61" t="s">
        <v>410</v>
      </c>
      <c r="F91" s="153"/>
      <c r="G91" s="153"/>
    </row>
    <row r="92" spans="1:7" x14ac:dyDescent="0.25">
      <c r="A92" s="150"/>
      <c r="B92" s="150"/>
      <c r="C92" s="153"/>
      <c r="D92" s="61"/>
      <c r="E92" s="61" t="s">
        <v>412</v>
      </c>
      <c r="F92" s="153"/>
      <c r="G92" s="153"/>
    </row>
    <row r="93" spans="1:7" x14ac:dyDescent="0.25">
      <c r="A93" s="149"/>
      <c r="B93" s="149"/>
      <c r="C93" s="153"/>
      <c r="D93" s="61"/>
      <c r="E93" s="61" t="s">
        <v>420</v>
      </c>
      <c r="F93" s="153"/>
      <c r="G93" s="153"/>
    </row>
    <row r="94" spans="1:7" x14ac:dyDescent="0.25">
      <c r="A94" s="150"/>
      <c r="B94" s="150"/>
      <c r="C94" s="141" t="s">
        <v>580</v>
      </c>
      <c r="D94" s="61" t="s">
        <v>311</v>
      </c>
      <c r="E94" s="61" t="s">
        <v>312</v>
      </c>
      <c r="F94" s="141" t="s">
        <v>35</v>
      </c>
      <c r="G94" s="152" t="s">
        <v>612</v>
      </c>
    </row>
    <row r="95" spans="1:7" x14ac:dyDescent="0.25">
      <c r="A95" s="149"/>
      <c r="B95" s="149"/>
      <c r="C95" s="142"/>
      <c r="D95" s="61" t="s">
        <v>320</v>
      </c>
      <c r="E95" s="61" t="s">
        <v>313</v>
      </c>
      <c r="F95" s="149"/>
      <c r="G95" s="150"/>
    </row>
    <row r="96" spans="1:7" x14ac:dyDescent="0.25">
      <c r="A96" s="149"/>
      <c r="B96" s="149"/>
      <c r="C96" s="143"/>
      <c r="D96" s="61" t="s">
        <v>582</v>
      </c>
      <c r="E96" s="61" t="s">
        <v>314</v>
      </c>
      <c r="F96" s="150"/>
      <c r="G96" s="150"/>
    </row>
    <row r="97" spans="1:7" x14ac:dyDescent="0.25">
      <c r="A97" s="149"/>
      <c r="B97" s="149"/>
      <c r="C97" s="143"/>
      <c r="D97" s="61"/>
      <c r="E97" s="61" t="s">
        <v>315</v>
      </c>
      <c r="F97" s="150"/>
      <c r="G97" s="150"/>
    </row>
    <row r="98" spans="1:7" x14ac:dyDescent="0.25">
      <c r="A98" s="150"/>
      <c r="B98" s="150"/>
      <c r="C98" s="143"/>
      <c r="D98" s="61"/>
      <c r="E98" s="61" t="s">
        <v>321</v>
      </c>
      <c r="F98" s="150"/>
      <c r="G98" s="150"/>
    </row>
    <row r="99" spans="1:7" x14ac:dyDescent="0.25">
      <c r="A99" s="150"/>
      <c r="B99" s="150"/>
      <c r="C99" s="143"/>
      <c r="D99" s="61"/>
      <c r="E99" s="61" t="s">
        <v>322</v>
      </c>
      <c r="F99" s="150"/>
      <c r="G99" s="150"/>
    </row>
    <row r="100" spans="1:7" x14ac:dyDescent="0.25">
      <c r="A100" s="150"/>
      <c r="B100" s="150"/>
      <c r="C100" s="144"/>
      <c r="D100" s="40"/>
      <c r="E100" s="61" t="s">
        <v>441</v>
      </c>
      <c r="F100" s="151"/>
      <c r="G100" s="151"/>
    </row>
    <row r="101" spans="1:7" x14ac:dyDescent="0.25">
      <c r="A101" s="150"/>
      <c r="B101" s="150"/>
      <c r="C101" s="141" t="s">
        <v>581</v>
      </c>
      <c r="D101" s="61" t="s">
        <v>311</v>
      </c>
      <c r="E101" s="61" t="s">
        <v>312</v>
      </c>
      <c r="F101" s="141" t="s">
        <v>35</v>
      </c>
      <c r="G101" s="152" t="s">
        <v>613</v>
      </c>
    </row>
    <row r="102" spans="1:7" x14ac:dyDescent="0.25">
      <c r="A102" s="149"/>
      <c r="B102" s="149"/>
      <c r="C102" s="142"/>
      <c r="D102" s="61" t="s">
        <v>320</v>
      </c>
      <c r="E102" s="61" t="s">
        <v>313</v>
      </c>
      <c r="F102" s="149"/>
      <c r="G102" s="150"/>
    </row>
    <row r="103" spans="1:7" x14ac:dyDescent="0.25">
      <c r="A103" s="149"/>
      <c r="B103" s="149"/>
      <c r="C103" s="143"/>
      <c r="D103" s="61" t="s">
        <v>583</v>
      </c>
      <c r="E103" s="61" t="s">
        <v>314</v>
      </c>
      <c r="F103" s="150"/>
      <c r="G103" s="150"/>
    </row>
    <row r="104" spans="1:7" x14ac:dyDescent="0.25">
      <c r="A104" s="149"/>
      <c r="B104" s="149"/>
      <c r="C104" s="143"/>
      <c r="D104" s="61"/>
      <c r="E104" s="61" t="s">
        <v>315</v>
      </c>
      <c r="F104" s="150"/>
      <c r="G104" s="150"/>
    </row>
    <row r="105" spans="1:7" x14ac:dyDescent="0.25">
      <c r="A105" s="150"/>
      <c r="B105" s="150"/>
      <c r="C105" s="143"/>
      <c r="D105" s="61"/>
      <c r="E105" s="61" t="s">
        <v>321</v>
      </c>
      <c r="F105" s="150"/>
      <c r="G105" s="150"/>
    </row>
    <row r="106" spans="1:7" x14ac:dyDescent="0.25">
      <c r="A106" s="150"/>
      <c r="B106" s="150"/>
      <c r="C106" s="143"/>
      <c r="D106" s="61"/>
      <c r="E106" s="61" t="s">
        <v>322</v>
      </c>
      <c r="F106" s="150"/>
      <c r="G106" s="150"/>
    </row>
    <row r="107" spans="1:7" x14ac:dyDescent="0.25">
      <c r="A107" s="150"/>
      <c r="B107" s="150"/>
      <c r="C107" s="144"/>
      <c r="D107" s="40"/>
      <c r="E107" s="61" t="s">
        <v>441</v>
      </c>
      <c r="F107" s="151"/>
      <c r="G107" s="151"/>
    </row>
    <row r="108" spans="1:7" x14ac:dyDescent="0.25">
      <c r="A108" s="150"/>
      <c r="B108" s="150"/>
      <c r="C108" s="141" t="s">
        <v>584</v>
      </c>
      <c r="D108" s="72" t="s">
        <v>585</v>
      </c>
      <c r="E108" s="61" t="s">
        <v>34</v>
      </c>
      <c r="F108" s="141" t="s">
        <v>35</v>
      </c>
      <c r="G108" s="152" t="s">
        <v>614</v>
      </c>
    </row>
    <row r="109" spans="1:7" x14ac:dyDescent="0.25">
      <c r="A109" s="150"/>
      <c r="B109" s="150"/>
      <c r="C109" s="142"/>
      <c r="D109" s="72" t="s">
        <v>589</v>
      </c>
      <c r="E109" s="61" t="s">
        <v>591</v>
      </c>
      <c r="F109" s="149"/>
      <c r="G109" s="150"/>
    </row>
    <row r="110" spans="1:7" x14ac:dyDescent="0.25">
      <c r="A110" s="150"/>
      <c r="B110" s="150"/>
      <c r="C110" s="143"/>
      <c r="D110" s="72" t="s">
        <v>593</v>
      </c>
      <c r="E110" s="61" t="s">
        <v>586</v>
      </c>
      <c r="F110" s="150"/>
      <c r="G110" s="150"/>
    </row>
    <row r="111" spans="1:7" x14ac:dyDescent="0.25">
      <c r="A111" s="150"/>
      <c r="B111" s="150"/>
      <c r="C111" s="143"/>
      <c r="D111" s="72"/>
      <c r="E111" s="61" t="s">
        <v>587</v>
      </c>
      <c r="F111" s="150"/>
      <c r="G111" s="150"/>
    </row>
    <row r="112" spans="1:7" x14ac:dyDescent="0.25">
      <c r="A112" s="150"/>
      <c r="B112" s="150"/>
      <c r="C112" s="141" t="s">
        <v>588</v>
      </c>
      <c r="D112" s="72" t="s">
        <v>585</v>
      </c>
      <c r="E112" s="61" t="s">
        <v>34</v>
      </c>
      <c r="F112" s="141" t="s">
        <v>35</v>
      </c>
      <c r="G112" s="152" t="s">
        <v>615</v>
      </c>
    </row>
    <row r="113" spans="1:7" x14ac:dyDescent="0.25">
      <c r="A113" s="150"/>
      <c r="B113" s="150"/>
      <c r="C113" s="142"/>
      <c r="D113" s="72" t="s">
        <v>590</v>
      </c>
      <c r="E113" s="61" t="s">
        <v>592</v>
      </c>
      <c r="F113" s="149"/>
      <c r="G113" s="150"/>
    </row>
    <row r="114" spans="1:7" x14ac:dyDescent="0.25">
      <c r="A114" s="150"/>
      <c r="B114" s="150"/>
      <c r="C114" s="143"/>
      <c r="D114" s="72" t="s">
        <v>594</v>
      </c>
      <c r="E114" s="61" t="s">
        <v>586</v>
      </c>
      <c r="F114" s="150"/>
      <c r="G114" s="150"/>
    </row>
    <row r="115" spans="1:7" x14ac:dyDescent="0.25">
      <c r="A115" s="150"/>
      <c r="B115" s="150"/>
      <c r="C115" s="143"/>
      <c r="D115" s="72"/>
      <c r="E115" s="61" t="s">
        <v>587</v>
      </c>
      <c r="F115" s="150"/>
      <c r="G115" s="150"/>
    </row>
    <row r="116" spans="1:7" x14ac:dyDescent="0.25">
      <c r="A116" s="150"/>
      <c r="B116" s="150"/>
      <c r="C116" s="141" t="s">
        <v>595</v>
      </c>
      <c r="D116" s="72" t="s">
        <v>585</v>
      </c>
      <c r="E116" s="61" t="s">
        <v>34</v>
      </c>
      <c r="F116" s="141" t="s">
        <v>35</v>
      </c>
      <c r="G116" s="152" t="s">
        <v>616</v>
      </c>
    </row>
    <row r="117" spans="1:7" x14ac:dyDescent="0.25">
      <c r="A117" s="150"/>
      <c r="B117" s="150"/>
      <c r="C117" s="142"/>
      <c r="D117" s="72" t="s">
        <v>589</v>
      </c>
      <c r="E117" s="61" t="s">
        <v>591</v>
      </c>
      <c r="F117" s="149"/>
      <c r="G117" s="150"/>
    </row>
    <row r="118" spans="1:7" x14ac:dyDescent="0.25">
      <c r="A118" s="150"/>
      <c r="B118" s="150"/>
      <c r="C118" s="143"/>
      <c r="D118" s="72" t="s">
        <v>593</v>
      </c>
      <c r="E118" s="61" t="s">
        <v>586</v>
      </c>
      <c r="F118" s="150"/>
      <c r="G118" s="150"/>
    </row>
    <row r="119" spans="1:7" x14ac:dyDescent="0.25">
      <c r="A119" s="150"/>
      <c r="B119" s="150"/>
      <c r="C119" s="143"/>
      <c r="D119" s="72"/>
      <c r="E119" s="61" t="s">
        <v>587</v>
      </c>
      <c r="F119" s="150"/>
      <c r="G119" s="150"/>
    </row>
    <row r="120" spans="1:7" x14ac:dyDescent="0.25">
      <c r="A120" s="150"/>
      <c r="B120" s="150"/>
      <c r="C120" s="141" t="s">
        <v>596</v>
      </c>
      <c r="D120" s="72" t="s">
        <v>585</v>
      </c>
      <c r="E120" s="61" t="s">
        <v>34</v>
      </c>
      <c r="F120" s="141" t="s">
        <v>681</v>
      </c>
      <c r="G120" s="152" t="s">
        <v>617</v>
      </c>
    </row>
    <row r="121" spans="1:7" x14ac:dyDescent="0.25">
      <c r="A121" s="150"/>
      <c r="B121" s="150"/>
      <c r="C121" s="142"/>
      <c r="D121" s="72" t="s">
        <v>590</v>
      </c>
      <c r="E121" s="61" t="s">
        <v>592</v>
      </c>
      <c r="F121" s="149"/>
      <c r="G121" s="150"/>
    </row>
    <row r="122" spans="1:7" x14ac:dyDescent="0.25">
      <c r="A122" s="150"/>
      <c r="B122" s="150"/>
      <c r="C122" s="143"/>
      <c r="D122" s="72" t="s">
        <v>594</v>
      </c>
      <c r="E122" s="61" t="s">
        <v>586</v>
      </c>
      <c r="F122" s="150"/>
      <c r="G122" s="150"/>
    </row>
    <row r="123" spans="1:7" x14ac:dyDescent="0.25">
      <c r="A123" s="150"/>
      <c r="B123" s="150"/>
      <c r="C123" s="143"/>
      <c r="D123" s="72"/>
      <c r="E123" s="61" t="s">
        <v>587</v>
      </c>
      <c r="F123" s="150"/>
      <c r="G123" s="150"/>
    </row>
    <row r="124" spans="1:7" x14ac:dyDescent="0.25">
      <c r="A124" s="150"/>
      <c r="B124" s="150"/>
      <c r="C124" s="141" t="s">
        <v>597</v>
      </c>
      <c r="D124" s="72" t="s">
        <v>585</v>
      </c>
      <c r="E124" s="61" t="s">
        <v>34</v>
      </c>
      <c r="F124" s="141" t="s">
        <v>35</v>
      </c>
      <c r="G124" s="152" t="s">
        <v>618</v>
      </c>
    </row>
    <row r="125" spans="1:7" x14ac:dyDescent="0.25">
      <c r="A125" s="150"/>
      <c r="B125" s="150"/>
      <c r="C125" s="142"/>
      <c r="D125" s="72" t="s">
        <v>589</v>
      </c>
      <c r="E125" s="61" t="s">
        <v>599</v>
      </c>
      <c r="F125" s="149"/>
      <c r="G125" s="150"/>
    </row>
    <row r="126" spans="1:7" x14ac:dyDescent="0.25">
      <c r="A126" s="150"/>
      <c r="B126" s="150"/>
      <c r="C126" s="143"/>
      <c r="D126" s="72" t="s">
        <v>603</v>
      </c>
      <c r="E126" s="61" t="s">
        <v>586</v>
      </c>
      <c r="F126" s="150"/>
      <c r="G126" s="150"/>
    </row>
    <row r="127" spans="1:7" x14ac:dyDescent="0.25">
      <c r="A127" s="150"/>
      <c r="B127" s="150"/>
      <c r="C127" s="143"/>
      <c r="D127" s="72"/>
      <c r="E127" s="61" t="s">
        <v>587</v>
      </c>
      <c r="F127" s="150"/>
      <c r="G127" s="150"/>
    </row>
    <row r="128" spans="1:7" x14ac:dyDescent="0.25">
      <c r="A128" s="150"/>
      <c r="B128" s="150"/>
      <c r="C128" s="141" t="s">
        <v>598</v>
      </c>
      <c r="D128" s="72" t="s">
        <v>585</v>
      </c>
      <c r="E128" s="61" t="s">
        <v>34</v>
      </c>
      <c r="F128" s="141" t="s">
        <v>35</v>
      </c>
      <c r="G128" s="152" t="s">
        <v>619</v>
      </c>
    </row>
    <row r="129" spans="1:7" x14ac:dyDescent="0.25">
      <c r="A129" s="150"/>
      <c r="B129" s="150"/>
      <c r="C129" s="142"/>
      <c r="D129" s="72" t="s">
        <v>590</v>
      </c>
      <c r="E129" s="61" t="s">
        <v>601</v>
      </c>
      <c r="F129" s="149"/>
      <c r="G129" s="150"/>
    </row>
    <row r="130" spans="1:7" x14ac:dyDescent="0.25">
      <c r="A130" s="150"/>
      <c r="B130" s="150"/>
      <c r="C130" s="143"/>
      <c r="D130" s="72" t="s">
        <v>602</v>
      </c>
      <c r="E130" s="61" t="s">
        <v>600</v>
      </c>
      <c r="F130" s="150"/>
      <c r="G130" s="150"/>
    </row>
    <row r="131" spans="1:7" x14ac:dyDescent="0.25">
      <c r="A131" s="150"/>
      <c r="B131" s="150"/>
      <c r="C131" s="143"/>
      <c r="D131" s="72"/>
      <c r="E131" s="61" t="s">
        <v>587</v>
      </c>
      <c r="F131" s="150"/>
      <c r="G131" s="150"/>
    </row>
    <row r="132" spans="1:7" x14ac:dyDescent="0.25">
      <c r="A132" s="150"/>
      <c r="B132" s="150"/>
      <c r="C132" s="141" t="s">
        <v>604</v>
      </c>
      <c r="D132" s="72" t="s">
        <v>605</v>
      </c>
      <c r="E132" s="61" t="s">
        <v>609</v>
      </c>
      <c r="F132" s="141" t="s">
        <v>35</v>
      </c>
      <c r="G132" s="152" t="s">
        <v>620</v>
      </c>
    </row>
    <row r="133" spans="1:7" x14ac:dyDescent="0.25">
      <c r="A133" s="150"/>
      <c r="B133" s="150"/>
      <c r="C133" s="142"/>
      <c r="D133" s="72" t="s">
        <v>606</v>
      </c>
      <c r="E133" s="61" t="s">
        <v>587</v>
      </c>
      <c r="F133" s="149"/>
      <c r="G133" s="150"/>
    </row>
    <row r="134" spans="1:7" x14ac:dyDescent="0.25">
      <c r="A134" s="150"/>
      <c r="B134" s="150"/>
      <c r="C134" s="141" t="s">
        <v>607</v>
      </c>
      <c r="D134" s="72" t="s">
        <v>606</v>
      </c>
      <c r="E134" s="61" t="s">
        <v>605</v>
      </c>
      <c r="F134" s="141" t="s">
        <v>35</v>
      </c>
      <c r="G134" s="152" t="s">
        <v>621</v>
      </c>
    </row>
    <row r="135" spans="1:7" x14ac:dyDescent="0.25">
      <c r="A135" s="150"/>
      <c r="B135" s="150"/>
      <c r="C135" s="153"/>
      <c r="D135" s="72"/>
      <c r="E135" s="61" t="s">
        <v>608</v>
      </c>
      <c r="F135" s="153"/>
      <c r="G135" s="154"/>
    </row>
    <row r="136" spans="1:7" x14ac:dyDescent="0.25">
      <c r="A136" s="149"/>
      <c r="B136" s="149"/>
      <c r="C136" s="142"/>
      <c r="D136" s="72"/>
      <c r="E136" s="61" t="s">
        <v>587</v>
      </c>
      <c r="F136" s="149"/>
      <c r="G136" s="150"/>
    </row>
    <row r="137" spans="1:7" x14ac:dyDescent="0.25">
      <c r="A137" s="149"/>
      <c r="B137" s="147" t="s">
        <v>38</v>
      </c>
      <c r="C137" s="146"/>
      <c r="D137" s="146"/>
      <c r="E137" s="146"/>
      <c r="F137" s="146"/>
      <c r="G137" s="134"/>
    </row>
    <row r="138" spans="1:7" x14ac:dyDescent="0.25">
      <c r="A138" s="149"/>
      <c r="B138" s="157" t="s">
        <v>39</v>
      </c>
      <c r="C138" s="33" t="s">
        <v>19</v>
      </c>
      <c r="D138" s="33" t="s">
        <v>40</v>
      </c>
      <c r="E138" s="33" t="s">
        <v>41</v>
      </c>
      <c r="F138" s="33" t="s">
        <v>42</v>
      </c>
      <c r="G138" s="33" t="s">
        <v>43</v>
      </c>
    </row>
    <row r="139" spans="1:7" x14ac:dyDescent="0.25">
      <c r="A139" s="149"/>
      <c r="B139" s="151"/>
      <c r="C139" s="64" t="s">
        <v>44</v>
      </c>
      <c r="D139" s="61"/>
      <c r="E139" s="61"/>
      <c r="F139" s="61"/>
      <c r="G139" s="61"/>
    </row>
    <row r="140" spans="1:7" x14ac:dyDescent="0.25">
      <c r="A140" s="149"/>
      <c r="B140" s="147" t="s">
        <v>45</v>
      </c>
      <c r="C140" s="146"/>
      <c r="D140" s="146"/>
      <c r="E140" s="146"/>
      <c r="F140" s="146"/>
      <c r="G140" s="134"/>
    </row>
    <row r="141" spans="1:7" x14ac:dyDescent="0.25">
      <c r="A141" s="149"/>
      <c r="B141" s="65" t="s">
        <v>46</v>
      </c>
      <c r="C141" s="147" t="s">
        <v>47</v>
      </c>
      <c r="D141" s="146"/>
      <c r="E141" s="134"/>
      <c r="F141" s="34" t="s">
        <v>48</v>
      </c>
      <c r="G141" s="34" t="s">
        <v>49</v>
      </c>
    </row>
    <row r="142" spans="1:7" ht="21" customHeight="1" x14ac:dyDescent="0.25">
      <c r="A142" s="149"/>
      <c r="B142" s="35" t="s">
        <v>633</v>
      </c>
      <c r="C142" s="158" t="s">
        <v>746</v>
      </c>
      <c r="D142" s="146"/>
      <c r="E142" s="134"/>
      <c r="F142" s="43" t="s">
        <v>627</v>
      </c>
      <c r="G142" s="36" t="s">
        <v>630</v>
      </c>
    </row>
    <row r="143" spans="1:7" x14ac:dyDescent="0.25">
      <c r="A143" s="149"/>
      <c r="B143" s="148" t="s">
        <v>50</v>
      </c>
      <c r="C143" s="146"/>
      <c r="D143" s="146"/>
      <c r="E143" s="146"/>
      <c r="F143" s="146"/>
      <c r="G143" s="134"/>
    </row>
    <row r="144" spans="1:7" x14ac:dyDescent="0.25">
      <c r="A144" s="149"/>
      <c r="B144" s="33" t="s">
        <v>46</v>
      </c>
      <c r="C144" s="33" t="s">
        <v>51</v>
      </c>
      <c r="D144" s="33" t="s">
        <v>19</v>
      </c>
      <c r="E144" s="33" t="s">
        <v>52</v>
      </c>
      <c r="F144" s="33" t="s">
        <v>53</v>
      </c>
      <c r="G144" s="33" t="s">
        <v>54</v>
      </c>
    </row>
    <row r="145" spans="1:7" ht="20.5" customHeight="1" x14ac:dyDescent="0.25">
      <c r="A145" s="150"/>
      <c r="B145" s="37" t="s">
        <v>633</v>
      </c>
      <c r="C145" s="37" t="s">
        <v>745</v>
      </c>
      <c r="D145" s="37" t="s">
        <v>631</v>
      </c>
      <c r="E145" s="37" t="s">
        <v>55</v>
      </c>
      <c r="F145" s="37" t="s">
        <v>632</v>
      </c>
      <c r="G145" s="37" t="s">
        <v>622</v>
      </c>
    </row>
    <row r="146" spans="1:7" x14ac:dyDescent="0.25">
      <c r="A146" s="141" t="s">
        <v>202</v>
      </c>
      <c r="B146" s="145" t="s">
        <v>57</v>
      </c>
      <c r="C146" s="146"/>
      <c r="D146" s="146"/>
      <c r="E146" s="146"/>
      <c r="F146" s="146"/>
      <c r="G146" s="134"/>
    </row>
    <row r="147" spans="1:7" x14ac:dyDescent="0.25">
      <c r="A147" s="149"/>
      <c r="B147" s="147" t="s">
        <v>58</v>
      </c>
      <c r="C147" s="146"/>
      <c r="D147" s="146"/>
      <c r="E147" s="146"/>
      <c r="F147" s="146"/>
      <c r="G147" s="134"/>
    </row>
    <row r="148" spans="1:7" x14ac:dyDescent="0.25">
      <c r="A148" s="149"/>
      <c r="B148" s="65" t="s">
        <v>46</v>
      </c>
      <c r="C148" s="147" t="s">
        <v>47</v>
      </c>
      <c r="D148" s="146"/>
      <c r="E148" s="134"/>
      <c r="F148" s="34" t="s">
        <v>48</v>
      </c>
      <c r="G148" s="34" t="s">
        <v>49</v>
      </c>
    </row>
    <row r="149" spans="1:7" ht="28" x14ac:dyDescent="0.25">
      <c r="A149" s="149"/>
      <c r="B149" s="35" t="s">
        <v>647</v>
      </c>
      <c r="C149" s="158" t="s">
        <v>634</v>
      </c>
      <c r="D149" s="146"/>
      <c r="E149" s="134"/>
      <c r="F149" s="43" t="s">
        <v>56</v>
      </c>
      <c r="G149" s="36" t="s">
        <v>351</v>
      </c>
    </row>
    <row r="150" spans="1:7" x14ac:dyDescent="0.25">
      <c r="A150" s="149"/>
      <c r="B150" s="148" t="s">
        <v>60</v>
      </c>
      <c r="C150" s="146"/>
      <c r="D150" s="146"/>
      <c r="E150" s="146"/>
      <c r="F150" s="146"/>
      <c r="G150" s="134"/>
    </row>
    <row r="151" spans="1:7" x14ac:dyDescent="0.25">
      <c r="A151" s="149"/>
      <c r="B151" s="33" t="s">
        <v>46</v>
      </c>
      <c r="C151" s="33" t="s">
        <v>51</v>
      </c>
      <c r="D151" s="33" t="s">
        <v>19</v>
      </c>
      <c r="E151" s="33" t="s">
        <v>52</v>
      </c>
      <c r="F151" s="33" t="s">
        <v>53</v>
      </c>
      <c r="G151" s="33" t="s">
        <v>54</v>
      </c>
    </row>
    <row r="152" spans="1:7" ht="23.5" customHeight="1" x14ac:dyDescent="0.25">
      <c r="A152" s="151"/>
      <c r="B152" s="37" t="s">
        <v>647</v>
      </c>
      <c r="C152" s="37" t="s">
        <v>634</v>
      </c>
      <c r="D152" s="37" t="s">
        <v>61</v>
      </c>
      <c r="E152" s="37" t="s">
        <v>361</v>
      </c>
      <c r="F152" s="37" t="s">
        <v>638</v>
      </c>
      <c r="G152" s="37" t="s">
        <v>635</v>
      </c>
    </row>
    <row r="153" spans="1:7" x14ac:dyDescent="0.25">
      <c r="A153" s="141" t="s">
        <v>636</v>
      </c>
      <c r="B153" s="145" t="s">
        <v>57</v>
      </c>
      <c r="C153" s="146"/>
      <c r="D153" s="146"/>
      <c r="E153" s="146"/>
      <c r="F153" s="146"/>
      <c r="G153" s="134"/>
    </row>
    <row r="154" spans="1:7" x14ac:dyDescent="0.25">
      <c r="A154" s="149"/>
      <c r="B154" s="147" t="s">
        <v>58</v>
      </c>
      <c r="C154" s="146"/>
      <c r="D154" s="146"/>
      <c r="E154" s="146"/>
      <c r="F154" s="146"/>
      <c r="G154" s="134"/>
    </row>
    <row r="155" spans="1:7" x14ac:dyDescent="0.25">
      <c r="A155" s="149"/>
      <c r="B155" s="65" t="s">
        <v>46</v>
      </c>
      <c r="C155" s="147" t="s">
        <v>47</v>
      </c>
      <c r="D155" s="146"/>
      <c r="E155" s="134"/>
      <c r="F155" s="34" t="s">
        <v>48</v>
      </c>
      <c r="G155" s="34" t="s">
        <v>49</v>
      </c>
    </row>
    <row r="156" spans="1:7" x14ac:dyDescent="0.25">
      <c r="A156" s="149"/>
      <c r="B156" s="35" t="s">
        <v>648</v>
      </c>
      <c r="C156" s="158" t="s">
        <v>637</v>
      </c>
      <c r="D156" s="146"/>
      <c r="E156" s="134"/>
      <c r="F156" s="43" t="s">
        <v>62</v>
      </c>
      <c r="G156" s="36" t="s">
        <v>63</v>
      </c>
    </row>
    <row r="157" spans="1:7" x14ac:dyDescent="0.25">
      <c r="A157" s="149"/>
      <c r="B157" s="148" t="s">
        <v>60</v>
      </c>
      <c r="C157" s="146"/>
      <c r="D157" s="146"/>
      <c r="E157" s="146"/>
      <c r="F157" s="146"/>
      <c r="G157" s="134"/>
    </row>
    <row r="158" spans="1:7" x14ac:dyDescent="0.25">
      <c r="A158" s="149"/>
      <c r="B158" s="33" t="s">
        <v>46</v>
      </c>
      <c r="C158" s="33" t="s">
        <v>51</v>
      </c>
      <c r="D158" s="33" t="s">
        <v>19</v>
      </c>
      <c r="E158" s="33" t="s">
        <v>52</v>
      </c>
      <c r="F158" s="33" t="s">
        <v>53</v>
      </c>
      <c r="G158" s="33" t="s">
        <v>54</v>
      </c>
    </row>
    <row r="159" spans="1:7" ht="29.15" customHeight="1" x14ac:dyDescent="0.25">
      <c r="A159" s="151"/>
      <c r="B159" s="37" t="s">
        <v>648</v>
      </c>
      <c r="C159" s="37" t="s">
        <v>637</v>
      </c>
      <c r="D159" s="37" t="s">
        <v>63</v>
      </c>
      <c r="E159" s="37" t="s">
        <v>360</v>
      </c>
      <c r="F159" s="37" t="s">
        <v>639</v>
      </c>
      <c r="G159" s="37" t="s">
        <v>64</v>
      </c>
    </row>
    <row r="160" spans="1:7" ht="29.15" customHeight="1" x14ac:dyDescent="0.25">
      <c r="A160" s="141" t="s">
        <v>653</v>
      </c>
      <c r="B160" s="145" t="s">
        <v>57</v>
      </c>
      <c r="C160" s="146"/>
      <c r="D160" s="146"/>
      <c r="E160" s="146"/>
      <c r="F160" s="146"/>
      <c r="G160" s="134"/>
    </row>
    <row r="161" spans="1:7" ht="29.15" customHeight="1" x14ac:dyDescent="0.25">
      <c r="A161" s="149"/>
      <c r="B161" s="147" t="s">
        <v>58</v>
      </c>
      <c r="C161" s="146"/>
      <c r="D161" s="146"/>
      <c r="E161" s="146"/>
      <c r="F161" s="146"/>
      <c r="G161" s="134"/>
    </row>
    <row r="162" spans="1:7" ht="29.15" customHeight="1" x14ac:dyDescent="0.25">
      <c r="A162" s="149"/>
      <c r="B162" s="65" t="s">
        <v>46</v>
      </c>
      <c r="C162" s="147" t="s">
        <v>47</v>
      </c>
      <c r="D162" s="146"/>
      <c r="E162" s="134"/>
      <c r="F162" s="34" t="s">
        <v>48</v>
      </c>
      <c r="G162" s="34" t="s">
        <v>49</v>
      </c>
    </row>
    <row r="163" spans="1:7" ht="18" customHeight="1" x14ac:dyDescent="0.25">
      <c r="A163" s="149"/>
      <c r="B163" s="35" t="s">
        <v>647</v>
      </c>
      <c r="C163" s="158" t="s">
        <v>654</v>
      </c>
      <c r="D163" s="146"/>
      <c r="E163" s="134"/>
      <c r="F163" s="43" t="s">
        <v>56</v>
      </c>
      <c r="G163" s="36" t="s">
        <v>351</v>
      </c>
    </row>
    <row r="164" spans="1:7" ht="29.15" customHeight="1" x14ac:dyDescent="0.25">
      <c r="A164" s="149"/>
      <c r="B164" s="148" t="s">
        <v>60</v>
      </c>
      <c r="C164" s="146"/>
      <c r="D164" s="146"/>
      <c r="E164" s="146"/>
      <c r="F164" s="146"/>
      <c r="G164" s="134"/>
    </row>
    <row r="165" spans="1:7" ht="29.15" customHeight="1" x14ac:dyDescent="0.25">
      <c r="A165" s="149"/>
      <c r="B165" s="33" t="s">
        <v>46</v>
      </c>
      <c r="C165" s="33" t="s">
        <v>51</v>
      </c>
      <c r="D165" s="33" t="s">
        <v>19</v>
      </c>
      <c r="E165" s="33" t="s">
        <v>52</v>
      </c>
      <c r="F165" s="33" t="s">
        <v>53</v>
      </c>
      <c r="G165" s="33" t="s">
        <v>54</v>
      </c>
    </row>
    <row r="166" spans="1:7" ht="22" customHeight="1" x14ac:dyDescent="0.25">
      <c r="A166" s="151"/>
      <c r="B166" s="37" t="s">
        <v>656</v>
      </c>
      <c r="C166" s="37" t="s">
        <v>655</v>
      </c>
      <c r="D166" s="37" t="s">
        <v>657</v>
      </c>
      <c r="E166" s="37" t="s">
        <v>658</v>
      </c>
      <c r="F166" s="37" t="s">
        <v>660</v>
      </c>
      <c r="G166" s="37" t="s">
        <v>659</v>
      </c>
    </row>
    <row r="167" spans="1:7" x14ac:dyDescent="0.25">
      <c r="A167" s="141" t="s">
        <v>204</v>
      </c>
      <c r="B167" s="145" t="s">
        <v>57</v>
      </c>
      <c r="C167" s="146"/>
      <c r="D167" s="146"/>
      <c r="E167" s="146"/>
      <c r="F167" s="146"/>
      <c r="G167" s="134"/>
    </row>
    <row r="168" spans="1:7" x14ac:dyDescent="0.25">
      <c r="A168" s="149"/>
      <c r="B168" s="147" t="s">
        <v>58</v>
      </c>
      <c r="C168" s="146"/>
      <c r="D168" s="146"/>
      <c r="E168" s="146"/>
      <c r="F168" s="146"/>
      <c r="G168" s="134"/>
    </row>
    <row r="169" spans="1:7" x14ac:dyDescent="0.25">
      <c r="A169" s="149"/>
      <c r="B169" s="65" t="s">
        <v>46</v>
      </c>
      <c r="C169" s="147" t="s">
        <v>47</v>
      </c>
      <c r="D169" s="146"/>
      <c r="E169" s="134"/>
      <c r="F169" s="34" t="s">
        <v>48</v>
      </c>
      <c r="G169" s="34" t="s">
        <v>49</v>
      </c>
    </row>
    <row r="170" spans="1:7" x14ac:dyDescent="0.25">
      <c r="A170" s="149"/>
      <c r="B170" s="35" t="s">
        <v>649</v>
      </c>
      <c r="C170" s="158" t="s">
        <v>640</v>
      </c>
      <c r="D170" s="146"/>
      <c r="E170" s="134"/>
      <c r="F170" s="43" t="s">
        <v>364</v>
      </c>
      <c r="G170" s="36" t="s">
        <v>63</v>
      </c>
    </row>
    <row r="171" spans="1:7" x14ac:dyDescent="0.25">
      <c r="A171" s="149"/>
      <c r="B171" s="148" t="s">
        <v>60</v>
      </c>
      <c r="C171" s="146"/>
      <c r="D171" s="146"/>
      <c r="E171" s="146"/>
      <c r="F171" s="146"/>
      <c r="G171" s="134"/>
    </row>
    <row r="172" spans="1:7" x14ac:dyDescent="0.25">
      <c r="A172" s="149"/>
      <c r="B172" s="33" t="s">
        <v>46</v>
      </c>
      <c r="C172" s="33" t="s">
        <v>51</v>
      </c>
      <c r="D172" s="33" t="s">
        <v>19</v>
      </c>
      <c r="E172" s="33" t="s">
        <v>52</v>
      </c>
      <c r="F172" s="33" t="s">
        <v>53</v>
      </c>
      <c r="G172" s="33" t="s">
        <v>54</v>
      </c>
    </row>
    <row r="173" spans="1:7" ht="20.5" customHeight="1" x14ac:dyDescent="0.25">
      <c r="A173" s="151"/>
      <c r="B173" s="37" t="s">
        <v>649</v>
      </c>
      <c r="C173" s="37" t="s">
        <v>640</v>
      </c>
      <c r="D173" s="37" t="s">
        <v>63</v>
      </c>
      <c r="E173" s="37" t="s">
        <v>360</v>
      </c>
      <c r="F173" s="37" t="s">
        <v>641</v>
      </c>
      <c r="G173" s="37" t="s">
        <v>642</v>
      </c>
    </row>
    <row r="174" spans="1:7" x14ac:dyDescent="0.25">
      <c r="A174" s="141" t="s">
        <v>643</v>
      </c>
      <c r="B174" s="145" t="s">
        <v>57</v>
      </c>
      <c r="C174" s="146"/>
      <c r="D174" s="146"/>
      <c r="E174" s="146"/>
      <c r="F174" s="146"/>
      <c r="G174" s="134"/>
    </row>
    <row r="175" spans="1:7" x14ac:dyDescent="0.25">
      <c r="A175" s="149"/>
      <c r="B175" s="147" t="s">
        <v>28</v>
      </c>
      <c r="C175" s="146"/>
      <c r="D175" s="146"/>
      <c r="E175" s="146"/>
      <c r="F175" s="146"/>
      <c r="G175" s="134"/>
    </row>
    <row r="176" spans="1:7" x14ac:dyDescent="0.25">
      <c r="A176" s="149"/>
      <c r="B176" s="157" t="s">
        <v>29</v>
      </c>
      <c r="C176" s="39" t="s">
        <v>19</v>
      </c>
      <c r="D176" s="39" t="s">
        <v>30</v>
      </c>
      <c r="E176" s="39" t="s">
        <v>31</v>
      </c>
      <c r="F176" s="34" t="s">
        <v>32</v>
      </c>
      <c r="G176" s="34" t="s">
        <v>33</v>
      </c>
    </row>
    <row r="177" spans="1:7" x14ac:dyDescent="0.25">
      <c r="A177" s="149"/>
      <c r="B177" s="149"/>
      <c r="C177" s="141" t="s">
        <v>66</v>
      </c>
      <c r="D177" s="61" t="s">
        <v>67</v>
      </c>
      <c r="E177" s="61"/>
      <c r="F177" s="141" t="s">
        <v>65</v>
      </c>
      <c r="G177" s="152" t="s">
        <v>68</v>
      </c>
    </row>
    <row r="178" spans="1:7" x14ac:dyDescent="0.25">
      <c r="A178" s="149"/>
      <c r="B178" s="149"/>
      <c r="C178" s="149"/>
      <c r="D178" s="61" t="s">
        <v>59</v>
      </c>
      <c r="E178" s="61"/>
      <c r="F178" s="149"/>
      <c r="G178" s="149"/>
    </row>
    <row r="179" spans="1:7" x14ac:dyDescent="0.25">
      <c r="A179" s="149"/>
      <c r="B179" s="149"/>
      <c r="C179" s="151"/>
      <c r="D179" s="61" t="s">
        <v>69</v>
      </c>
      <c r="E179" s="61"/>
      <c r="F179" s="151"/>
      <c r="G179" s="151"/>
    </row>
    <row r="180" spans="1:7" x14ac:dyDescent="0.25">
      <c r="A180" s="149"/>
      <c r="B180" s="149"/>
      <c r="C180" s="141" t="s">
        <v>70</v>
      </c>
      <c r="D180" s="61" t="s">
        <v>71</v>
      </c>
      <c r="E180" s="61"/>
      <c r="F180" s="141" t="s">
        <v>680</v>
      </c>
      <c r="G180" s="152" t="s">
        <v>72</v>
      </c>
    </row>
    <row r="181" spans="1:7" x14ac:dyDescent="0.25">
      <c r="A181" s="149"/>
      <c r="B181" s="151"/>
      <c r="C181" s="151"/>
      <c r="D181" s="61" t="s">
        <v>73</v>
      </c>
      <c r="E181" s="61"/>
      <c r="F181" s="151"/>
      <c r="G181" s="151"/>
    </row>
    <row r="182" spans="1:7" x14ac:dyDescent="0.25">
      <c r="A182" s="149"/>
      <c r="B182" s="147" t="s">
        <v>38</v>
      </c>
      <c r="C182" s="146"/>
      <c r="D182" s="146"/>
      <c r="E182" s="146"/>
      <c r="F182" s="146"/>
      <c r="G182" s="134"/>
    </row>
    <row r="183" spans="1:7" x14ac:dyDescent="0.25">
      <c r="A183" s="149"/>
      <c r="B183" s="157" t="s">
        <v>39</v>
      </c>
      <c r="C183" s="33" t="s">
        <v>19</v>
      </c>
      <c r="D183" s="33" t="s">
        <v>40</v>
      </c>
      <c r="E183" s="33" t="s">
        <v>74</v>
      </c>
      <c r="F183" s="33" t="s">
        <v>75</v>
      </c>
      <c r="G183" s="33" t="s">
        <v>43</v>
      </c>
    </row>
    <row r="184" spans="1:7" ht="28" x14ac:dyDescent="0.25">
      <c r="A184" s="149"/>
      <c r="B184" s="149"/>
      <c r="C184" s="64" t="s">
        <v>66</v>
      </c>
      <c r="D184" s="35" t="s">
        <v>84</v>
      </c>
      <c r="E184" s="35" t="s">
        <v>77</v>
      </c>
      <c r="F184" s="61" t="s">
        <v>76</v>
      </c>
      <c r="G184" s="35" t="s">
        <v>85</v>
      </c>
    </row>
    <row r="185" spans="1:7" x14ac:dyDescent="0.25">
      <c r="A185" s="149"/>
      <c r="B185" s="151"/>
      <c r="C185" s="64" t="s">
        <v>70</v>
      </c>
      <c r="D185" s="35" t="s">
        <v>77</v>
      </c>
      <c r="E185" s="35" t="s">
        <v>78</v>
      </c>
      <c r="F185" s="35" t="s">
        <v>86</v>
      </c>
      <c r="G185" s="61"/>
    </row>
    <row r="186" spans="1:7" x14ac:dyDescent="0.25">
      <c r="A186" s="149"/>
      <c r="B186" s="147" t="s">
        <v>79</v>
      </c>
      <c r="C186" s="146"/>
      <c r="D186" s="146"/>
      <c r="E186" s="146"/>
      <c r="F186" s="146"/>
      <c r="G186" s="134"/>
    </row>
    <row r="187" spans="1:7" x14ac:dyDescent="0.25">
      <c r="A187" s="149"/>
      <c r="B187" s="65" t="s">
        <v>46</v>
      </c>
      <c r="C187" s="147" t="s">
        <v>47</v>
      </c>
      <c r="D187" s="146"/>
      <c r="E187" s="134"/>
      <c r="F187" s="34" t="s">
        <v>48</v>
      </c>
      <c r="G187" s="34" t="s">
        <v>49</v>
      </c>
    </row>
    <row r="188" spans="1:7" x14ac:dyDescent="0.25">
      <c r="A188" s="149"/>
      <c r="B188" s="66" t="s">
        <v>646</v>
      </c>
      <c r="C188" s="158" t="s">
        <v>80</v>
      </c>
      <c r="D188" s="146"/>
      <c r="E188" s="134"/>
      <c r="F188" s="43" t="s">
        <v>81</v>
      </c>
      <c r="G188" s="35"/>
    </row>
    <row r="189" spans="1:7" x14ac:dyDescent="0.25">
      <c r="A189" s="149"/>
      <c r="B189" s="148" t="s">
        <v>82</v>
      </c>
      <c r="C189" s="146"/>
      <c r="D189" s="146"/>
      <c r="E189" s="146"/>
      <c r="F189" s="146"/>
      <c r="G189" s="134"/>
    </row>
    <row r="190" spans="1:7" x14ac:dyDescent="0.25">
      <c r="A190" s="149"/>
      <c r="B190" s="33" t="s">
        <v>46</v>
      </c>
      <c r="C190" s="33" t="s">
        <v>51</v>
      </c>
      <c r="D190" s="33" t="s">
        <v>19</v>
      </c>
      <c r="E190" s="33" t="s">
        <v>52</v>
      </c>
      <c r="F190" s="33" t="s">
        <v>53</v>
      </c>
      <c r="G190" s="33" t="s">
        <v>54</v>
      </c>
    </row>
    <row r="191" spans="1:7" ht="15" customHeight="1" x14ac:dyDescent="0.25">
      <c r="A191" s="151"/>
      <c r="B191" s="37" t="s">
        <v>646</v>
      </c>
      <c r="C191" s="37" t="s">
        <v>644</v>
      </c>
      <c r="D191" s="37" t="s">
        <v>85</v>
      </c>
      <c r="E191" s="37" t="s">
        <v>55</v>
      </c>
      <c r="F191" s="37" t="s">
        <v>645</v>
      </c>
      <c r="G191" s="37" t="s">
        <v>83</v>
      </c>
    </row>
    <row r="192" spans="1:7" x14ac:dyDescent="0.25">
      <c r="A192" s="141" t="s">
        <v>650</v>
      </c>
      <c r="B192" s="145" t="s">
        <v>57</v>
      </c>
      <c r="C192" s="146"/>
      <c r="D192" s="146"/>
      <c r="E192" s="146"/>
      <c r="F192" s="146"/>
      <c r="G192" s="134"/>
    </row>
    <row r="193" spans="1:7" x14ac:dyDescent="0.25">
      <c r="A193" s="149"/>
      <c r="B193" s="147" t="s">
        <v>58</v>
      </c>
      <c r="C193" s="146"/>
      <c r="D193" s="146"/>
      <c r="E193" s="146"/>
      <c r="F193" s="146"/>
      <c r="G193" s="134"/>
    </row>
    <row r="194" spans="1:7" x14ac:dyDescent="0.25">
      <c r="A194" s="149"/>
      <c r="B194" s="65" t="s">
        <v>46</v>
      </c>
      <c r="C194" s="147" t="s">
        <v>47</v>
      </c>
      <c r="D194" s="146"/>
      <c r="E194" s="134"/>
      <c r="F194" s="34" t="s">
        <v>48</v>
      </c>
      <c r="G194" s="34" t="s">
        <v>49</v>
      </c>
    </row>
    <row r="195" spans="1:7" x14ac:dyDescent="0.25">
      <c r="A195" s="149"/>
      <c r="B195" s="35" t="s">
        <v>566</v>
      </c>
      <c r="C195" s="158" t="s">
        <v>651</v>
      </c>
      <c r="D195" s="146"/>
      <c r="E195" s="134"/>
      <c r="F195" s="43" t="s">
        <v>569</v>
      </c>
      <c r="G195" s="36" t="s">
        <v>63</v>
      </c>
    </row>
    <row r="196" spans="1:7" x14ac:dyDescent="0.25">
      <c r="A196" s="149"/>
      <c r="B196" s="148" t="s">
        <v>60</v>
      </c>
      <c r="C196" s="146"/>
      <c r="D196" s="146"/>
      <c r="E196" s="146"/>
      <c r="F196" s="146"/>
      <c r="G196" s="134"/>
    </row>
    <row r="197" spans="1:7" x14ac:dyDescent="0.25">
      <c r="A197" s="149"/>
      <c r="B197" s="33" t="s">
        <v>46</v>
      </c>
      <c r="C197" s="33" t="s">
        <v>51</v>
      </c>
      <c r="D197" s="33" t="s">
        <v>19</v>
      </c>
      <c r="E197" s="33" t="s">
        <v>52</v>
      </c>
      <c r="F197" s="33" t="s">
        <v>53</v>
      </c>
      <c r="G197" s="33" t="s">
        <v>54</v>
      </c>
    </row>
    <row r="198" spans="1:7" ht="23.15" customHeight="1" x14ac:dyDescent="0.25">
      <c r="A198" s="150"/>
      <c r="B198" s="37" t="s">
        <v>685</v>
      </c>
      <c r="C198" s="37" t="s">
        <v>752</v>
      </c>
      <c r="D198" s="37" t="s">
        <v>753</v>
      </c>
      <c r="E198" s="37" t="s">
        <v>360</v>
      </c>
      <c r="F198" s="37" t="s">
        <v>754</v>
      </c>
      <c r="G198" s="37" t="s">
        <v>652</v>
      </c>
    </row>
    <row r="199" spans="1:7" x14ac:dyDescent="0.25">
      <c r="A199" s="141" t="s">
        <v>684</v>
      </c>
      <c r="B199" s="145" t="s">
        <v>27</v>
      </c>
      <c r="C199" s="146"/>
      <c r="D199" s="146"/>
      <c r="E199" s="146"/>
      <c r="F199" s="146"/>
      <c r="G199" s="134"/>
    </row>
    <row r="200" spans="1:7" x14ac:dyDescent="0.25">
      <c r="A200" s="150"/>
      <c r="B200" s="147" t="s">
        <v>28</v>
      </c>
      <c r="C200" s="146"/>
      <c r="D200" s="146"/>
      <c r="E200" s="146"/>
      <c r="F200" s="146"/>
      <c r="G200" s="134"/>
    </row>
    <row r="201" spans="1:7" x14ac:dyDescent="0.25">
      <c r="A201" s="150"/>
      <c r="B201" s="157" t="s">
        <v>29</v>
      </c>
      <c r="C201" s="33" t="s">
        <v>19</v>
      </c>
      <c r="D201" s="73" t="s">
        <v>30</v>
      </c>
      <c r="E201" s="33" t="s">
        <v>31</v>
      </c>
      <c r="F201" s="34" t="s">
        <v>32</v>
      </c>
      <c r="G201" s="34" t="s">
        <v>33</v>
      </c>
    </row>
    <row r="202" spans="1:7" x14ac:dyDescent="0.25">
      <c r="A202" s="150"/>
      <c r="B202" s="159"/>
      <c r="C202" s="141" t="s">
        <v>691</v>
      </c>
      <c r="D202" s="75" t="s">
        <v>668</v>
      </c>
      <c r="E202" s="75" t="s">
        <v>669</v>
      </c>
      <c r="F202" s="152" t="s">
        <v>681</v>
      </c>
      <c r="G202" s="152" t="s">
        <v>663</v>
      </c>
    </row>
    <row r="203" spans="1:7" x14ac:dyDescent="0.25">
      <c r="A203" s="150"/>
      <c r="B203" s="159"/>
      <c r="C203" s="150"/>
      <c r="D203" s="72" t="s">
        <v>670</v>
      </c>
      <c r="E203" s="61" t="s">
        <v>699</v>
      </c>
      <c r="F203" s="150"/>
      <c r="G203" s="150"/>
    </row>
    <row r="204" spans="1:7" x14ac:dyDescent="0.25">
      <c r="A204" s="150"/>
      <c r="B204" s="159"/>
      <c r="C204" s="150"/>
      <c r="D204" s="72"/>
      <c r="E204" s="61" t="s">
        <v>331</v>
      </c>
      <c r="F204" s="150"/>
      <c r="G204" s="150"/>
    </row>
    <row r="205" spans="1:7" x14ac:dyDescent="0.25">
      <c r="A205" s="150"/>
      <c r="B205" s="159"/>
      <c r="C205" s="151"/>
      <c r="D205" s="72"/>
      <c r="E205" s="61" t="s">
        <v>671</v>
      </c>
      <c r="F205" s="151"/>
      <c r="G205" s="151"/>
    </row>
    <row r="206" spans="1:7" x14ac:dyDescent="0.25">
      <c r="A206" s="150"/>
      <c r="B206" s="150"/>
      <c r="C206" s="141" t="s">
        <v>692</v>
      </c>
      <c r="D206" s="72" t="s">
        <v>662</v>
      </c>
      <c r="E206" s="72" t="s">
        <v>331</v>
      </c>
      <c r="F206" s="152" t="s">
        <v>681</v>
      </c>
      <c r="G206" s="152" t="s">
        <v>663</v>
      </c>
    </row>
    <row r="207" spans="1:7" x14ac:dyDescent="0.25">
      <c r="A207" s="150"/>
      <c r="B207" s="150"/>
      <c r="C207" s="150"/>
      <c r="D207" s="72" t="s">
        <v>664</v>
      </c>
      <c r="E207" s="61" t="s">
        <v>700</v>
      </c>
      <c r="F207" s="150"/>
      <c r="G207" s="150"/>
    </row>
    <row r="208" spans="1:7" x14ac:dyDescent="0.25">
      <c r="A208" s="150"/>
      <c r="B208" s="150"/>
      <c r="C208" s="150"/>
      <c r="D208" s="72" t="s">
        <v>665</v>
      </c>
      <c r="E208" s="61" t="s">
        <v>671</v>
      </c>
      <c r="F208" s="150"/>
      <c r="G208" s="150"/>
    </row>
    <row r="209" spans="1:7" x14ac:dyDescent="0.25">
      <c r="A209" s="150"/>
      <c r="B209" s="150"/>
      <c r="C209" s="151"/>
      <c r="D209" s="72" t="s">
        <v>666</v>
      </c>
      <c r="E209" s="61"/>
      <c r="F209" s="151"/>
      <c r="G209" s="151"/>
    </row>
    <row r="210" spans="1:7" x14ac:dyDescent="0.25">
      <c r="A210" s="150"/>
      <c r="B210" s="150"/>
      <c r="C210" s="141" t="s">
        <v>694</v>
      </c>
      <c r="D210" s="75" t="s">
        <v>676</v>
      </c>
      <c r="E210" s="75" t="s">
        <v>669</v>
      </c>
      <c r="F210" s="152" t="s">
        <v>682</v>
      </c>
      <c r="G210" s="152" t="s">
        <v>667</v>
      </c>
    </row>
    <row r="211" spans="1:7" x14ac:dyDescent="0.25">
      <c r="A211" s="150"/>
      <c r="B211" s="150"/>
      <c r="C211" s="150"/>
      <c r="D211" s="72" t="s">
        <v>670</v>
      </c>
      <c r="E211" s="61" t="s">
        <v>701</v>
      </c>
      <c r="F211" s="150"/>
      <c r="G211" s="150"/>
    </row>
    <row r="212" spans="1:7" x14ac:dyDescent="0.25">
      <c r="A212" s="150"/>
      <c r="B212" s="150"/>
      <c r="C212" s="150"/>
      <c r="D212" s="72" t="s">
        <v>678</v>
      </c>
      <c r="E212" s="61" t="s">
        <v>672</v>
      </c>
      <c r="F212" s="150"/>
      <c r="G212" s="150"/>
    </row>
    <row r="213" spans="1:7" x14ac:dyDescent="0.25">
      <c r="A213" s="150"/>
      <c r="B213" s="150"/>
      <c r="C213" s="150"/>
      <c r="D213" s="72" t="s">
        <v>679</v>
      </c>
      <c r="E213" s="61" t="s">
        <v>677</v>
      </c>
      <c r="F213" s="150"/>
      <c r="G213" s="150"/>
    </row>
    <row r="214" spans="1:7" x14ac:dyDescent="0.25">
      <c r="A214" s="150"/>
      <c r="B214" s="150"/>
      <c r="C214" s="150"/>
      <c r="D214" s="72"/>
      <c r="E214" s="61" t="s">
        <v>675</v>
      </c>
      <c r="F214" s="150"/>
      <c r="G214" s="150"/>
    </row>
    <row r="215" spans="1:7" x14ac:dyDescent="0.25">
      <c r="A215" s="150"/>
      <c r="B215" s="150"/>
      <c r="C215" s="150"/>
      <c r="D215" s="72"/>
      <c r="E215" s="61" t="s">
        <v>671</v>
      </c>
      <c r="F215" s="150"/>
      <c r="G215" s="150"/>
    </row>
    <row r="216" spans="1:7" x14ac:dyDescent="0.25">
      <c r="A216" s="150"/>
      <c r="B216" s="150"/>
      <c r="C216" s="150"/>
      <c r="D216" s="72"/>
      <c r="E216" s="61" t="s">
        <v>674</v>
      </c>
      <c r="F216" s="150"/>
      <c r="G216" s="150"/>
    </row>
    <row r="217" spans="1:7" x14ac:dyDescent="0.25">
      <c r="A217" s="150"/>
      <c r="B217" s="150"/>
      <c r="C217" s="150"/>
      <c r="D217" s="72"/>
      <c r="E217" s="61" t="s">
        <v>673</v>
      </c>
      <c r="F217" s="150"/>
      <c r="G217" s="150"/>
    </row>
    <row r="218" spans="1:7" x14ac:dyDescent="0.25">
      <c r="A218" s="150"/>
      <c r="B218" s="147" t="s">
        <v>38</v>
      </c>
      <c r="C218" s="146"/>
      <c r="D218" s="146"/>
      <c r="E218" s="146"/>
      <c r="F218" s="146"/>
      <c r="G218" s="134"/>
    </row>
    <row r="219" spans="1:7" x14ac:dyDescent="0.25">
      <c r="A219" s="150"/>
      <c r="B219" s="157" t="s">
        <v>39</v>
      </c>
      <c r="C219" s="33" t="s">
        <v>19</v>
      </c>
      <c r="D219" s="73" t="s">
        <v>40</v>
      </c>
      <c r="E219" s="33" t="s">
        <v>74</v>
      </c>
      <c r="F219" s="33" t="s">
        <v>75</v>
      </c>
      <c r="G219" s="33" t="s">
        <v>43</v>
      </c>
    </row>
    <row r="220" spans="1:7" x14ac:dyDescent="0.25">
      <c r="A220" s="150"/>
      <c r="B220" s="150"/>
      <c r="C220" s="64" t="s">
        <v>44</v>
      </c>
      <c r="D220" s="61"/>
      <c r="E220" s="61"/>
      <c r="F220" s="61"/>
      <c r="G220" s="61"/>
    </row>
    <row r="221" spans="1:7" x14ac:dyDescent="0.25">
      <c r="A221" s="150"/>
      <c r="B221" s="147" t="s">
        <v>79</v>
      </c>
      <c r="C221" s="146"/>
      <c r="D221" s="146"/>
      <c r="E221" s="146"/>
      <c r="F221" s="146"/>
      <c r="G221" s="134"/>
    </row>
    <row r="222" spans="1:7" x14ac:dyDescent="0.25">
      <c r="A222" s="150"/>
      <c r="B222" s="65" t="s">
        <v>46</v>
      </c>
      <c r="C222" s="147" t="s">
        <v>47</v>
      </c>
      <c r="D222" s="146"/>
      <c r="E222" s="134"/>
      <c r="F222" s="34" t="s">
        <v>48</v>
      </c>
      <c r="G222" s="34" t="s">
        <v>49</v>
      </c>
    </row>
    <row r="223" spans="1:7" ht="31" customHeight="1" x14ac:dyDescent="0.25">
      <c r="A223" s="150"/>
      <c r="B223" s="66" t="s">
        <v>688</v>
      </c>
      <c r="C223" s="158" t="s">
        <v>686</v>
      </c>
      <c r="D223" s="146"/>
      <c r="E223" s="134"/>
      <c r="F223" s="43" t="s">
        <v>693</v>
      </c>
      <c r="G223" s="61" t="s">
        <v>702</v>
      </c>
    </row>
    <row r="224" spans="1:7" x14ac:dyDescent="0.25">
      <c r="A224" s="150"/>
      <c r="B224" s="148" t="s">
        <v>82</v>
      </c>
      <c r="C224" s="146"/>
      <c r="D224" s="146"/>
      <c r="E224" s="146"/>
      <c r="F224" s="146"/>
      <c r="G224" s="134"/>
    </row>
    <row r="225" spans="1:7" x14ac:dyDescent="0.25">
      <c r="A225" s="150"/>
      <c r="B225" s="33" t="s">
        <v>46</v>
      </c>
      <c r="C225" s="33" t="s">
        <v>51</v>
      </c>
      <c r="D225" s="73" t="s">
        <v>19</v>
      </c>
      <c r="E225" s="33" t="s">
        <v>52</v>
      </c>
      <c r="F225" s="33" t="s">
        <v>53</v>
      </c>
      <c r="G225" s="33" t="s">
        <v>54</v>
      </c>
    </row>
    <row r="226" spans="1:7" ht="20.5" customHeight="1" x14ac:dyDescent="0.25">
      <c r="A226" s="150"/>
      <c r="B226" s="37" t="s">
        <v>697</v>
      </c>
      <c r="C226" s="37" t="s">
        <v>687</v>
      </c>
      <c r="D226" s="74" t="s">
        <v>703</v>
      </c>
      <c r="E226" s="37" t="s">
        <v>689</v>
      </c>
      <c r="F226" s="37" t="s">
        <v>734</v>
      </c>
      <c r="G226" s="37" t="s">
        <v>690</v>
      </c>
    </row>
    <row r="227" spans="1:7" x14ac:dyDescent="0.25">
      <c r="A227" s="141" t="s">
        <v>695</v>
      </c>
      <c r="B227" s="145" t="s">
        <v>57</v>
      </c>
      <c r="C227" s="146"/>
      <c r="D227" s="146"/>
      <c r="E227" s="146"/>
      <c r="F227" s="146"/>
      <c r="G227" s="134"/>
    </row>
    <row r="228" spans="1:7" x14ac:dyDescent="0.25">
      <c r="A228" s="149"/>
      <c r="B228" s="147" t="s">
        <v>28</v>
      </c>
      <c r="C228" s="146"/>
      <c r="D228" s="146"/>
      <c r="E228" s="146"/>
      <c r="F228" s="146"/>
      <c r="G228" s="134"/>
    </row>
    <row r="229" spans="1:7" x14ac:dyDescent="0.25">
      <c r="A229" s="149"/>
      <c r="B229" s="157" t="s">
        <v>29</v>
      </c>
      <c r="C229" s="39" t="s">
        <v>19</v>
      </c>
      <c r="D229" s="39" t="s">
        <v>30</v>
      </c>
      <c r="E229" s="39" t="s">
        <v>31</v>
      </c>
      <c r="F229" s="34" t="s">
        <v>32</v>
      </c>
      <c r="G229" s="34" t="s">
        <v>33</v>
      </c>
    </row>
    <row r="230" spans="1:7" x14ac:dyDescent="0.25">
      <c r="A230" s="149"/>
      <c r="B230" s="149"/>
      <c r="C230" s="141" t="s">
        <v>66</v>
      </c>
      <c r="D230" s="61" t="s">
        <v>67</v>
      </c>
      <c r="E230" s="61"/>
      <c r="F230" s="141" t="s">
        <v>65</v>
      </c>
      <c r="G230" s="152" t="s">
        <v>68</v>
      </c>
    </row>
    <row r="231" spans="1:7" x14ac:dyDescent="0.25">
      <c r="A231" s="149"/>
      <c r="B231" s="149"/>
      <c r="C231" s="149"/>
      <c r="D231" s="61" t="s">
        <v>59</v>
      </c>
      <c r="E231" s="61"/>
      <c r="F231" s="149"/>
      <c r="G231" s="149"/>
    </row>
    <row r="232" spans="1:7" x14ac:dyDescent="0.25">
      <c r="A232" s="149"/>
      <c r="B232" s="149"/>
      <c r="C232" s="151"/>
      <c r="D232" s="61" t="s">
        <v>69</v>
      </c>
      <c r="E232" s="61"/>
      <c r="F232" s="151"/>
      <c r="G232" s="151"/>
    </row>
    <row r="233" spans="1:7" x14ac:dyDescent="0.25">
      <c r="A233" s="149"/>
      <c r="B233" s="149"/>
      <c r="C233" s="141" t="s">
        <v>70</v>
      </c>
      <c r="D233" s="61" t="s">
        <v>71</v>
      </c>
      <c r="E233" s="61"/>
      <c r="F233" s="141" t="s">
        <v>65</v>
      </c>
      <c r="G233" s="152" t="s">
        <v>72</v>
      </c>
    </row>
    <row r="234" spans="1:7" x14ac:dyDescent="0.25">
      <c r="A234" s="149"/>
      <c r="B234" s="151"/>
      <c r="C234" s="151"/>
      <c r="D234" s="61" t="s">
        <v>73</v>
      </c>
      <c r="E234" s="61"/>
      <c r="F234" s="151"/>
      <c r="G234" s="151"/>
    </row>
    <row r="235" spans="1:7" x14ac:dyDescent="0.25">
      <c r="A235" s="149"/>
      <c r="B235" s="147" t="s">
        <v>38</v>
      </c>
      <c r="C235" s="146"/>
      <c r="D235" s="146"/>
      <c r="E235" s="146"/>
      <c r="F235" s="146"/>
      <c r="G235" s="134"/>
    </row>
    <row r="236" spans="1:7" x14ac:dyDescent="0.25">
      <c r="A236" s="149"/>
      <c r="B236" s="157" t="s">
        <v>39</v>
      </c>
      <c r="C236" s="33" t="s">
        <v>19</v>
      </c>
      <c r="D236" s="33" t="s">
        <v>40</v>
      </c>
      <c r="E236" s="33" t="s">
        <v>74</v>
      </c>
      <c r="F236" s="33" t="s">
        <v>75</v>
      </c>
      <c r="G236" s="33" t="s">
        <v>43</v>
      </c>
    </row>
    <row r="237" spans="1:7" ht="28" x14ac:dyDescent="0.25">
      <c r="A237" s="149"/>
      <c r="B237" s="149"/>
      <c r="C237" s="64" t="s">
        <v>66</v>
      </c>
      <c r="D237" s="35" t="s">
        <v>84</v>
      </c>
      <c r="E237" s="35" t="s">
        <v>77</v>
      </c>
      <c r="F237" s="61" t="s">
        <v>76</v>
      </c>
      <c r="G237" s="35" t="s">
        <v>755</v>
      </c>
    </row>
    <row r="238" spans="1:7" x14ac:dyDescent="0.25">
      <c r="A238" s="149"/>
      <c r="B238" s="151"/>
      <c r="C238" s="64" t="s">
        <v>70</v>
      </c>
      <c r="D238" s="35" t="s">
        <v>77</v>
      </c>
      <c r="E238" s="35" t="s">
        <v>78</v>
      </c>
      <c r="F238" s="35" t="s">
        <v>86</v>
      </c>
      <c r="G238" s="61"/>
    </row>
    <row r="239" spans="1:7" x14ac:dyDescent="0.25">
      <c r="A239" s="149"/>
      <c r="B239" s="147" t="s">
        <v>79</v>
      </c>
      <c r="C239" s="146"/>
      <c r="D239" s="146"/>
      <c r="E239" s="146"/>
      <c r="F239" s="146"/>
      <c r="G239" s="134"/>
    </row>
    <row r="240" spans="1:7" x14ac:dyDescent="0.25">
      <c r="A240" s="149"/>
      <c r="B240" s="65" t="s">
        <v>46</v>
      </c>
      <c r="C240" s="147" t="s">
        <v>47</v>
      </c>
      <c r="D240" s="146"/>
      <c r="E240" s="134"/>
      <c r="F240" s="34" t="s">
        <v>48</v>
      </c>
      <c r="G240" s="34" t="s">
        <v>49</v>
      </c>
    </row>
    <row r="241" spans="1:7" x14ac:dyDescent="0.25">
      <c r="A241" s="149"/>
      <c r="B241" s="66" t="s">
        <v>698</v>
      </c>
      <c r="C241" s="158" t="s">
        <v>696</v>
      </c>
      <c r="D241" s="146"/>
      <c r="E241" s="134"/>
      <c r="F241" s="43" t="s">
        <v>81</v>
      </c>
      <c r="G241" s="35"/>
    </row>
    <row r="242" spans="1:7" x14ac:dyDescent="0.25">
      <c r="A242" s="149"/>
      <c r="B242" s="148" t="s">
        <v>82</v>
      </c>
      <c r="C242" s="146"/>
      <c r="D242" s="146"/>
      <c r="E242" s="146"/>
      <c r="F242" s="146"/>
      <c r="G242" s="134"/>
    </row>
    <row r="243" spans="1:7" x14ac:dyDescent="0.25">
      <c r="A243" s="149"/>
      <c r="B243" s="33" t="s">
        <v>46</v>
      </c>
      <c r="C243" s="33" t="s">
        <v>51</v>
      </c>
      <c r="D243" s="33" t="s">
        <v>19</v>
      </c>
      <c r="E243" s="33" t="s">
        <v>52</v>
      </c>
      <c r="F243" s="33" t="s">
        <v>53</v>
      </c>
      <c r="G243" s="33" t="s">
        <v>54</v>
      </c>
    </row>
    <row r="244" spans="1:7" ht="21.65" customHeight="1" x14ac:dyDescent="0.25">
      <c r="A244" s="151"/>
      <c r="B244" s="37" t="s">
        <v>728</v>
      </c>
      <c r="C244" s="37" t="s">
        <v>757</v>
      </c>
      <c r="D244" s="37" t="s">
        <v>756</v>
      </c>
      <c r="E244" s="37" t="s">
        <v>55</v>
      </c>
      <c r="F244" s="37" t="s">
        <v>758</v>
      </c>
      <c r="G244" s="37" t="s">
        <v>83</v>
      </c>
    </row>
    <row r="245" spans="1:7" x14ac:dyDescent="0.25">
      <c r="A245" s="141" t="s">
        <v>705</v>
      </c>
      <c r="B245" s="145" t="s">
        <v>57</v>
      </c>
      <c r="C245" s="146"/>
      <c r="D245" s="146"/>
      <c r="E245" s="146"/>
      <c r="F245" s="146"/>
      <c r="G245" s="134"/>
    </row>
    <row r="246" spans="1:7" x14ac:dyDescent="0.25">
      <c r="A246" s="149"/>
      <c r="B246" s="147" t="s">
        <v>28</v>
      </c>
      <c r="C246" s="146"/>
      <c r="D246" s="146"/>
      <c r="E246" s="146"/>
      <c r="F246" s="146"/>
      <c r="G246" s="134"/>
    </row>
    <row r="247" spans="1:7" x14ac:dyDescent="0.25">
      <c r="A247" s="149"/>
      <c r="B247" s="157" t="s">
        <v>29</v>
      </c>
      <c r="C247" s="39" t="s">
        <v>19</v>
      </c>
      <c r="D247" s="39" t="s">
        <v>30</v>
      </c>
      <c r="E247" s="39" t="s">
        <v>31</v>
      </c>
      <c r="F247" s="34" t="s">
        <v>32</v>
      </c>
      <c r="G247" s="34" t="s">
        <v>33</v>
      </c>
    </row>
    <row r="248" spans="1:7" x14ac:dyDescent="0.25">
      <c r="A248" s="149"/>
      <c r="B248" s="149"/>
      <c r="C248" s="141" t="s">
        <v>718</v>
      </c>
      <c r="D248" s="61" t="s">
        <v>710</v>
      </c>
      <c r="E248" s="61"/>
      <c r="F248" s="141" t="s">
        <v>65</v>
      </c>
      <c r="G248" s="152" t="s">
        <v>717</v>
      </c>
    </row>
    <row r="249" spans="1:7" x14ac:dyDescent="0.25">
      <c r="A249" s="149"/>
      <c r="B249" s="149"/>
      <c r="C249" s="149"/>
      <c r="D249" s="61" t="s">
        <v>711</v>
      </c>
      <c r="E249" s="61"/>
      <c r="F249" s="149"/>
      <c r="G249" s="150"/>
    </row>
    <row r="250" spans="1:7" x14ac:dyDescent="0.25">
      <c r="A250" s="150"/>
      <c r="B250" s="150"/>
      <c r="C250" s="150"/>
      <c r="D250" s="61" t="s">
        <v>712</v>
      </c>
      <c r="E250" s="61"/>
      <c r="F250" s="150"/>
      <c r="G250" s="150"/>
    </row>
    <row r="251" spans="1:7" x14ac:dyDescent="0.25">
      <c r="A251" s="150"/>
      <c r="B251" s="150"/>
      <c r="C251" s="150"/>
      <c r="D251" s="61" t="s">
        <v>713</v>
      </c>
      <c r="E251" s="61"/>
      <c r="F251" s="150"/>
      <c r="G251" s="150"/>
    </row>
    <row r="252" spans="1:7" x14ac:dyDescent="0.25">
      <c r="A252" s="150"/>
      <c r="B252" s="150"/>
      <c r="C252" s="150"/>
      <c r="D252" s="61" t="s">
        <v>714</v>
      </c>
      <c r="E252" s="61"/>
      <c r="F252" s="150"/>
      <c r="G252" s="150"/>
    </row>
    <row r="253" spans="1:7" x14ac:dyDescent="0.25">
      <c r="A253" s="149"/>
      <c r="B253" s="149"/>
      <c r="C253" s="141" t="s">
        <v>706</v>
      </c>
      <c r="D253" s="61" t="s">
        <v>707</v>
      </c>
      <c r="E253" s="61" t="s">
        <v>709</v>
      </c>
      <c r="F253" s="141" t="s">
        <v>65</v>
      </c>
      <c r="G253" s="152" t="s">
        <v>719</v>
      </c>
    </row>
    <row r="254" spans="1:7" x14ac:dyDescent="0.25">
      <c r="A254" s="149"/>
      <c r="B254" s="151"/>
      <c r="C254" s="151"/>
      <c r="D254" s="61" t="s">
        <v>708</v>
      </c>
      <c r="E254" s="61"/>
      <c r="F254" s="151"/>
      <c r="G254" s="151"/>
    </row>
    <row r="255" spans="1:7" x14ac:dyDescent="0.25">
      <c r="A255" s="149"/>
      <c r="B255" s="147" t="s">
        <v>38</v>
      </c>
      <c r="C255" s="146"/>
      <c r="D255" s="146"/>
      <c r="E255" s="146"/>
      <c r="F255" s="146"/>
      <c r="G255" s="134"/>
    </row>
    <row r="256" spans="1:7" x14ac:dyDescent="0.25">
      <c r="A256" s="149"/>
      <c r="B256" s="157" t="s">
        <v>39</v>
      </c>
      <c r="C256" s="33" t="s">
        <v>19</v>
      </c>
      <c r="D256" s="33" t="s">
        <v>40</v>
      </c>
      <c r="E256" s="33" t="s">
        <v>74</v>
      </c>
      <c r="F256" s="33" t="s">
        <v>75</v>
      </c>
      <c r="G256" s="33" t="s">
        <v>43</v>
      </c>
    </row>
    <row r="257" spans="1:7" ht="42" x14ac:dyDescent="0.25">
      <c r="A257" s="149"/>
      <c r="B257" s="151"/>
      <c r="C257" s="64" t="s">
        <v>70</v>
      </c>
      <c r="D257" s="35" t="s">
        <v>77</v>
      </c>
      <c r="E257" s="35" t="s">
        <v>78</v>
      </c>
      <c r="F257" s="35" t="s">
        <v>86</v>
      </c>
      <c r="G257" s="61" t="s">
        <v>722</v>
      </c>
    </row>
    <row r="258" spans="1:7" x14ac:dyDescent="0.25">
      <c r="A258" s="149"/>
      <c r="B258" s="147" t="s">
        <v>733</v>
      </c>
      <c r="C258" s="146"/>
      <c r="D258" s="146"/>
      <c r="E258" s="146"/>
      <c r="F258" s="146"/>
      <c r="G258" s="134"/>
    </row>
    <row r="259" spans="1:7" x14ac:dyDescent="0.25">
      <c r="A259" s="149"/>
      <c r="B259" s="65" t="s">
        <v>46</v>
      </c>
      <c r="C259" s="147" t="s">
        <v>47</v>
      </c>
      <c r="D259" s="146"/>
      <c r="E259" s="134"/>
      <c r="F259" s="34" t="s">
        <v>48</v>
      </c>
      <c r="G259" s="34" t="s">
        <v>49</v>
      </c>
    </row>
    <row r="260" spans="1:7" x14ac:dyDescent="0.25">
      <c r="A260" s="149"/>
      <c r="B260" s="66" t="s">
        <v>715</v>
      </c>
      <c r="C260" s="158" t="s">
        <v>720</v>
      </c>
      <c r="D260" s="146"/>
      <c r="E260" s="134"/>
      <c r="F260" s="43" t="s">
        <v>81</v>
      </c>
      <c r="G260" s="35"/>
    </row>
    <row r="261" spans="1:7" x14ac:dyDescent="0.25">
      <c r="A261" s="149"/>
      <c r="B261" s="148" t="s">
        <v>82</v>
      </c>
      <c r="C261" s="146"/>
      <c r="D261" s="146"/>
      <c r="E261" s="146"/>
      <c r="F261" s="146"/>
      <c r="G261" s="134"/>
    </row>
    <row r="262" spans="1:7" x14ac:dyDescent="0.25">
      <c r="A262" s="149"/>
      <c r="B262" s="33" t="s">
        <v>46</v>
      </c>
      <c r="C262" s="33" t="s">
        <v>51</v>
      </c>
      <c r="D262" s="33" t="s">
        <v>19</v>
      </c>
      <c r="E262" s="33" t="s">
        <v>52</v>
      </c>
      <c r="F262" s="33" t="s">
        <v>53</v>
      </c>
      <c r="G262" s="33" t="s">
        <v>54</v>
      </c>
    </row>
    <row r="263" spans="1:7" ht="12" customHeight="1" x14ac:dyDescent="0.25">
      <c r="A263" s="151"/>
      <c r="B263" s="37" t="s">
        <v>716</v>
      </c>
      <c r="C263" s="37" t="s">
        <v>721</v>
      </c>
      <c r="D263" s="37" t="s">
        <v>723</v>
      </c>
      <c r="E263" s="37" t="s">
        <v>55</v>
      </c>
      <c r="F263" s="37" t="s">
        <v>724</v>
      </c>
      <c r="G263" s="37" t="s">
        <v>725</v>
      </c>
    </row>
    <row r="264" spans="1:7" x14ac:dyDescent="0.25">
      <c r="A264" s="141" t="s">
        <v>726</v>
      </c>
      <c r="B264" s="145" t="s">
        <v>57</v>
      </c>
      <c r="C264" s="146"/>
      <c r="D264" s="146"/>
      <c r="E264" s="146"/>
      <c r="F264" s="146"/>
      <c r="G264" s="134"/>
    </row>
    <row r="265" spans="1:7" x14ac:dyDescent="0.25">
      <c r="A265" s="149"/>
      <c r="B265" s="147" t="s">
        <v>58</v>
      </c>
      <c r="C265" s="146"/>
      <c r="D265" s="146"/>
      <c r="E265" s="146"/>
      <c r="F265" s="146"/>
      <c r="G265" s="134"/>
    </row>
    <row r="266" spans="1:7" x14ac:dyDescent="0.25">
      <c r="A266" s="149"/>
      <c r="B266" s="65" t="s">
        <v>46</v>
      </c>
      <c r="C266" s="147" t="s">
        <v>47</v>
      </c>
      <c r="D266" s="146"/>
      <c r="E266" s="134"/>
      <c r="F266" s="34" t="s">
        <v>48</v>
      </c>
      <c r="G266" s="34" t="s">
        <v>49</v>
      </c>
    </row>
    <row r="267" spans="1:7" x14ac:dyDescent="0.25">
      <c r="A267" s="149"/>
      <c r="B267" s="35" t="s">
        <v>730</v>
      </c>
      <c r="C267" s="158" t="s">
        <v>731</v>
      </c>
      <c r="D267" s="146"/>
      <c r="E267" s="134"/>
      <c r="F267" s="43" t="s">
        <v>569</v>
      </c>
      <c r="G267" s="36" t="s">
        <v>63</v>
      </c>
    </row>
    <row r="268" spans="1:7" x14ac:dyDescent="0.25">
      <c r="A268" s="149"/>
      <c r="B268" s="148" t="s">
        <v>60</v>
      </c>
      <c r="C268" s="146"/>
      <c r="D268" s="146"/>
      <c r="E268" s="146"/>
      <c r="F268" s="146"/>
      <c r="G268" s="134"/>
    </row>
    <row r="269" spans="1:7" x14ac:dyDescent="0.25">
      <c r="A269" s="149"/>
      <c r="B269" s="33" t="s">
        <v>46</v>
      </c>
      <c r="C269" s="33" t="s">
        <v>51</v>
      </c>
      <c r="D269" s="33" t="s">
        <v>19</v>
      </c>
      <c r="E269" s="33" t="s">
        <v>52</v>
      </c>
      <c r="F269" s="33" t="s">
        <v>53</v>
      </c>
      <c r="G269" s="33" t="s">
        <v>54</v>
      </c>
    </row>
    <row r="270" spans="1:7" ht="126" x14ac:dyDescent="0.25">
      <c r="A270" s="150"/>
      <c r="B270" s="37" t="s">
        <v>729</v>
      </c>
      <c r="C270" s="37" t="s">
        <v>732</v>
      </c>
      <c r="D270" s="37" t="s">
        <v>63</v>
      </c>
      <c r="E270" s="37" t="s">
        <v>360</v>
      </c>
      <c r="F270" s="37" t="s">
        <v>736</v>
      </c>
      <c r="G270" s="37" t="s">
        <v>735</v>
      </c>
    </row>
  </sheetData>
  <mergeCells count="214">
    <mergeCell ref="A264:A270"/>
    <mergeCell ref="B264:G264"/>
    <mergeCell ref="B265:G265"/>
    <mergeCell ref="C266:E266"/>
    <mergeCell ref="C267:E267"/>
    <mergeCell ref="B268:G268"/>
    <mergeCell ref="A245:A263"/>
    <mergeCell ref="B245:G245"/>
    <mergeCell ref="B246:G246"/>
    <mergeCell ref="B247:B254"/>
    <mergeCell ref="C248:C252"/>
    <mergeCell ref="F248:F252"/>
    <mergeCell ref="G248:G252"/>
    <mergeCell ref="C253:C254"/>
    <mergeCell ref="F253:F254"/>
    <mergeCell ref="G253:G254"/>
    <mergeCell ref="B255:G255"/>
    <mergeCell ref="B256:B257"/>
    <mergeCell ref="B258:G258"/>
    <mergeCell ref="C259:E259"/>
    <mergeCell ref="C260:E260"/>
    <mergeCell ref="B261:G261"/>
    <mergeCell ref="A227:A244"/>
    <mergeCell ref="B227:G227"/>
    <mergeCell ref="B228:G228"/>
    <mergeCell ref="B229:B234"/>
    <mergeCell ref="C230:C232"/>
    <mergeCell ref="F230:F232"/>
    <mergeCell ref="G230:G232"/>
    <mergeCell ref="C233:C234"/>
    <mergeCell ref="F233:F234"/>
    <mergeCell ref="G233:G234"/>
    <mergeCell ref="B235:G235"/>
    <mergeCell ref="B236:B238"/>
    <mergeCell ref="B239:G239"/>
    <mergeCell ref="C240:E240"/>
    <mergeCell ref="C241:E241"/>
    <mergeCell ref="B242:G242"/>
    <mergeCell ref="C223:E223"/>
    <mergeCell ref="B224:G224"/>
    <mergeCell ref="C202:C205"/>
    <mergeCell ref="F202:F205"/>
    <mergeCell ref="G202:G205"/>
    <mergeCell ref="F6:G6"/>
    <mergeCell ref="A199:A226"/>
    <mergeCell ref="B199:G199"/>
    <mergeCell ref="B200:G200"/>
    <mergeCell ref="B201:B217"/>
    <mergeCell ref="C206:C209"/>
    <mergeCell ref="F206:F209"/>
    <mergeCell ref="G206:G209"/>
    <mergeCell ref="C210:C217"/>
    <mergeCell ref="F210:F217"/>
    <mergeCell ref="G210:G217"/>
    <mergeCell ref="B218:G218"/>
    <mergeCell ref="B219:B220"/>
    <mergeCell ref="B221:G221"/>
    <mergeCell ref="C222:E222"/>
    <mergeCell ref="A160:A166"/>
    <mergeCell ref="B160:G160"/>
    <mergeCell ref="B161:G161"/>
    <mergeCell ref="C162:E162"/>
    <mergeCell ref="A192:A198"/>
    <mergeCell ref="B192:G192"/>
    <mergeCell ref="B193:G193"/>
    <mergeCell ref="C194:E194"/>
    <mergeCell ref="C195:E195"/>
    <mergeCell ref="B196:G196"/>
    <mergeCell ref="A174:A191"/>
    <mergeCell ref="B174:G174"/>
    <mergeCell ref="B175:G175"/>
    <mergeCell ref="B176:B181"/>
    <mergeCell ref="C177:C179"/>
    <mergeCell ref="F177:F179"/>
    <mergeCell ref="G177:G179"/>
    <mergeCell ref="C180:C181"/>
    <mergeCell ref="F180:F181"/>
    <mergeCell ref="G180:G181"/>
    <mergeCell ref="B182:G182"/>
    <mergeCell ref="B183:B185"/>
    <mergeCell ref="B186:G186"/>
    <mergeCell ref="C187:E187"/>
    <mergeCell ref="C188:E188"/>
    <mergeCell ref="B189:G189"/>
    <mergeCell ref="A167:A173"/>
    <mergeCell ref="B167:G167"/>
    <mergeCell ref="B168:G168"/>
    <mergeCell ref="C169:E169"/>
    <mergeCell ref="C170:E170"/>
    <mergeCell ref="B171:G171"/>
    <mergeCell ref="A153:A159"/>
    <mergeCell ref="B153:G153"/>
    <mergeCell ref="B154:G154"/>
    <mergeCell ref="C155:E155"/>
    <mergeCell ref="C156:E156"/>
    <mergeCell ref="B157:G157"/>
    <mergeCell ref="C163:E163"/>
    <mergeCell ref="B164:G164"/>
    <mergeCell ref="A146:A152"/>
    <mergeCell ref="B146:G146"/>
    <mergeCell ref="B147:G147"/>
    <mergeCell ref="C148:E148"/>
    <mergeCell ref="C149:E149"/>
    <mergeCell ref="B150:G150"/>
    <mergeCell ref="B140:G140"/>
    <mergeCell ref="C141:E141"/>
    <mergeCell ref="C142:E142"/>
    <mergeCell ref="B143:G143"/>
    <mergeCell ref="A80:A145"/>
    <mergeCell ref="F83:F86"/>
    <mergeCell ref="G83:G86"/>
    <mergeCell ref="C134:C136"/>
    <mergeCell ref="F134:F136"/>
    <mergeCell ref="G134:G136"/>
    <mergeCell ref="B137:G137"/>
    <mergeCell ref="B138:B139"/>
    <mergeCell ref="C128:C131"/>
    <mergeCell ref="F128:F131"/>
    <mergeCell ref="G128:G131"/>
    <mergeCell ref="C132:C133"/>
    <mergeCell ref="F132:F133"/>
    <mergeCell ref="G132:G133"/>
    <mergeCell ref="G120:G123"/>
    <mergeCell ref="C124:C127"/>
    <mergeCell ref="F124:F127"/>
    <mergeCell ref="G124:G127"/>
    <mergeCell ref="C112:C115"/>
    <mergeCell ref="F112:F115"/>
    <mergeCell ref="G112:G115"/>
    <mergeCell ref="C116:C119"/>
    <mergeCell ref="F116:F119"/>
    <mergeCell ref="G116:G119"/>
    <mergeCell ref="C101:C107"/>
    <mergeCell ref="F101:F107"/>
    <mergeCell ref="G101:G107"/>
    <mergeCell ref="C108:C111"/>
    <mergeCell ref="F108:F111"/>
    <mergeCell ref="G108:G111"/>
    <mergeCell ref="C68:C70"/>
    <mergeCell ref="F68:F70"/>
    <mergeCell ref="G68:G70"/>
    <mergeCell ref="B80:G80"/>
    <mergeCell ref="B81:G81"/>
    <mergeCell ref="B82:B136"/>
    <mergeCell ref="C87:C89"/>
    <mergeCell ref="F87:F89"/>
    <mergeCell ref="G87:G89"/>
    <mergeCell ref="C90:C93"/>
    <mergeCell ref="F90:F93"/>
    <mergeCell ref="G90:G93"/>
    <mergeCell ref="C94:C100"/>
    <mergeCell ref="F94:F100"/>
    <mergeCell ref="G94:G100"/>
    <mergeCell ref="C83:C86"/>
    <mergeCell ref="C120:C123"/>
    <mergeCell ref="F120:F123"/>
    <mergeCell ref="C66:C67"/>
    <mergeCell ref="F66:F67"/>
    <mergeCell ref="G66:G67"/>
    <mergeCell ref="C52:C55"/>
    <mergeCell ref="F52:F55"/>
    <mergeCell ref="G52:G55"/>
    <mergeCell ref="C56:C59"/>
    <mergeCell ref="F56:F59"/>
    <mergeCell ref="G56:G59"/>
    <mergeCell ref="G48:G51"/>
    <mergeCell ref="C33:C39"/>
    <mergeCell ref="F33:F39"/>
    <mergeCell ref="G33:G39"/>
    <mergeCell ref="C40:C43"/>
    <mergeCell ref="F40:F43"/>
    <mergeCell ref="G40:G43"/>
    <mergeCell ref="C60:C63"/>
    <mergeCell ref="F60:F63"/>
    <mergeCell ref="G60:G63"/>
    <mergeCell ref="C22:C25"/>
    <mergeCell ref="F22:F25"/>
    <mergeCell ref="G22:G25"/>
    <mergeCell ref="C26:C32"/>
    <mergeCell ref="F26:F32"/>
    <mergeCell ref="G26:G32"/>
    <mergeCell ref="A16:A79"/>
    <mergeCell ref="B18:B70"/>
    <mergeCell ref="C19:C21"/>
    <mergeCell ref="F19:F21"/>
    <mergeCell ref="G19:G21"/>
    <mergeCell ref="B71:G71"/>
    <mergeCell ref="B72:B73"/>
    <mergeCell ref="B17:G17"/>
    <mergeCell ref="C76:E76"/>
    <mergeCell ref="B74:G74"/>
    <mergeCell ref="C75:E75"/>
    <mergeCell ref="B77:G77"/>
    <mergeCell ref="B16:G16"/>
    <mergeCell ref="C44:C47"/>
    <mergeCell ref="F44:F47"/>
    <mergeCell ref="G44:G47"/>
    <mergeCell ref="C48:C51"/>
    <mergeCell ref="F48:F51"/>
    <mergeCell ref="A1:A15"/>
    <mergeCell ref="F1:G1"/>
    <mergeCell ref="F2:G2"/>
    <mergeCell ref="F3:G3"/>
    <mergeCell ref="F4:G4"/>
    <mergeCell ref="F5:G5"/>
    <mergeCell ref="F7:G7"/>
    <mergeCell ref="F8:G8"/>
    <mergeCell ref="F9:G9"/>
    <mergeCell ref="F10:G10"/>
    <mergeCell ref="F11:G11"/>
    <mergeCell ref="F12:G12"/>
    <mergeCell ref="F13:G13"/>
    <mergeCell ref="F14:G14"/>
    <mergeCell ref="F15:G15"/>
  </mergeCells>
  <phoneticPr fontId="1" type="noConversion"/>
  <dataValidations disablePrompts="1" count="1">
    <dataValidation type="list" allowBlank="1" showInputMessage="1" showErrorMessage="1" sqref="C2:C15">
      <formula1>"流程图,状态机,等价类划分&amp;数据组合,直接分析"</formula1>
    </dataValidation>
  </dataValidations>
  <pageMargins left="0.7" right="0.7" top="0.75" bottom="0.75"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210"/>
  <sheetViews>
    <sheetView zoomScale="85" zoomScaleNormal="85" workbookViewId="0">
      <pane xSplit="1" ySplit="7" topLeftCell="B169" activePane="bottomRight" state="frozen"/>
      <selection pane="topRight" activeCell="B1" sqref="B1"/>
      <selection pane="bottomLeft" activeCell="A8" sqref="A8"/>
      <selection pane="bottomRight" activeCell="C196" sqref="C196:E196"/>
    </sheetView>
  </sheetViews>
  <sheetFormatPr defaultColWidth="9" defaultRowHeight="14" x14ac:dyDescent="0.25"/>
  <cols>
    <col min="1" max="1" width="15" style="46" customWidth="1"/>
    <col min="2" max="2" width="40.453125" style="46" customWidth="1"/>
    <col min="3" max="3" width="33.08984375" style="46" customWidth="1"/>
    <col min="4" max="4" width="36.26953125" style="46" customWidth="1"/>
    <col min="5" max="5" width="39.7265625" style="46" customWidth="1"/>
    <col min="6" max="6" width="53.453125" style="46" customWidth="1"/>
    <col min="7" max="7" width="64.6328125" style="46" customWidth="1"/>
    <col min="8" max="23" width="9" style="46" customWidth="1"/>
    <col min="24" max="16384" width="9" style="46"/>
  </cols>
  <sheetData>
    <row r="1" spans="1:7" x14ac:dyDescent="0.25">
      <c r="A1" s="169" t="s">
        <v>26</v>
      </c>
      <c r="B1" s="52" t="s">
        <v>15</v>
      </c>
      <c r="C1" s="52" t="s">
        <v>16</v>
      </c>
      <c r="D1" s="52" t="s">
        <v>17</v>
      </c>
      <c r="E1" s="52" t="s">
        <v>18</v>
      </c>
      <c r="F1" s="171" t="s">
        <v>19</v>
      </c>
      <c r="G1" s="130"/>
    </row>
    <row r="2" spans="1:7" ht="14.15" customHeight="1" x14ac:dyDescent="0.25">
      <c r="A2" s="149"/>
      <c r="B2" s="63" t="s">
        <v>936</v>
      </c>
      <c r="C2" s="63" t="s">
        <v>21</v>
      </c>
      <c r="D2" s="63"/>
      <c r="E2" s="82">
        <v>10</v>
      </c>
      <c r="F2" s="132" t="s">
        <v>219</v>
      </c>
      <c r="G2" s="132"/>
    </row>
    <row r="3" spans="1:7" x14ac:dyDescent="0.25">
      <c r="A3" s="149"/>
      <c r="B3" s="63" t="s">
        <v>220</v>
      </c>
      <c r="C3" s="63" t="s">
        <v>21</v>
      </c>
      <c r="D3" s="63"/>
      <c r="E3" s="82">
        <v>5</v>
      </c>
      <c r="F3" s="132" t="s">
        <v>219</v>
      </c>
      <c r="G3" s="132"/>
    </row>
    <row r="4" spans="1:7" x14ac:dyDescent="0.25">
      <c r="A4" s="149"/>
      <c r="B4" s="63" t="s">
        <v>221</v>
      </c>
      <c r="C4" s="63" t="s">
        <v>21</v>
      </c>
      <c r="D4" s="63"/>
      <c r="E4" s="82">
        <v>4</v>
      </c>
      <c r="F4" s="132" t="s">
        <v>222</v>
      </c>
      <c r="G4" s="132"/>
    </row>
    <row r="5" spans="1:7" ht="14.15" customHeight="1" x14ac:dyDescent="0.25">
      <c r="A5" s="149"/>
      <c r="B5" s="63" t="s">
        <v>223</v>
      </c>
      <c r="C5" s="63" t="s">
        <v>21</v>
      </c>
      <c r="D5" s="63"/>
      <c r="E5" s="82">
        <v>4</v>
      </c>
      <c r="F5" s="132" t="s">
        <v>222</v>
      </c>
      <c r="G5" s="132"/>
    </row>
    <row r="6" spans="1:7" x14ac:dyDescent="0.25">
      <c r="A6" s="149"/>
      <c r="B6" s="63" t="s">
        <v>1125</v>
      </c>
      <c r="C6" s="63" t="s">
        <v>22</v>
      </c>
      <c r="D6" s="63"/>
      <c r="E6" s="82">
        <v>6</v>
      </c>
      <c r="F6" s="132" t="s">
        <v>225</v>
      </c>
      <c r="G6" s="132"/>
    </row>
    <row r="7" spans="1:7" ht="14.15" customHeight="1" x14ac:dyDescent="0.25">
      <c r="A7" s="170"/>
      <c r="B7" s="63" t="s">
        <v>1127</v>
      </c>
      <c r="C7" s="63" t="s">
        <v>22</v>
      </c>
      <c r="D7" s="63"/>
      <c r="E7" s="82">
        <v>1</v>
      </c>
      <c r="F7" s="132"/>
      <c r="G7" s="132"/>
    </row>
    <row r="8" spans="1:7" x14ac:dyDescent="0.25">
      <c r="A8" s="141" t="s">
        <v>2105</v>
      </c>
      <c r="B8" s="145" t="s">
        <v>27</v>
      </c>
      <c r="C8" s="146"/>
      <c r="D8" s="146"/>
      <c r="E8" s="146"/>
      <c r="F8" s="146"/>
      <c r="G8" s="134"/>
    </row>
    <row r="9" spans="1:7" x14ac:dyDescent="0.25">
      <c r="A9" s="150"/>
      <c r="B9" s="147" t="s">
        <v>28</v>
      </c>
      <c r="C9" s="146"/>
      <c r="D9" s="146"/>
      <c r="E9" s="146"/>
      <c r="F9" s="146"/>
      <c r="G9" s="134"/>
    </row>
    <row r="10" spans="1:7" x14ac:dyDescent="0.25">
      <c r="A10" s="150"/>
      <c r="B10" s="157" t="s">
        <v>29</v>
      </c>
      <c r="C10" s="33" t="s">
        <v>19</v>
      </c>
      <c r="D10" s="73" t="s">
        <v>30</v>
      </c>
      <c r="E10" s="33" t="s">
        <v>31</v>
      </c>
      <c r="F10" s="34" t="s">
        <v>32</v>
      </c>
      <c r="G10" s="34" t="s">
        <v>33</v>
      </c>
    </row>
    <row r="11" spans="1:7" x14ac:dyDescent="0.25">
      <c r="A11" s="150"/>
      <c r="B11" s="159"/>
      <c r="C11" s="141" t="s">
        <v>946</v>
      </c>
      <c r="D11" s="75" t="s">
        <v>937</v>
      </c>
      <c r="E11" s="75"/>
      <c r="F11" s="152" t="s">
        <v>966</v>
      </c>
      <c r="G11" s="152" t="s">
        <v>2126</v>
      </c>
    </row>
    <row r="12" spans="1:7" x14ac:dyDescent="0.25">
      <c r="A12" s="150"/>
      <c r="B12" s="159"/>
      <c r="C12" s="150"/>
      <c r="D12" s="72" t="s">
        <v>938</v>
      </c>
      <c r="E12" s="61"/>
      <c r="F12" s="150"/>
      <c r="G12" s="150"/>
    </row>
    <row r="13" spans="1:7" x14ac:dyDescent="0.25">
      <c r="A13" s="150"/>
      <c r="B13" s="159"/>
      <c r="C13" s="150"/>
      <c r="D13" s="72" t="s">
        <v>2084</v>
      </c>
      <c r="E13" s="61"/>
      <c r="F13" s="150"/>
      <c r="G13" s="150"/>
    </row>
    <row r="14" spans="1:7" x14ac:dyDescent="0.25">
      <c r="A14" s="150"/>
      <c r="B14" s="159"/>
      <c r="C14" s="150"/>
      <c r="D14" s="72" t="s">
        <v>2085</v>
      </c>
      <c r="E14" s="61"/>
      <c r="F14" s="150"/>
      <c r="G14" s="150"/>
    </row>
    <row r="15" spans="1:7" x14ac:dyDescent="0.25">
      <c r="A15" s="150"/>
      <c r="B15" s="159"/>
      <c r="C15" s="150"/>
      <c r="D15" s="72" t="s">
        <v>939</v>
      </c>
      <c r="E15" s="61"/>
      <c r="F15" s="150"/>
      <c r="G15" s="150"/>
    </row>
    <row r="16" spans="1:7" x14ac:dyDescent="0.25">
      <c r="A16" s="150"/>
      <c r="B16" s="159"/>
      <c r="C16" s="150"/>
      <c r="D16" s="72" t="s">
        <v>940</v>
      </c>
      <c r="E16" s="61"/>
      <c r="F16" s="150"/>
      <c r="G16" s="150"/>
    </row>
    <row r="17" spans="1:7" x14ac:dyDescent="0.25">
      <c r="A17" s="150"/>
      <c r="B17" s="159"/>
      <c r="C17" s="150"/>
      <c r="D17" s="72" t="s">
        <v>941</v>
      </c>
      <c r="E17" s="61"/>
      <c r="F17" s="150"/>
      <c r="G17" s="150"/>
    </row>
    <row r="18" spans="1:7" x14ac:dyDescent="0.25">
      <c r="A18" s="150"/>
      <c r="B18" s="159"/>
      <c r="C18" s="150"/>
      <c r="D18" s="72" t="s">
        <v>942</v>
      </c>
      <c r="E18" s="61"/>
      <c r="F18" s="150"/>
      <c r="G18" s="150"/>
    </row>
    <row r="19" spans="1:7" x14ac:dyDescent="0.25">
      <c r="A19" s="150"/>
      <c r="B19" s="159"/>
      <c r="C19" s="150"/>
      <c r="D19" s="72" t="s">
        <v>943</v>
      </c>
      <c r="E19" s="61"/>
      <c r="F19" s="150"/>
      <c r="G19" s="150"/>
    </row>
    <row r="20" spans="1:7" x14ac:dyDescent="0.25">
      <c r="A20" s="150"/>
      <c r="B20" s="159"/>
      <c r="C20" s="150"/>
      <c r="D20" s="72" t="s">
        <v>944</v>
      </c>
      <c r="E20" s="61"/>
      <c r="F20" s="150"/>
      <c r="G20" s="150"/>
    </row>
    <row r="21" spans="1:7" x14ac:dyDescent="0.25">
      <c r="A21" s="150"/>
      <c r="B21" s="159"/>
      <c r="C21" s="150"/>
      <c r="D21" s="72" t="s">
        <v>2125</v>
      </c>
      <c r="E21" s="61"/>
      <c r="F21" s="150"/>
      <c r="G21" s="150"/>
    </row>
    <row r="22" spans="1:7" x14ac:dyDescent="0.25">
      <c r="A22" s="150"/>
      <c r="B22" s="159"/>
      <c r="C22" s="150"/>
      <c r="D22" s="72" t="s">
        <v>2122</v>
      </c>
      <c r="E22" s="61"/>
      <c r="F22" s="150"/>
      <c r="G22" s="150"/>
    </row>
    <row r="23" spans="1:7" x14ac:dyDescent="0.25">
      <c r="A23" s="150"/>
      <c r="B23" s="159"/>
      <c r="C23" s="151"/>
      <c r="D23" s="72" t="s">
        <v>950</v>
      </c>
      <c r="E23" s="61"/>
      <c r="F23" s="151"/>
      <c r="G23" s="151"/>
    </row>
    <row r="24" spans="1:7" x14ac:dyDescent="0.25">
      <c r="A24" s="150"/>
      <c r="B24" s="147" t="s">
        <v>38</v>
      </c>
      <c r="C24" s="146"/>
      <c r="D24" s="146"/>
      <c r="E24" s="146"/>
      <c r="F24" s="146"/>
      <c r="G24" s="134"/>
    </row>
    <row r="25" spans="1:7" x14ac:dyDescent="0.25">
      <c r="A25" s="150"/>
      <c r="B25" s="157" t="s">
        <v>39</v>
      </c>
      <c r="C25" s="33" t="s">
        <v>19</v>
      </c>
      <c r="D25" s="73" t="s">
        <v>40</v>
      </c>
      <c r="E25" s="33" t="s">
        <v>74</v>
      </c>
      <c r="F25" s="33" t="s">
        <v>75</v>
      </c>
      <c r="G25" s="33" t="s">
        <v>43</v>
      </c>
    </row>
    <row r="26" spans="1:7" x14ac:dyDescent="0.25">
      <c r="A26" s="150"/>
      <c r="B26" s="150"/>
      <c r="C26" s="79" t="s">
        <v>44</v>
      </c>
      <c r="D26" s="61"/>
      <c r="E26" s="61"/>
      <c r="F26" s="61"/>
      <c r="G26" s="61"/>
    </row>
    <row r="27" spans="1:7" x14ac:dyDescent="0.25">
      <c r="A27" s="150"/>
      <c r="B27" s="147" t="s">
        <v>79</v>
      </c>
      <c r="C27" s="146"/>
      <c r="D27" s="146"/>
      <c r="E27" s="146"/>
      <c r="F27" s="146"/>
      <c r="G27" s="134"/>
    </row>
    <row r="28" spans="1:7" x14ac:dyDescent="0.25">
      <c r="A28" s="150"/>
      <c r="B28" s="80" t="s">
        <v>46</v>
      </c>
      <c r="C28" s="147" t="s">
        <v>47</v>
      </c>
      <c r="D28" s="146"/>
      <c r="E28" s="134"/>
      <c r="F28" s="34" t="s">
        <v>48</v>
      </c>
      <c r="G28" s="34" t="s">
        <v>49</v>
      </c>
    </row>
    <row r="29" spans="1:7" x14ac:dyDescent="0.25">
      <c r="A29" s="150"/>
      <c r="B29" s="81" t="s">
        <v>2107</v>
      </c>
      <c r="C29" s="158" t="s">
        <v>2127</v>
      </c>
      <c r="D29" s="160"/>
      <c r="E29" s="160"/>
      <c r="F29" s="43" t="s">
        <v>951</v>
      </c>
      <c r="G29" s="61" t="s">
        <v>958</v>
      </c>
    </row>
    <row r="30" spans="1:7" x14ac:dyDescent="0.25">
      <c r="A30" s="150"/>
      <c r="B30" s="88" t="s">
        <v>2108</v>
      </c>
      <c r="C30" s="158" t="s">
        <v>2128</v>
      </c>
      <c r="D30" s="160"/>
      <c r="E30" s="160"/>
      <c r="F30" s="43" t="s">
        <v>946</v>
      </c>
      <c r="G30" s="61" t="s">
        <v>2083</v>
      </c>
    </row>
    <row r="31" spans="1:7" x14ac:dyDescent="0.25">
      <c r="A31" s="150"/>
      <c r="B31" s="108" t="s">
        <v>2109</v>
      </c>
      <c r="C31" s="158" t="s">
        <v>2129</v>
      </c>
      <c r="D31" s="160"/>
      <c r="E31" s="160"/>
      <c r="F31" s="43" t="s">
        <v>946</v>
      </c>
      <c r="G31" s="61" t="s">
        <v>2086</v>
      </c>
    </row>
    <row r="32" spans="1:7" x14ac:dyDescent="0.25">
      <c r="A32" s="150"/>
      <c r="B32" s="108" t="s">
        <v>2110</v>
      </c>
      <c r="C32" s="158" t="s">
        <v>2130</v>
      </c>
      <c r="D32" s="160"/>
      <c r="E32" s="160"/>
      <c r="F32" s="43" t="s">
        <v>946</v>
      </c>
      <c r="G32" s="61" t="s">
        <v>2087</v>
      </c>
    </row>
    <row r="33" spans="1:7" x14ac:dyDescent="0.25">
      <c r="A33" s="150"/>
      <c r="B33" s="108" t="s">
        <v>2111</v>
      </c>
      <c r="C33" s="158" t="s">
        <v>2129</v>
      </c>
      <c r="D33" s="160"/>
      <c r="E33" s="160"/>
      <c r="F33" s="43" t="s">
        <v>946</v>
      </c>
      <c r="G33" s="61" t="s">
        <v>2089</v>
      </c>
    </row>
    <row r="34" spans="1:7" x14ac:dyDescent="0.25">
      <c r="A34" s="150"/>
      <c r="B34" s="108" t="s">
        <v>2112</v>
      </c>
      <c r="C34" s="158" t="s">
        <v>2130</v>
      </c>
      <c r="D34" s="160"/>
      <c r="E34" s="160"/>
      <c r="F34" s="43" t="s">
        <v>946</v>
      </c>
      <c r="G34" s="61" t="s">
        <v>2091</v>
      </c>
    </row>
    <row r="35" spans="1:7" ht="28" x14ac:dyDescent="0.25">
      <c r="A35" s="150"/>
      <c r="B35" s="81" t="s">
        <v>2113</v>
      </c>
      <c r="C35" s="158" t="s">
        <v>2131</v>
      </c>
      <c r="D35" s="160"/>
      <c r="E35" s="160"/>
      <c r="F35" s="43" t="s">
        <v>946</v>
      </c>
      <c r="G35" s="61" t="s">
        <v>956</v>
      </c>
    </row>
    <row r="36" spans="1:7" x14ac:dyDescent="0.25">
      <c r="A36" s="150"/>
      <c r="B36" s="148" t="s">
        <v>82</v>
      </c>
      <c r="C36" s="146"/>
      <c r="D36" s="146"/>
      <c r="E36" s="146"/>
      <c r="F36" s="146"/>
      <c r="G36" s="134"/>
    </row>
    <row r="37" spans="1:7" x14ac:dyDescent="0.25">
      <c r="A37" s="150"/>
      <c r="B37" s="33" t="s">
        <v>46</v>
      </c>
      <c r="C37" s="33" t="s">
        <v>51</v>
      </c>
      <c r="D37" s="73" t="s">
        <v>19</v>
      </c>
      <c r="E37" s="33" t="s">
        <v>52</v>
      </c>
      <c r="F37" s="33" t="s">
        <v>53</v>
      </c>
      <c r="G37" s="33" t="s">
        <v>54</v>
      </c>
    </row>
    <row r="38" spans="1:7" ht="12" customHeight="1" x14ac:dyDescent="0.25">
      <c r="A38" s="150"/>
      <c r="B38" s="37" t="s">
        <v>2108</v>
      </c>
      <c r="C38" s="37" t="s">
        <v>2132</v>
      </c>
      <c r="D38" s="74" t="s">
        <v>2092</v>
      </c>
      <c r="E38" s="37" t="s">
        <v>957</v>
      </c>
      <c r="F38" s="37" t="s">
        <v>2096</v>
      </c>
      <c r="G38" s="37" t="s">
        <v>959</v>
      </c>
    </row>
    <row r="39" spans="1:7" ht="12" customHeight="1" x14ac:dyDescent="0.25">
      <c r="A39" s="150"/>
      <c r="B39" s="37" t="s">
        <v>2107</v>
      </c>
      <c r="C39" s="37" t="s">
        <v>2132</v>
      </c>
      <c r="D39" s="74" t="s">
        <v>2082</v>
      </c>
      <c r="E39" s="37" t="s">
        <v>957</v>
      </c>
      <c r="F39" s="37" t="s">
        <v>2093</v>
      </c>
      <c r="G39" s="37" t="s">
        <v>960</v>
      </c>
    </row>
    <row r="40" spans="1:7" ht="12" customHeight="1" x14ac:dyDescent="0.25">
      <c r="A40" s="150"/>
      <c r="B40" s="37" t="s">
        <v>2110</v>
      </c>
      <c r="C40" s="37" t="s">
        <v>2132</v>
      </c>
      <c r="D40" s="74" t="s">
        <v>2094</v>
      </c>
      <c r="E40" s="37" t="s">
        <v>957</v>
      </c>
      <c r="F40" s="37" t="s">
        <v>2097</v>
      </c>
      <c r="G40" s="37" t="s">
        <v>959</v>
      </c>
    </row>
    <row r="41" spans="1:7" ht="12" customHeight="1" x14ac:dyDescent="0.25">
      <c r="A41" s="150"/>
      <c r="B41" s="37" t="s">
        <v>2109</v>
      </c>
      <c r="C41" s="37" t="s">
        <v>2132</v>
      </c>
      <c r="D41" s="74" t="s">
        <v>2095</v>
      </c>
      <c r="E41" s="37" t="s">
        <v>957</v>
      </c>
      <c r="F41" s="37" t="s">
        <v>2098</v>
      </c>
      <c r="G41" s="37" t="s">
        <v>960</v>
      </c>
    </row>
    <row r="42" spans="1:7" ht="12" customHeight="1" x14ac:dyDescent="0.25">
      <c r="A42" s="150"/>
      <c r="B42" s="37" t="s">
        <v>2111</v>
      </c>
      <c r="C42" s="37" t="s">
        <v>2132</v>
      </c>
      <c r="D42" s="74" t="s">
        <v>2088</v>
      </c>
      <c r="E42" s="37" t="s">
        <v>957</v>
      </c>
      <c r="F42" s="37" t="s">
        <v>2099</v>
      </c>
      <c r="G42" s="37" t="s">
        <v>959</v>
      </c>
    </row>
    <row r="43" spans="1:7" ht="12" customHeight="1" x14ac:dyDescent="0.25">
      <c r="A43" s="150"/>
      <c r="B43" s="37" t="s">
        <v>2112</v>
      </c>
      <c r="C43" s="37" t="s">
        <v>2132</v>
      </c>
      <c r="D43" s="74" t="s">
        <v>2090</v>
      </c>
      <c r="E43" s="37" t="s">
        <v>957</v>
      </c>
      <c r="F43" s="37" t="s">
        <v>2100</v>
      </c>
      <c r="G43" s="37" t="s">
        <v>960</v>
      </c>
    </row>
    <row r="44" spans="1:7" ht="12" customHeight="1" x14ac:dyDescent="0.25">
      <c r="A44" s="150"/>
      <c r="B44" s="37" t="s">
        <v>2113</v>
      </c>
      <c r="C44" s="37" t="s">
        <v>2131</v>
      </c>
      <c r="D44" s="74" t="s">
        <v>961</v>
      </c>
      <c r="E44" s="37" t="s">
        <v>689</v>
      </c>
      <c r="F44" s="37" t="s">
        <v>2081</v>
      </c>
      <c r="G44" s="37" t="s">
        <v>2450</v>
      </c>
    </row>
    <row r="45" spans="1:7" ht="12" customHeight="1" x14ac:dyDescent="0.25">
      <c r="A45" s="141" t="s">
        <v>2106</v>
      </c>
      <c r="B45" s="145" t="s">
        <v>27</v>
      </c>
      <c r="C45" s="146"/>
      <c r="D45" s="146"/>
      <c r="E45" s="146"/>
      <c r="F45" s="146"/>
      <c r="G45" s="134"/>
    </row>
    <row r="46" spans="1:7" ht="12" customHeight="1" x14ac:dyDescent="0.25">
      <c r="A46" s="150"/>
      <c r="B46" s="147" t="s">
        <v>28</v>
      </c>
      <c r="C46" s="146"/>
      <c r="D46" s="146"/>
      <c r="E46" s="146"/>
      <c r="F46" s="146"/>
      <c r="G46" s="134"/>
    </row>
    <row r="47" spans="1:7" ht="12" customHeight="1" x14ac:dyDescent="0.25">
      <c r="A47" s="150"/>
      <c r="B47" s="157" t="s">
        <v>29</v>
      </c>
      <c r="C47" s="33" t="s">
        <v>19</v>
      </c>
      <c r="D47" s="73" t="s">
        <v>30</v>
      </c>
      <c r="E47" s="33" t="s">
        <v>31</v>
      </c>
      <c r="F47" s="34" t="s">
        <v>32</v>
      </c>
      <c r="G47" s="34" t="s">
        <v>33</v>
      </c>
    </row>
    <row r="48" spans="1:7" ht="12" customHeight="1" x14ac:dyDescent="0.25">
      <c r="A48" s="150"/>
      <c r="B48" s="159"/>
      <c r="C48" s="141" t="s">
        <v>946</v>
      </c>
      <c r="D48" s="75" t="s">
        <v>937</v>
      </c>
      <c r="E48" s="75"/>
      <c r="F48" s="152" t="s">
        <v>966</v>
      </c>
      <c r="G48" s="152" t="s">
        <v>2123</v>
      </c>
    </row>
    <row r="49" spans="1:7" ht="12" customHeight="1" x14ac:dyDescent="0.25">
      <c r="A49" s="150"/>
      <c r="B49" s="159"/>
      <c r="C49" s="150"/>
      <c r="D49" s="72" t="s">
        <v>938</v>
      </c>
      <c r="E49" s="61"/>
      <c r="F49" s="150"/>
      <c r="G49" s="150"/>
    </row>
    <row r="50" spans="1:7" ht="12" customHeight="1" x14ac:dyDescent="0.25">
      <c r="A50" s="150"/>
      <c r="B50" s="159"/>
      <c r="C50" s="150"/>
      <c r="D50" s="72" t="s">
        <v>2084</v>
      </c>
      <c r="E50" s="61"/>
      <c r="F50" s="150"/>
      <c r="G50" s="150"/>
    </row>
    <row r="51" spans="1:7" ht="12" customHeight="1" x14ac:dyDescent="0.25">
      <c r="A51" s="150"/>
      <c r="B51" s="159"/>
      <c r="C51" s="150"/>
      <c r="D51" s="72" t="s">
        <v>2085</v>
      </c>
      <c r="E51" s="61"/>
      <c r="F51" s="150"/>
      <c r="G51" s="150"/>
    </row>
    <row r="52" spans="1:7" ht="12" customHeight="1" x14ac:dyDescent="0.25">
      <c r="A52" s="150"/>
      <c r="B52" s="159"/>
      <c r="C52" s="150"/>
      <c r="D52" s="72" t="s">
        <v>939</v>
      </c>
      <c r="E52" s="61"/>
      <c r="F52" s="150"/>
      <c r="G52" s="150"/>
    </row>
    <row r="53" spans="1:7" ht="12" customHeight="1" x14ac:dyDescent="0.25">
      <c r="A53" s="150"/>
      <c r="B53" s="159"/>
      <c r="C53" s="150"/>
      <c r="D53" s="72" t="s">
        <v>940</v>
      </c>
      <c r="E53" s="61"/>
      <c r="F53" s="150"/>
      <c r="G53" s="150"/>
    </row>
    <row r="54" spans="1:7" ht="12" customHeight="1" x14ac:dyDescent="0.25">
      <c r="A54" s="150"/>
      <c r="B54" s="159"/>
      <c r="C54" s="150"/>
      <c r="D54" s="72" t="s">
        <v>941</v>
      </c>
      <c r="E54" s="61"/>
      <c r="F54" s="150"/>
      <c r="G54" s="150"/>
    </row>
    <row r="55" spans="1:7" ht="12" customHeight="1" x14ac:dyDescent="0.25">
      <c r="A55" s="150"/>
      <c r="B55" s="159"/>
      <c r="C55" s="150"/>
      <c r="D55" s="72" t="s">
        <v>942</v>
      </c>
      <c r="E55" s="61"/>
      <c r="F55" s="150"/>
      <c r="G55" s="150"/>
    </row>
    <row r="56" spans="1:7" ht="12" customHeight="1" x14ac:dyDescent="0.25">
      <c r="A56" s="150"/>
      <c r="B56" s="159"/>
      <c r="C56" s="150"/>
      <c r="D56" s="72" t="s">
        <v>943</v>
      </c>
      <c r="E56" s="61"/>
      <c r="F56" s="150"/>
      <c r="G56" s="150"/>
    </row>
    <row r="57" spans="1:7" ht="12" customHeight="1" x14ac:dyDescent="0.25">
      <c r="A57" s="150"/>
      <c r="B57" s="159"/>
      <c r="C57" s="150"/>
      <c r="D57" s="72" t="s">
        <v>944</v>
      </c>
      <c r="E57" s="61"/>
      <c r="F57" s="150"/>
      <c r="G57" s="150"/>
    </row>
    <row r="58" spans="1:7" ht="12" customHeight="1" x14ac:dyDescent="0.25">
      <c r="A58" s="150"/>
      <c r="B58" s="159"/>
      <c r="C58" s="150"/>
      <c r="D58" s="72" t="s">
        <v>2121</v>
      </c>
      <c r="E58" s="61"/>
      <c r="F58" s="150"/>
      <c r="G58" s="150"/>
    </row>
    <row r="59" spans="1:7" ht="12" customHeight="1" x14ac:dyDescent="0.25">
      <c r="A59" s="150"/>
      <c r="B59" s="159"/>
      <c r="C59" s="150"/>
      <c r="D59" s="72" t="s">
        <v>2122</v>
      </c>
      <c r="E59" s="61"/>
      <c r="F59" s="150"/>
      <c r="G59" s="150"/>
    </row>
    <row r="60" spans="1:7" ht="12" customHeight="1" x14ac:dyDescent="0.25">
      <c r="A60" s="150"/>
      <c r="B60" s="159"/>
      <c r="C60" s="151"/>
      <c r="D60" s="72" t="s">
        <v>950</v>
      </c>
      <c r="E60" s="61"/>
      <c r="F60" s="151"/>
      <c r="G60" s="151"/>
    </row>
    <row r="61" spans="1:7" ht="12" customHeight="1" x14ac:dyDescent="0.25">
      <c r="A61" s="150"/>
      <c r="B61" s="147" t="s">
        <v>38</v>
      </c>
      <c r="C61" s="146"/>
      <c r="D61" s="146"/>
      <c r="E61" s="146"/>
      <c r="F61" s="146"/>
      <c r="G61" s="134"/>
    </row>
    <row r="62" spans="1:7" ht="12" customHeight="1" x14ac:dyDescent="0.25">
      <c r="A62" s="150"/>
      <c r="B62" s="157" t="s">
        <v>39</v>
      </c>
      <c r="C62" s="33" t="s">
        <v>19</v>
      </c>
      <c r="D62" s="73" t="s">
        <v>40</v>
      </c>
      <c r="E62" s="33" t="s">
        <v>74</v>
      </c>
      <c r="F62" s="33" t="s">
        <v>75</v>
      </c>
      <c r="G62" s="33" t="s">
        <v>43</v>
      </c>
    </row>
    <row r="63" spans="1:7" ht="12" customHeight="1" x14ac:dyDescent="0.25">
      <c r="A63" s="150"/>
      <c r="B63" s="150"/>
      <c r="C63" s="106" t="s">
        <v>44</v>
      </c>
      <c r="D63" s="61"/>
      <c r="E63" s="61"/>
      <c r="F63" s="61"/>
      <c r="G63" s="61"/>
    </row>
    <row r="64" spans="1:7" ht="12" customHeight="1" x14ac:dyDescent="0.25">
      <c r="A64" s="150"/>
      <c r="B64" s="147" t="s">
        <v>79</v>
      </c>
      <c r="C64" s="146"/>
      <c r="D64" s="146"/>
      <c r="E64" s="146"/>
      <c r="F64" s="146"/>
      <c r="G64" s="134"/>
    </row>
    <row r="65" spans="1:7" ht="12" customHeight="1" x14ac:dyDescent="0.25">
      <c r="A65" s="150"/>
      <c r="B65" s="107" t="s">
        <v>46</v>
      </c>
      <c r="C65" s="147" t="s">
        <v>47</v>
      </c>
      <c r="D65" s="146"/>
      <c r="E65" s="134"/>
      <c r="F65" s="34" t="s">
        <v>48</v>
      </c>
      <c r="G65" s="34" t="s">
        <v>49</v>
      </c>
    </row>
    <row r="66" spans="1:7" ht="12" customHeight="1" x14ac:dyDescent="0.25">
      <c r="A66" s="150"/>
      <c r="B66" s="108" t="s">
        <v>2114</v>
      </c>
      <c r="C66" s="158" t="s">
        <v>2133</v>
      </c>
      <c r="D66" s="160"/>
      <c r="E66" s="160"/>
      <c r="F66" s="43" t="s">
        <v>951</v>
      </c>
      <c r="G66" s="61" t="s">
        <v>958</v>
      </c>
    </row>
    <row r="67" spans="1:7" ht="12" customHeight="1" x14ac:dyDescent="0.25">
      <c r="A67" s="150"/>
      <c r="B67" s="108" t="s">
        <v>2115</v>
      </c>
      <c r="C67" s="158" t="s">
        <v>2134</v>
      </c>
      <c r="D67" s="160"/>
      <c r="E67" s="160"/>
      <c r="F67" s="43" t="s">
        <v>946</v>
      </c>
      <c r="G67" s="61" t="s">
        <v>2083</v>
      </c>
    </row>
    <row r="68" spans="1:7" ht="12" customHeight="1" x14ac:dyDescent="0.25">
      <c r="A68" s="150"/>
      <c r="B68" s="108" t="s">
        <v>2116</v>
      </c>
      <c r="C68" s="158" t="s">
        <v>2135</v>
      </c>
      <c r="D68" s="160"/>
      <c r="E68" s="160"/>
      <c r="F68" s="43" t="s">
        <v>946</v>
      </c>
      <c r="G68" s="61" t="s">
        <v>2086</v>
      </c>
    </row>
    <row r="69" spans="1:7" ht="12" customHeight="1" x14ac:dyDescent="0.25">
      <c r="A69" s="150"/>
      <c r="B69" s="108" t="s">
        <v>2117</v>
      </c>
      <c r="C69" s="158" t="s">
        <v>2136</v>
      </c>
      <c r="D69" s="160"/>
      <c r="E69" s="160"/>
      <c r="F69" s="43" t="s">
        <v>946</v>
      </c>
      <c r="G69" s="61" t="s">
        <v>2087</v>
      </c>
    </row>
    <row r="70" spans="1:7" ht="12" customHeight="1" x14ac:dyDescent="0.25">
      <c r="A70" s="150"/>
      <c r="B70" s="108" t="s">
        <v>2118</v>
      </c>
      <c r="C70" s="158" t="s">
        <v>2135</v>
      </c>
      <c r="D70" s="160"/>
      <c r="E70" s="160"/>
      <c r="F70" s="43" t="s">
        <v>946</v>
      </c>
      <c r="G70" s="61" t="s">
        <v>2089</v>
      </c>
    </row>
    <row r="71" spans="1:7" ht="12" customHeight="1" x14ac:dyDescent="0.25">
      <c r="A71" s="150"/>
      <c r="B71" s="108" t="s">
        <v>2119</v>
      </c>
      <c r="C71" s="158" t="s">
        <v>2136</v>
      </c>
      <c r="D71" s="160"/>
      <c r="E71" s="160"/>
      <c r="F71" s="43" t="s">
        <v>946</v>
      </c>
      <c r="G71" s="61" t="s">
        <v>2091</v>
      </c>
    </row>
    <row r="72" spans="1:7" ht="12" customHeight="1" x14ac:dyDescent="0.25">
      <c r="A72" s="150"/>
      <c r="B72" s="108" t="s">
        <v>2120</v>
      </c>
      <c r="C72" s="158" t="s">
        <v>2137</v>
      </c>
      <c r="D72" s="160"/>
      <c r="E72" s="160"/>
      <c r="F72" s="43" t="s">
        <v>946</v>
      </c>
      <c r="G72" s="61" t="s">
        <v>956</v>
      </c>
    </row>
    <row r="73" spans="1:7" ht="12" customHeight="1" x14ac:dyDescent="0.25">
      <c r="A73" s="150"/>
      <c r="B73" s="148" t="s">
        <v>82</v>
      </c>
      <c r="C73" s="146"/>
      <c r="D73" s="146"/>
      <c r="E73" s="146"/>
      <c r="F73" s="146"/>
      <c r="G73" s="134"/>
    </row>
    <row r="74" spans="1:7" ht="12" customHeight="1" x14ac:dyDescent="0.25">
      <c r="A74" s="150"/>
      <c r="B74" s="33" t="s">
        <v>46</v>
      </c>
      <c r="C74" s="33" t="s">
        <v>51</v>
      </c>
      <c r="D74" s="73" t="s">
        <v>19</v>
      </c>
      <c r="E74" s="33" t="s">
        <v>52</v>
      </c>
      <c r="F74" s="33" t="s">
        <v>53</v>
      </c>
      <c r="G74" s="33" t="s">
        <v>54</v>
      </c>
    </row>
    <row r="75" spans="1:7" ht="12" customHeight="1" x14ac:dyDescent="0.25">
      <c r="A75" s="150"/>
      <c r="B75" s="37" t="s">
        <v>2115</v>
      </c>
      <c r="C75" s="37" t="s">
        <v>2225</v>
      </c>
      <c r="D75" s="74" t="s">
        <v>2092</v>
      </c>
      <c r="E75" s="37" t="s">
        <v>957</v>
      </c>
      <c r="F75" s="37" t="s">
        <v>2096</v>
      </c>
      <c r="G75" s="37" t="s">
        <v>959</v>
      </c>
    </row>
    <row r="76" spans="1:7" ht="12" customHeight="1" x14ac:dyDescent="0.25">
      <c r="A76" s="150"/>
      <c r="B76" s="37" t="s">
        <v>2114</v>
      </c>
      <c r="C76" s="37" t="s">
        <v>2225</v>
      </c>
      <c r="D76" s="74" t="s">
        <v>2082</v>
      </c>
      <c r="E76" s="37" t="s">
        <v>957</v>
      </c>
      <c r="F76" s="37" t="s">
        <v>2093</v>
      </c>
      <c r="G76" s="37" t="s">
        <v>960</v>
      </c>
    </row>
    <row r="77" spans="1:7" ht="12" customHeight="1" x14ac:dyDescent="0.25">
      <c r="A77" s="150"/>
      <c r="B77" s="37" t="s">
        <v>2117</v>
      </c>
      <c r="C77" s="37" t="s">
        <v>2225</v>
      </c>
      <c r="D77" s="74" t="s">
        <v>2094</v>
      </c>
      <c r="E77" s="37" t="s">
        <v>957</v>
      </c>
      <c r="F77" s="37" t="s">
        <v>2097</v>
      </c>
      <c r="G77" s="37" t="s">
        <v>959</v>
      </c>
    </row>
    <row r="78" spans="1:7" ht="12" customHeight="1" x14ac:dyDescent="0.25">
      <c r="A78" s="150"/>
      <c r="B78" s="37" t="s">
        <v>2116</v>
      </c>
      <c r="C78" s="37" t="s">
        <v>2225</v>
      </c>
      <c r="D78" s="74" t="s">
        <v>2095</v>
      </c>
      <c r="E78" s="37" t="s">
        <v>957</v>
      </c>
      <c r="F78" s="37" t="s">
        <v>2098</v>
      </c>
      <c r="G78" s="37" t="s">
        <v>960</v>
      </c>
    </row>
    <row r="79" spans="1:7" ht="12" customHeight="1" x14ac:dyDescent="0.25">
      <c r="A79" s="150"/>
      <c r="B79" s="37" t="s">
        <v>2118</v>
      </c>
      <c r="C79" s="37" t="s">
        <v>2225</v>
      </c>
      <c r="D79" s="74" t="s">
        <v>2088</v>
      </c>
      <c r="E79" s="37" t="s">
        <v>957</v>
      </c>
      <c r="F79" s="37" t="s">
        <v>2099</v>
      </c>
      <c r="G79" s="37" t="s">
        <v>959</v>
      </c>
    </row>
    <row r="80" spans="1:7" ht="12" customHeight="1" x14ac:dyDescent="0.25">
      <c r="A80" s="150"/>
      <c r="B80" s="37" t="s">
        <v>2119</v>
      </c>
      <c r="C80" s="37" t="s">
        <v>2225</v>
      </c>
      <c r="D80" s="74" t="s">
        <v>2090</v>
      </c>
      <c r="E80" s="37" t="s">
        <v>957</v>
      </c>
      <c r="F80" s="37" t="s">
        <v>2100</v>
      </c>
      <c r="G80" s="37" t="s">
        <v>960</v>
      </c>
    </row>
    <row r="81" spans="1:7" ht="12" customHeight="1" x14ac:dyDescent="0.25">
      <c r="A81" s="150"/>
      <c r="B81" s="37" t="s">
        <v>2120</v>
      </c>
      <c r="C81" s="37" t="s">
        <v>2137</v>
      </c>
      <c r="D81" s="74" t="s">
        <v>2124</v>
      </c>
      <c r="E81" s="37" t="s">
        <v>361</v>
      </c>
      <c r="F81" s="37" t="s">
        <v>2081</v>
      </c>
      <c r="G81" s="37" t="s">
        <v>2450</v>
      </c>
    </row>
    <row r="82" spans="1:7" ht="14.15" customHeight="1" x14ac:dyDescent="0.25">
      <c r="A82" s="164" t="s">
        <v>947</v>
      </c>
      <c r="B82" s="145" t="s">
        <v>27</v>
      </c>
      <c r="C82" s="146"/>
      <c r="D82" s="146"/>
      <c r="E82" s="146"/>
      <c r="F82" s="146"/>
      <c r="G82" s="134"/>
    </row>
    <row r="83" spans="1:7" x14ac:dyDescent="0.25">
      <c r="A83" s="153"/>
      <c r="B83" s="147" t="s">
        <v>28</v>
      </c>
      <c r="C83" s="146"/>
      <c r="D83" s="146"/>
      <c r="E83" s="146"/>
      <c r="F83" s="146"/>
      <c r="G83" s="134"/>
    </row>
    <row r="84" spans="1:7" x14ac:dyDescent="0.25">
      <c r="A84" s="153"/>
      <c r="B84" s="161" t="s">
        <v>29</v>
      </c>
      <c r="C84" s="33" t="s">
        <v>19</v>
      </c>
      <c r="D84" s="73" t="s">
        <v>30</v>
      </c>
      <c r="E84" s="33" t="s">
        <v>31</v>
      </c>
      <c r="F84" s="34" t="s">
        <v>32</v>
      </c>
      <c r="G84" s="34" t="s">
        <v>33</v>
      </c>
    </row>
    <row r="85" spans="1:7" x14ac:dyDescent="0.25">
      <c r="A85" s="153"/>
      <c r="B85" s="159"/>
      <c r="C85" s="164" t="s">
        <v>2074</v>
      </c>
      <c r="D85" s="94" t="s">
        <v>963</v>
      </c>
      <c r="E85" s="95"/>
      <c r="F85" s="164" t="s">
        <v>998</v>
      </c>
      <c r="G85" s="166" t="s">
        <v>1004</v>
      </c>
    </row>
    <row r="86" spans="1:7" x14ac:dyDescent="0.25">
      <c r="A86" s="153"/>
      <c r="B86" s="159"/>
      <c r="C86" s="165"/>
      <c r="D86" s="94" t="s">
        <v>964</v>
      </c>
      <c r="E86" s="95"/>
      <c r="F86" s="165"/>
      <c r="G86" s="167"/>
    </row>
    <row r="87" spans="1:7" ht="14.15" customHeight="1" x14ac:dyDescent="0.25">
      <c r="A87" s="153"/>
      <c r="B87" s="159"/>
      <c r="C87" s="164" t="s">
        <v>969</v>
      </c>
      <c r="D87" s="72" t="s">
        <v>939</v>
      </c>
      <c r="E87" s="75"/>
      <c r="F87" s="164" t="s">
        <v>999</v>
      </c>
      <c r="G87" s="166" t="s">
        <v>1005</v>
      </c>
    </row>
    <row r="88" spans="1:7" x14ac:dyDescent="0.25">
      <c r="A88" s="153"/>
      <c r="B88" s="159"/>
      <c r="C88" s="165"/>
      <c r="D88" s="72" t="s">
        <v>940</v>
      </c>
      <c r="E88" s="61"/>
      <c r="F88" s="165"/>
      <c r="G88" s="167"/>
    </row>
    <row r="89" spans="1:7" x14ac:dyDescent="0.25">
      <c r="A89" s="153"/>
      <c r="B89" s="159"/>
      <c r="C89" s="164" t="s">
        <v>970</v>
      </c>
      <c r="D89" s="72" t="s">
        <v>941</v>
      </c>
      <c r="E89" s="61"/>
      <c r="F89" s="164" t="s">
        <v>967</v>
      </c>
      <c r="G89" s="166" t="s">
        <v>1006</v>
      </c>
    </row>
    <row r="90" spans="1:7" x14ac:dyDescent="0.25">
      <c r="A90" s="153"/>
      <c r="B90" s="159"/>
      <c r="C90" s="165"/>
      <c r="D90" s="72" t="s">
        <v>596</v>
      </c>
      <c r="E90" s="61"/>
      <c r="F90" s="165"/>
      <c r="G90" s="167"/>
    </row>
    <row r="91" spans="1:7" x14ac:dyDescent="0.25">
      <c r="A91" s="153"/>
      <c r="B91" s="159"/>
      <c r="C91" s="164" t="s">
        <v>971</v>
      </c>
      <c r="D91" s="72" t="s">
        <v>943</v>
      </c>
      <c r="E91" s="61"/>
      <c r="F91" s="164" t="s">
        <v>1000</v>
      </c>
      <c r="G91" s="166" t="s">
        <v>1007</v>
      </c>
    </row>
    <row r="92" spans="1:7" x14ac:dyDescent="0.25">
      <c r="A92" s="153"/>
      <c r="B92" s="159"/>
      <c r="C92" s="165"/>
      <c r="D92" s="72" t="s">
        <v>944</v>
      </c>
      <c r="E92" s="61"/>
      <c r="F92" s="165"/>
      <c r="G92" s="167"/>
    </row>
    <row r="93" spans="1:7" x14ac:dyDescent="0.25">
      <c r="A93" s="153"/>
      <c r="B93" s="159"/>
      <c r="C93" s="84" t="s">
        <v>945</v>
      </c>
      <c r="D93" s="72" t="s">
        <v>945</v>
      </c>
      <c r="E93" s="61"/>
      <c r="F93" s="97" t="s">
        <v>999</v>
      </c>
      <c r="G93" s="98" t="s">
        <v>1008</v>
      </c>
    </row>
    <row r="94" spans="1:7" x14ac:dyDescent="0.25">
      <c r="A94" s="153"/>
      <c r="B94" s="147" t="s">
        <v>38</v>
      </c>
      <c r="C94" s="146"/>
      <c r="D94" s="146"/>
      <c r="E94" s="146"/>
      <c r="F94" s="146"/>
      <c r="G94" s="134"/>
    </row>
    <row r="95" spans="1:7" x14ac:dyDescent="0.25">
      <c r="A95" s="153"/>
      <c r="B95" s="157" t="s">
        <v>39</v>
      </c>
      <c r="C95" s="33" t="s">
        <v>19</v>
      </c>
      <c r="D95" s="73" t="s">
        <v>40</v>
      </c>
      <c r="E95" s="33" t="s">
        <v>74</v>
      </c>
      <c r="F95" s="33" t="s">
        <v>75</v>
      </c>
      <c r="G95" s="33" t="s">
        <v>43</v>
      </c>
    </row>
    <row r="96" spans="1:7" x14ac:dyDescent="0.25">
      <c r="A96" s="153"/>
      <c r="B96" s="159"/>
      <c r="C96" s="164" t="s">
        <v>1029</v>
      </c>
      <c r="D96" s="94" t="s">
        <v>963</v>
      </c>
      <c r="E96" s="164" t="s">
        <v>1034</v>
      </c>
      <c r="F96" s="164" t="s">
        <v>1015</v>
      </c>
      <c r="G96" s="84"/>
    </row>
    <row r="97" spans="1:7" x14ac:dyDescent="0.25">
      <c r="A97" s="153"/>
      <c r="B97" s="159"/>
      <c r="C97" s="165"/>
      <c r="D97" s="94" t="s">
        <v>964</v>
      </c>
      <c r="E97" s="165"/>
      <c r="F97" s="165"/>
      <c r="G97" s="84"/>
    </row>
    <row r="98" spans="1:7" ht="28" x14ac:dyDescent="0.25">
      <c r="A98" s="153"/>
      <c r="B98" s="159"/>
      <c r="C98" s="164" t="s">
        <v>1030</v>
      </c>
      <c r="D98" s="72" t="s">
        <v>939</v>
      </c>
      <c r="E98" s="164" t="s">
        <v>1031</v>
      </c>
      <c r="F98" s="84" t="s">
        <v>1016</v>
      </c>
      <c r="G98" s="86" t="s">
        <v>976</v>
      </c>
    </row>
    <row r="99" spans="1:7" ht="28" x14ac:dyDescent="0.25">
      <c r="A99" s="153"/>
      <c r="B99" s="159"/>
      <c r="C99" s="165"/>
      <c r="D99" s="72" t="s">
        <v>940</v>
      </c>
      <c r="E99" s="165"/>
      <c r="F99" s="84" t="s">
        <v>1017</v>
      </c>
      <c r="G99" s="86" t="s">
        <v>974</v>
      </c>
    </row>
    <row r="100" spans="1:7" x14ac:dyDescent="0.25">
      <c r="A100" s="153"/>
      <c r="B100" s="159"/>
      <c r="C100" s="164" t="s">
        <v>970</v>
      </c>
      <c r="D100" s="72" t="s">
        <v>941</v>
      </c>
      <c r="E100" s="164" t="s">
        <v>1032</v>
      </c>
      <c r="F100" s="164" t="s">
        <v>1016</v>
      </c>
      <c r="G100" s="86" t="s">
        <v>975</v>
      </c>
    </row>
    <row r="101" spans="1:7" x14ac:dyDescent="0.25">
      <c r="A101" s="153"/>
      <c r="B101" s="159"/>
      <c r="C101" s="165"/>
      <c r="D101" s="72" t="s">
        <v>596</v>
      </c>
      <c r="E101" s="165"/>
      <c r="F101" s="165"/>
      <c r="G101" s="86" t="s">
        <v>973</v>
      </c>
    </row>
    <row r="102" spans="1:7" x14ac:dyDescent="0.25">
      <c r="A102" s="153"/>
      <c r="B102" s="159"/>
      <c r="C102" s="164" t="s">
        <v>971</v>
      </c>
      <c r="D102" s="72" t="s">
        <v>943</v>
      </c>
      <c r="E102" s="164" t="s">
        <v>1033</v>
      </c>
      <c r="F102" s="164" t="s">
        <v>1003</v>
      </c>
      <c r="G102" s="84"/>
    </row>
    <row r="103" spans="1:7" x14ac:dyDescent="0.25">
      <c r="A103" s="153"/>
      <c r="B103" s="159"/>
      <c r="C103" s="165"/>
      <c r="D103" s="72" t="s">
        <v>944</v>
      </c>
      <c r="E103" s="165"/>
      <c r="F103" s="165"/>
      <c r="G103" s="84"/>
    </row>
    <row r="104" spans="1:7" ht="56" x14ac:dyDescent="0.25">
      <c r="A104" s="153"/>
      <c r="B104" s="159"/>
      <c r="C104" s="84" t="s">
        <v>945</v>
      </c>
      <c r="D104" s="72" t="s">
        <v>945</v>
      </c>
      <c r="E104" s="84" t="s">
        <v>1035</v>
      </c>
      <c r="F104" s="84" t="s">
        <v>1002</v>
      </c>
      <c r="G104" s="86" t="s">
        <v>994</v>
      </c>
    </row>
    <row r="105" spans="1:7" x14ac:dyDescent="0.25">
      <c r="A105" s="153"/>
      <c r="B105" s="147" t="s">
        <v>79</v>
      </c>
      <c r="C105" s="146"/>
      <c r="D105" s="146"/>
      <c r="E105" s="146"/>
      <c r="F105" s="146"/>
      <c r="G105" s="134"/>
    </row>
    <row r="106" spans="1:7" x14ac:dyDescent="0.25">
      <c r="A106" s="153"/>
      <c r="B106" s="80" t="s">
        <v>46</v>
      </c>
      <c r="C106" s="147" t="s">
        <v>47</v>
      </c>
      <c r="D106" s="146"/>
      <c r="E106" s="134"/>
      <c r="F106" s="34" t="s">
        <v>48</v>
      </c>
      <c r="G106" s="34" t="s">
        <v>49</v>
      </c>
    </row>
    <row r="107" spans="1:7" ht="28" x14ac:dyDescent="0.25">
      <c r="A107" s="153"/>
      <c r="B107" s="88" t="s">
        <v>980</v>
      </c>
      <c r="C107" s="158" t="s">
        <v>2075</v>
      </c>
      <c r="D107" s="160"/>
      <c r="E107" s="160"/>
      <c r="F107" s="43" t="s">
        <v>983</v>
      </c>
      <c r="G107" s="61" t="s">
        <v>990</v>
      </c>
    </row>
    <row r="108" spans="1:7" ht="28" x14ac:dyDescent="0.25">
      <c r="A108" s="153"/>
      <c r="B108" s="88" t="s">
        <v>982</v>
      </c>
      <c r="C108" s="158" t="s">
        <v>1048</v>
      </c>
      <c r="D108" s="160"/>
      <c r="E108" s="160"/>
      <c r="F108" s="43" t="s">
        <v>983</v>
      </c>
      <c r="G108" s="61" t="s">
        <v>987</v>
      </c>
    </row>
    <row r="109" spans="1:7" ht="28" x14ac:dyDescent="0.25">
      <c r="A109" s="153"/>
      <c r="B109" s="88" t="s">
        <v>992</v>
      </c>
      <c r="C109" s="158" t="s">
        <v>2076</v>
      </c>
      <c r="D109" s="160"/>
      <c r="E109" s="160"/>
      <c r="F109" s="43" t="s">
        <v>983</v>
      </c>
      <c r="G109" s="61" t="s">
        <v>989</v>
      </c>
    </row>
    <row r="110" spans="1:7" ht="56" x14ac:dyDescent="0.25">
      <c r="A110" s="153"/>
      <c r="B110" s="88" t="s">
        <v>996</v>
      </c>
      <c r="C110" s="158" t="s">
        <v>1049</v>
      </c>
      <c r="D110" s="160"/>
      <c r="E110" s="160"/>
      <c r="F110" s="43" t="s">
        <v>984</v>
      </c>
      <c r="G110" s="61" t="s">
        <v>1001</v>
      </c>
    </row>
    <row r="111" spans="1:7" x14ac:dyDescent="0.25">
      <c r="A111" s="153"/>
      <c r="B111" s="148" t="s">
        <v>82</v>
      </c>
      <c r="C111" s="146"/>
      <c r="D111" s="146"/>
      <c r="E111" s="146"/>
      <c r="F111" s="146"/>
      <c r="G111" s="134"/>
    </row>
    <row r="112" spans="1:7" x14ac:dyDescent="0.25">
      <c r="A112" s="153"/>
      <c r="B112" s="33" t="s">
        <v>46</v>
      </c>
      <c r="C112" s="33" t="s">
        <v>51</v>
      </c>
      <c r="D112" s="73" t="s">
        <v>19</v>
      </c>
      <c r="E112" s="33" t="s">
        <v>52</v>
      </c>
      <c r="F112" s="33" t="s">
        <v>53</v>
      </c>
      <c r="G112" s="33" t="s">
        <v>54</v>
      </c>
    </row>
    <row r="113" spans="1:7" ht="14.15" customHeight="1" x14ac:dyDescent="0.25">
      <c r="A113" s="153"/>
      <c r="B113" s="37" t="s">
        <v>979</v>
      </c>
      <c r="C113" s="37" t="s">
        <v>2080</v>
      </c>
      <c r="D113" s="74" t="s">
        <v>985</v>
      </c>
      <c r="E113" s="37" t="s">
        <v>689</v>
      </c>
      <c r="F113" s="37" t="s">
        <v>1075</v>
      </c>
      <c r="G113" s="37" t="s">
        <v>960</v>
      </c>
    </row>
    <row r="114" spans="1:7" ht="14.15" customHeight="1" x14ac:dyDescent="0.25">
      <c r="A114" s="153"/>
      <c r="B114" s="37" t="s">
        <v>981</v>
      </c>
      <c r="C114" s="37" t="s">
        <v>2079</v>
      </c>
      <c r="D114" s="74" t="s">
        <v>986</v>
      </c>
      <c r="E114" s="37" t="s">
        <v>972</v>
      </c>
      <c r="F114" s="37" t="s">
        <v>1074</v>
      </c>
      <c r="G114" s="37" t="s">
        <v>960</v>
      </c>
    </row>
    <row r="115" spans="1:7" ht="14.15" customHeight="1" x14ac:dyDescent="0.25">
      <c r="A115" s="153"/>
      <c r="B115" s="37" t="s">
        <v>993</v>
      </c>
      <c r="C115" s="37" t="s">
        <v>2077</v>
      </c>
      <c r="D115" s="74" t="s">
        <v>988</v>
      </c>
      <c r="E115" s="37" t="s">
        <v>689</v>
      </c>
      <c r="F115" s="37" t="s">
        <v>991</v>
      </c>
      <c r="G115" s="37" t="s">
        <v>960</v>
      </c>
    </row>
    <row r="116" spans="1:7" ht="14.15" customHeight="1" x14ac:dyDescent="0.25">
      <c r="A116" s="153"/>
      <c r="B116" s="37" t="s">
        <v>995</v>
      </c>
      <c r="C116" s="37" t="s">
        <v>2078</v>
      </c>
      <c r="D116" s="74" t="s">
        <v>997</v>
      </c>
      <c r="E116" s="37" t="s">
        <v>689</v>
      </c>
      <c r="F116" s="37" t="s">
        <v>1073</v>
      </c>
      <c r="G116" s="37" t="s">
        <v>960</v>
      </c>
    </row>
    <row r="117" spans="1:7" ht="14.15" customHeight="1" x14ac:dyDescent="0.25">
      <c r="A117" s="165"/>
      <c r="B117" s="37" t="s">
        <v>2101</v>
      </c>
      <c r="C117" s="37" t="s">
        <v>2103</v>
      </c>
      <c r="D117" s="74" t="s">
        <v>997</v>
      </c>
      <c r="E117" s="37" t="s">
        <v>361</v>
      </c>
      <c r="F117" s="37" t="s">
        <v>2102</v>
      </c>
      <c r="G117" s="37" t="s">
        <v>960</v>
      </c>
    </row>
    <row r="118" spans="1:7" x14ac:dyDescent="0.25">
      <c r="A118" s="141" t="s">
        <v>948</v>
      </c>
      <c r="B118" s="145" t="s">
        <v>27</v>
      </c>
      <c r="C118" s="146"/>
      <c r="D118" s="146"/>
      <c r="E118" s="146"/>
      <c r="F118" s="146"/>
      <c r="G118" s="134"/>
    </row>
    <row r="119" spans="1:7" x14ac:dyDescent="0.25">
      <c r="A119" s="150"/>
      <c r="B119" s="147" t="s">
        <v>28</v>
      </c>
      <c r="C119" s="146"/>
      <c r="D119" s="146"/>
      <c r="E119" s="146"/>
      <c r="F119" s="146"/>
      <c r="G119" s="134"/>
    </row>
    <row r="120" spans="1:7" x14ac:dyDescent="0.25">
      <c r="A120" s="150"/>
      <c r="B120" s="161" t="s">
        <v>29</v>
      </c>
      <c r="C120" s="33" t="s">
        <v>19</v>
      </c>
      <c r="D120" s="73" t="s">
        <v>30</v>
      </c>
      <c r="E120" s="33" t="s">
        <v>31</v>
      </c>
      <c r="F120" s="34" t="s">
        <v>32</v>
      </c>
      <c r="G120" s="34" t="s">
        <v>33</v>
      </c>
    </row>
    <row r="121" spans="1:7" ht="14.15" customHeight="1" x14ac:dyDescent="0.25">
      <c r="A121" s="150"/>
      <c r="B121" s="159"/>
      <c r="C121" s="164" t="s">
        <v>968</v>
      </c>
      <c r="D121" s="94" t="s">
        <v>963</v>
      </c>
      <c r="E121" s="75"/>
      <c r="F121" s="164" t="s">
        <v>998</v>
      </c>
      <c r="G121" s="166" t="s">
        <v>1027</v>
      </c>
    </row>
    <row r="122" spans="1:7" x14ac:dyDescent="0.25">
      <c r="A122" s="150"/>
      <c r="B122" s="159"/>
      <c r="C122" s="165"/>
      <c r="D122" s="94" t="s">
        <v>964</v>
      </c>
      <c r="E122" s="61"/>
      <c r="F122" s="165"/>
      <c r="G122" s="167"/>
    </row>
    <row r="123" spans="1:7" x14ac:dyDescent="0.25">
      <c r="A123" s="150"/>
      <c r="B123" s="159"/>
      <c r="C123" s="164" t="s">
        <v>969</v>
      </c>
      <c r="D123" s="72" t="s">
        <v>939</v>
      </c>
      <c r="E123" s="61"/>
      <c r="F123" s="164" t="s">
        <v>999</v>
      </c>
      <c r="G123" s="166" t="s">
        <v>1005</v>
      </c>
    </row>
    <row r="124" spans="1:7" x14ac:dyDescent="0.25">
      <c r="A124" s="150"/>
      <c r="B124" s="159"/>
      <c r="C124" s="165"/>
      <c r="D124" s="72" t="s">
        <v>940</v>
      </c>
      <c r="E124" s="61"/>
      <c r="F124" s="165"/>
      <c r="G124" s="167"/>
    </row>
    <row r="125" spans="1:7" x14ac:dyDescent="0.25">
      <c r="A125" s="150"/>
      <c r="B125" s="159"/>
      <c r="C125" s="164" t="s">
        <v>970</v>
      </c>
      <c r="D125" s="72" t="s">
        <v>941</v>
      </c>
      <c r="E125" s="61"/>
      <c r="F125" s="164" t="s">
        <v>967</v>
      </c>
      <c r="G125" s="166" t="s">
        <v>1006</v>
      </c>
    </row>
    <row r="126" spans="1:7" x14ac:dyDescent="0.25">
      <c r="A126" s="150"/>
      <c r="B126" s="159"/>
      <c r="C126" s="165"/>
      <c r="D126" s="72" t="s">
        <v>596</v>
      </c>
      <c r="E126" s="61"/>
      <c r="F126" s="165"/>
      <c r="G126" s="167"/>
    </row>
    <row r="127" spans="1:7" x14ac:dyDescent="0.25">
      <c r="A127" s="150"/>
      <c r="B127" s="159"/>
      <c r="C127" s="164" t="s">
        <v>971</v>
      </c>
      <c r="D127" s="72" t="s">
        <v>943</v>
      </c>
      <c r="E127" s="61"/>
      <c r="F127" s="164" t="s">
        <v>1000</v>
      </c>
      <c r="G127" s="166" t="s">
        <v>1007</v>
      </c>
    </row>
    <row r="128" spans="1:7" x14ac:dyDescent="0.25">
      <c r="A128" s="150"/>
      <c r="B128" s="159"/>
      <c r="C128" s="165"/>
      <c r="D128" s="72" t="s">
        <v>944</v>
      </c>
      <c r="E128" s="61"/>
      <c r="F128" s="165"/>
      <c r="G128" s="167"/>
    </row>
    <row r="129" spans="1:7" x14ac:dyDescent="0.25">
      <c r="A129" s="150"/>
      <c r="B129" s="159"/>
      <c r="C129" s="99" t="s">
        <v>945</v>
      </c>
      <c r="D129" s="100" t="s">
        <v>945</v>
      </c>
      <c r="E129" s="61"/>
      <c r="F129" s="97" t="s">
        <v>999</v>
      </c>
      <c r="G129" s="98" t="s">
        <v>1008</v>
      </c>
    </row>
    <row r="130" spans="1:7" x14ac:dyDescent="0.25">
      <c r="A130" s="150"/>
      <c r="B130" s="159"/>
      <c r="C130" s="162" t="s">
        <v>1009</v>
      </c>
      <c r="D130" s="72" t="s">
        <v>1010</v>
      </c>
      <c r="E130" s="61"/>
      <c r="F130" s="152" t="s">
        <v>965</v>
      </c>
      <c r="G130" s="152" t="s">
        <v>1014</v>
      </c>
    </row>
    <row r="131" spans="1:7" x14ac:dyDescent="0.25">
      <c r="A131" s="150"/>
      <c r="B131" s="159"/>
      <c r="C131" s="162"/>
      <c r="D131" s="72" t="s">
        <v>1011</v>
      </c>
      <c r="E131" s="61"/>
      <c r="F131" s="160"/>
      <c r="G131" s="160"/>
    </row>
    <row r="132" spans="1:7" x14ac:dyDescent="0.25">
      <c r="A132" s="150"/>
      <c r="B132" s="159"/>
      <c r="C132" s="162"/>
      <c r="D132" s="72" t="s">
        <v>1012</v>
      </c>
      <c r="E132" s="61"/>
      <c r="F132" s="160"/>
      <c r="G132" s="160"/>
    </row>
    <row r="133" spans="1:7" x14ac:dyDescent="0.25">
      <c r="A133" s="150"/>
      <c r="B133" s="159"/>
      <c r="C133" s="162"/>
      <c r="D133" s="72" t="s">
        <v>1013</v>
      </c>
      <c r="E133" s="61"/>
      <c r="F133" s="160"/>
      <c r="G133" s="160"/>
    </row>
    <row r="134" spans="1:7" x14ac:dyDescent="0.25">
      <c r="A134" s="150"/>
      <c r="B134" s="147" t="s">
        <v>38</v>
      </c>
      <c r="C134" s="146"/>
      <c r="D134" s="146"/>
      <c r="E134" s="146"/>
      <c r="F134" s="146"/>
      <c r="G134" s="134"/>
    </row>
    <row r="135" spans="1:7" x14ac:dyDescent="0.25">
      <c r="A135" s="150"/>
      <c r="B135" s="161" t="s">
        <v>39</v>
      </c>
      <c r="C135" s="33" t="s">
        <v>19</v>
      </c>
      <c r="D135" s="73" t="s">
        <v>40</v>
      </c>
      <c r="E135" s="33" t="s">
        <v>74</v>
      </c>
      <c r="F135" s="33" t="s">
        <v>75</v>
      </c>
      <c r="G135" s="33" t="s">
        <v>43</v>
      </c>
    </row>
    <row r="136" spans="1:7" x14ac:dyDescent="0.25">
      <c r="A136" s="150"/>
      <c r="B136" s="159"/>
      <c r="C136" s="84" t="s">
        <v>1025</v>
      </c>
      <c r="D136" s="61" t="s">
        <v>1028</v>
      </c>
      <c r="E136" s="61"/>
      <c r="F136" s="61" t="s">
        <v>1026</v>
      </c>
      <c r="G136" s="61"/>
    </row>
    <row r="137" spans="1:7" x14ac:dyDescent="0.25">
      <c r="A137" s="150"/>
      <c r="B137" s="159"/>
      <c r="C137" s="141" t="s">
        <v>969</v>
      </c>
      <c r="D137" s="72" t="s">
        <v>939</v>
      </c>
      <c r="E137" s="61"/>
      <c r="F137" s="61"/>
      <c r="G137" s="61"/>
    </row>
    <row r="138" spans="1:7" x14ac:dyDescent="0.25">
      <c r="A138" s="150"/>
      <c r="B138" s="159"/>
      <c r="C138" s="141"/>
      <c r="D138" s="72" t="s">
        <v>940</v>
      </c>
      <c r="E138" s="61"/>
      <c r="F138" s="61"/>
      <c r="G138" s="61"/>
    </row>
    <row r="139" spans="1:7" x14ac:dyDescent="0.25">
      <c r="A139" s="150"/>
      <c r="B139" s="159"/>
      <c r="C139" s="141" t="s">
        <v>970</v>
      </c>
      <c r="D139" s="72" t="s">
        <v>941</v>
      </c>
      <c r="E139" s="61"/>
      <c r="F139" s="61"/>
      <c r="G139" s="61"/>
    </row>
    <row r="140" spans="1:7" x14ac:dyDescent="0.25">
      <c r="A140" s="150"/>
      <c r="B140" s="159"/>
      <c r="C140" s="141"/>
      <c r="D140" s="72" t="s">
        <v>596</v>
      </c>
      <c r="E140" s="61"/>
      <c r="F140" s="61"/>
      <c r="G140" s="61"/>
    </row>
    <row r="141" spans="1:7" x14ac:dyDescent="0.25">
      <c r="A141" s="150"/>
      <c r="B141" s="159"/>
      <c r="C141" s="141" t="s">
        <v>971</v>
      </c>
      <c r="D141" s="72" t="s">
        <v>943</v>
      </c>
      <c r="E141" s="61"/>
      <c r="F141" s="61"/>
      <c r="G141" s="61"/>
    </row>
    <row r="142" spans="1:7" x14ac:dyDescent="0.25">
      <c r="A142" s="150"/>
      <c r="B142" s="159"/>
      <c r="C142" s="141"/>
      <c r="D142" s="72" t="s">
        <v>944</v>
      </c>
      <c r="E142" s="61"/>
      <c r="F142" s="61"/>
      <c r="G142" s="61"/>
    </row>
    <row r="143" spans="1:7" x14ac:dyDescent="0.25">
      <c r="A143" s="150"/>
      <c r="B143" s="159"/>
      <c r="C143" s="162" t="s">
        <v>1009</v>
      </c>
      <c r="D143" s="72" t="s">
        <v>1010</v>
      </c>
      <c r="E143" s="61" t="s">
        <v>1037</v>
      </c>
      <c r="F143" s="61"/>
      <c r="G143" s="61" t="s">
        <v>1040</v>
      </c>
    </row>
    <row r="144" spans="1:7" x14ac:dyDescent="0.25">
      <c r="A144" s="150"/>
      <c r="B144" s="159"/>
      <c r="C144" s="162"/>
      <c r="D144" s="72" t="s">
        <v>1011</v>
      </c>
      <c r="E144" s="61" t="s">
        <v>1038</v>
      </c>
      <c r="F144" s="61"/>
      <c r="G144" s="61" t="s">
        <v>1043</v>
      </c>
    </row>
    <row r="145" spans="1:7" x14ac:dyDescent="0.25">
      <c r="A145" s="150"/>
      <c r="B145" s="159"/>
      <c r="C145" s="162"/>
      <c r="D145" s="72" t="s">
        <v>1012</v>
      </c>
      <c r="E145" s="61" t="s">
        <v>1036</v>
      </c>
      <c r="F145" s="61"/>
      <c r="G145" s="61" t="s">
        <v>1041</v>
      </c>
    </row>
    <row r="146" spans="1:7" x14ac:dyDescent="0.25">
      <c r="A146" s="150"/>
      <c r="B146" s="168"/>
      <c r="C146" s="162"/>
      <c r="D146" s="72" t="s">
        <v>1013</v>
      </c>
      <c r="E146" s="61" t="s">
        <v>1039</v>
      </c>
      <c r="F146" s="61"/>
      <c r="G146" s="61" t="s">
        <v>1039</v>
      </c>
    </row>
    <row r="147" spans="1:7" x14ac:dyDescent="0.25">
      <c r="A147" s="150"/>
      <c r="B147" s="147" t="s">
        <v>79</v>
      </c>
      <c r="C147" s="146"/>
      <c r="D147" s="146"/>
      <c r="E147" s="146"/>
      <c r="F147" s="146"/>
      <c r="G147" s="134"/>
    </row>
    <row r="148" spans="1:7" x14ac:dyDescent="0.25">
      <c r="A148" s="150"/>
      <c r="B148" s="80" t="s">
        <v>46</v>
      </c>
      <c r="C148" s="147" t="s">
        <v>47</v>
      </c>
      <c r="D148" s="146"/>
      <c r="E148" s="134"/>
      <c r="F148" s="34" t="s">
        <v>48</v>
      </c>
      <c r="G148" s="34" t="s">
        <v>49</v>
      </c>
    </row>
    <row r="149" spans="1:7" x14ac:dyDescent="0.25">
      <c r="A149" s="150"/>
      <c r="B149" s="81" t="s">
        <v>1018</v>
      </c>
      <c r="C149" s="158" t="s">
        <v>1047</v>
      </c>
      <c r="D149" s="146"/>
      <c r="E149" s="134"/>
      <c r="F149" s="43" t="s">
        <v>946</v>
      </c>
      <c r="G149" s="61" t="s">
        <v>1040</v>
      </c>
    </row>
    <row r="150" spans="1:7" x14ac:dyDescent="0.25">
      <c r="A150" s="150"/>
      <c r="B150" s="88" t="s">
        <v>1020</v>
      </c>
      <c r="C150" s="158" t="s">
        <v>1046</v>
      </c>
      <c r="D150" s="146"/>
      <c r="E150" s="134"/>
      <c r="F150" s="43" t="s">
        <v>946</v>
      </c>
      <c r="G150" s="61" t="s">
        <v>1043</v>
      </c>
    </row>
    <row r="151" spans="1:7" x14ac:dyDescent="0.25">
      <c r="A151" s="150"/>
      <c r="B151" s="88" t="s">
        <v>1022</v>
      </c>
      <c r="C151" s="158" t="s">
        <v>1050</v>
      </c>
      <c r="D151" s="146"/>
      <c r="E151" s="134"/>
      <c r="F151" s="43" t="s">
        <v>946</v>
      </c>
      <c r="G151" s="61" t="s">
        <v>1041</v>
      </c>
    </row>
    <row r="152" spans="1:7" x14ac:dyDescent="0.25">
      <c r="A152" s="150"/>
      <c r="B152" s="88" t="s">
        <v>1024</v>
      </c>
      <c r="C152" s="158" t="s">
        <v>1051</v>
      </c>
      <c r="D152" s="146"/>
      <c r="E152" s="134"/>
      <c r="F152" s="43" t="s">
        <v>962</v>
      </c>
      <c r="G152" s="96" t="s">
        <v>1045</v>
      </c>
    </row>
    <row r="153" spans="1:7" x14ac:dyDescent="0.25">
      <c r="A153" s="150"/>
      <c r="B153" s="148" t="s">
        <v>82</v>
      </c>
      <c r="C153" s="146"/>
      <c r="D153" s="146"/>
      <c r="E153" s="146"/>
      <c r="F153" s="146"/>
      <c r="G153" s="134"/>
    </row>
    <row r="154" spans="1:7" x14ac:dyDescent="0.25">
      <c r="A154" s="150"/>
      <c r="B154" s="33" t="s">
        <v>46</v>
      </c>
      <c r="C154" s="33" t="s">
        <v>51</v>
      </c>
      <c r="D154" s="73" t="s">
        <v>19</v>
      </c>
      <c r="E154" s="33" t="s">
        <v>52</v>
      </c>
      <c r="F154" s="33" t="s">
        <v>53</v>
      </c>
      <c r="G154" s="33" t="s">
        <v>54</v>
      </c>
    </row>
    <row r="155" spans="1:7" ht="12.65" customHeight="1" x14ac:dyDescent="0.25">
      <c r="A155" s="150"/>
      <c r="B155" s="37" t="s">
        <v>1057</v>
      </c>
      <c r="C155" s="37" t="s">
        <v>1055</v>
      </c>
      <c r="D155" s="74" t="s">
        <v>1061</v>
      </c>
      <c r="E155" s="37" t="s">
        <v>1053</v>
      </c>
      <c r="F155" s="37" t="s">
        <v>1072</v>
      </c>
      <c r="G155" s="37" t="s">
        <v>1062</v>
      </c>
    </row>
    <row r="156" spans="1:7" ht="12.65" customHeight="1" x14ac:dyDescent="0.25">
      <c r="A156" s="150"/>
      <c r="B156" s="37" t="s">
        <v>1058</v>
      </c>
      <c r="C156" s="37" t="s">
        <v>1056</v>
      </c>
      <c r="D156" s="74" t="s">
        <v>1060</v>
      </c>
      <c r="E156" s="37" t="s">
        <v>1052</v>
      </c>
      <c r="F156" s="37" t="s">
        <v>1071</v>
      </c>
      <c r="G156" s="37" t="s">
        <v>1064</v>
      </c>
    </row>
    <row r="157" spans="1:7" ht="12.65" customHeight="1" x14ac:dyDescent="0.25">
      <c r="A157" s="150"/>
      <c r="B157" s="37" t="s">
        <v>1019</v>
      </c>
      <c r="C157" s="37" t="s">
        <v>1059</v>
      </c>
      <c r="D157" s="74" t="s">
        <v>1069</v>
      </c>
      <c r="E157" s="37" t="s">
        <v>1052</v>
      </c>
      <c r="F157" s="37" t="s">
        <v>1063</v>
      </c>
      <c r="G157" s="37" t="s">
        <v>1066</v>
      </c>
    </row>
    <row r="158" spans="1:7" ht="12.65" customHeight="1" x14ac:dyDescent="0.25">
      <c r="A158" s="150"/>
      <c r="B158" s="37" t="s">
        <v>1021</v>
      </c>
      <c r="C158" s="37" t="s">
        <v>1065</v>
      </c>
      <c r="D158" s="74" t="s">
        <v>1041</v>
      </c>
      <c r="E158" s="37" t="s">
        <v>1052</v>
      </c>
      <c r="F158" s="37" t="s">
        <v>1068</v>
      </c>
      <c r="G158" s="37" t="s">
        <v>1067</v>
      </c>
    </row>
    <row r="159" spans="1:7" ht="12.65" customHeight="1" x14ac:dyDescent="0.25">
      <c r="A159" s="150"/>
      <c r="B159" s="37" t="s">
        <v>1023</v>
      </c>
      <c r="C159" s="37" t="s">
        <v>1042</v>
      </c>
      <c r="D159" s="74" t="s">
        <v>1044</v>
      </c>
      <c r="E159" s="37" t="s">
        <v>1052</v>
      </c>
      <c r="F159" s="37" t="s">
        <v>2104</v>
      </c>
      <c r="G159" s="37" t="s">
        <v>1070</v>
      </c>
    </row>
    <row r="160" spans="1:7" ht="14.15" customHeight="1" x14ac:dyDescent="0.25">
      <c r="A160" s="141" t="s">
        <v>949</v>
      </c>
      <c r="B160" s="145" t="s">
        <v>27</v>
      </c>
      <c r="C160" s="160"/>
      <c r="D160" s="160"/>
      <c r="E160" s="160"/>
      <c r="F160" s="160"/>
      <c r="G160" s="160"/>
    </row>
    <row r="161" spans="1:7" x14ac:dyDescent="0.25">
      <c r="A161" s="160"/>
      <c r="B161" s="147" t="s">
        <v>28</v>
      </c>
      <c r="C161" s="160"/>
      <c r="D161" s="160"/>
      <c r="E161" s="160"/>
      <c r="F161" s="160"/>
      <c r="G161" s="160"/>
    </row>
    <row r="162" spans="1:7" x14ac:dyDescent="0.25">
      <c r="A162" s="160"/>
      <c r="B162" s="157" t="s">
        <v>29</v>
      </c>
      <c r="C162" s="33" t="s">
        <v>19</v>
      </c>
      <c r="D162" s="73" t="s">
        <v>30</v>
      </c>
      <c r="E162" s="33" t="s">
        <v>31</v>
      </c>
      <c r="F162" s="34" t="s">
        <v>32</v>
      </c>
      <c r="G162" s="34" t="s">
        <v>33</v>
      </c>
    </row>
    <row r="163" spans="1:7" ht="14.15" customHeight="1" x14ac:dyDescent="0.25">
      <c r="A163" s="160"/>
      <c r="B163" s="157"/>
      <c r="C163" s="141" t="s">
        <v>968</v>
      </c>
      <c r="D163" s="94" t="s">
        <v>963</v>
      </c>
      <c r="E163" s="75"/>
      <c r="F163" s="141" t="s">
        <v>998</v>
      </c>
      <c r="G163" s="152" t="s">
        <v>1027</v>
      </c>
    </row>
    <row r="164" spans="1:7" x14ac:dyDescent="0.25">
      <c r="A164" s="160"/>
      <c r="B164" s="157"/>
      <c r="C164" s="141"/>
      <c r="D164" s="94" t="s">
        <v>964</v>
      </c>
      <c r="E164" s="61"/>
      <c r="F164" s="141"/>
      <c r="G164" s="152"/>
    </row>
    <row r="165" spans="1:7" x14ac:dyDescent="0.25">
      <c r="A165" s="160"/>
      <c r="B165" s="157"/>
      <c r="C165" s="141" t="s">
        <v>969</v>
      </c>
      <c r="D165" s="72" t="s">
        <v>939</v>
      </c>
      <c r="E165" s="61"/>
      <c r="F165" s="141" t="s">
        <v>999</v>
      </c>
      <c r="G165" s="152" t="s">
        <v>1005</v>
      </c>
    </row>
    <row r="166" spans="1:7" x14ac:dyDescent="0.25">
      <c r="A166" s="160"/>
      <c r="B166" s="157"/>
      <c r="C166" s="141"/>
      <c r="D166" s="72" t="s">
        <v>940</v>
      </c>
      <c r="E166" s="61"/>
      <c r="F166" s="141"/>
      <c r="G166" s="152"/>
    </row>
    <row r="167" spans="1:7" x14ac:dyDescent="0.25">
      <c r="A167" s="160"/>
      <c r="B167" s="157"/>
      <c r="C167" s="141" t="s">
        <v>970</v>
      </c>
      <c r="D167" s="72" t="s">
        <v>941</v>
      </c>
      <c r="E167" s="61"/>
      <c r="F167" s="141" t="s">
        <v>967</v>
      </c>
      <c r="G167" s="152" t="s">
        <v>1006</v>
      </c>
    </row>
    <row r="168" spans="1:7" x14ac:dyDescent="0.25">
      <c r="A168" s="160"/>
      <c r="B168" s="157"/>
      <c r="C168" s="141"/>
      <c r="D168" s="72" t="s">
        <v>596</v>
      </c>
      <c r="E168" s="61"/>
      <c r="F168" s="141"/>
      <c r="G168" s="152"/>
    </row>
    <row r="169" spans="1:7" x14ac:dyDescent="0.25">
      <c r="A169" s="160"/>
      <c r="B169" s="157"/>
      <c r="C169" s="141" t="s">
        <v>971</v>
      </c>
      <c r="D169" s="72" t="s">
        <v>943</v>
      </c>
      <c r="E169" s="61"/>
      <c r="F169" s="141" t="s">
        <v>1000</v>
      </c>
      <c r="G169" s="152" t="s">
        <v>1007</v>
      </c>
    </row>
    <row r="170" spans="1:7" x14ac:dyDescent="0.25">
      <c r="A170" s="160"/>
      <c r="B170" s="157"/>
      <c r="C170" s="141"/>
      <c r="D170" s="72" t="s">
        <v>944</v>
      </c>
      <c r="E170" s="61"/>
      <c r="F170" s="141"/>
      <c r="G170" s="152"/>
    </row>
    <row r="171" spans="1:7" x14ac:dyDescent="0.25">
      <c r="A171" s="160"/>
      <c r="B171" s="157"/>
      <c r="C171" s="99" t="s">
        <v>945</v>
      </c>
      <c r="D171" s="100" t="s">
        <v>945</v>
      </c>
      <c r="E171" s="61"/>
      <c r="F171" s="84" t="s">
        <v>999</v>
      </c>
      <c r="G171" s="86" t="s">
        <v>1008</v>
      </c>
    </row>
    <row r="172" spans="1:7" x14ac:dyDescent="0.25">
      <c r="A172" s="160"/>
      <c r="B172" s="157"/>
      <c r="C172" s="162" t="s">
        <v>1009</v>
      </c>
      <c r="D172" s="72" t="s">
        <v>1010</v>
      </c>
      <c r="E172" s="61"/>
      <c r="F172" s="152" t="s">
        <v>965</v>
      </c>
      <c r="G172" s="152" t="s">
        <v>1014</v>
      </c>
    </row>
    <row r="173" spans="1:7" x14ac:dyDescent="0.25">
      <c r="A173" s="160"/>
      <c r="B173" s="157"/>
      <c r="C173" s="162"/>
      <c r="D173" s="72" t="s">
        <v>1011</v>
      </c>
      <c r="E173" s="61"/>
      <c r="F173" s="160"/>
      <c r="G173" s="160"/>
    </row>
    <row r="174" spans="1:7" x14ac:dyDescent="0.25">
      <c r="A174" s="160"/>
      <c r="B174" s="147" t="s">
        <v>38</v>
      </c>
      <c r="C174" s="160"/>
      <c r="D174" s="160"/>
      <c r="E174" s="160"/>
      <c r="F174" s="160"/>
      <c r="G174" s="160"/>
    </row>
    <row r="175" spans="1:7" x14ac:dyDescent="0.25">
      <c r="A175" s="160"/>
      <c r="B175" s="157" t="s">
        <v>39</v>
      </c>
      <c r="C175" s="33" t="s">
        <v>19</v>
      </c>
      <c r="D175" s="73" t="s">
        <v>40</v>
      </c>
      <c r="E175" s="33" t="s">
        <v>74</v>
      </c>
      <c r="F175" s="33" t="s">
        <v>75</v>
      </c>
      <c r="G175" s="33" t="s">
        <v>43</v>
      </c>
    </row>
    <row r="176" spans="1:7" x14ac:dyDescent="0.25">
      <c r="A176" s="160"/>
      <c r="B176" s="157"/>
      <c r="C176" s="84" t="s">
        <v>1025</v>
      </c>
      <c r="D176" s="61" t="s">
        <v>1028</v>
      </c>
      <c r="E176" s="61"/>
      <c r="F176" s="61" t="s">
        <v>1026</v>
      </c>
      <c r="G176" s="61"/>
    </row>
    <row r="177" spans="1:7" x14ac:dyDescent="0.25">
      <c r="A177" s="160"/>
      <c r="B177" s="157"/>
      <c r="C177" s="141" t="s">
        <v>969</v>
      </c>
      <c r="D177" s="72" t="s">
        <v>939</v>
      </c>
      <c r="E177" s="61"/>
      <c r="F177" s="61"/>
      <c r="G177" s="61"/>
    </row>
    <row r="178" spans="1:7" x14ac:dyDescent="0.25">
      <c r="A178" s="160"/>
      <c r="B178" s="157"/>
      <c r="C178" s="141"/>
      <c r="D178" s="72" t="s">
        <v>940</v>
      </c>
      <c r="E178" s="61"/>
      <c r="F178" s="61"/>
      <c r="G178" s="61"/>
    </row>
    <row r="179" spans="1:7" x14ac:dyDescent="0.25">
      <c r="A179" s="160"/>
      <c r="B179" s="157"/>
      <c r="C179" s="141" t="s">
        <v>970</v>
      </c>
      <c r="D179" s="72" t="s">
        <v>941</v>
      </c>
      <c r="E179" s="61"/>
      <c r="F179" s="61"/>
      <c r="G179" s="61"/>
    </row>
    <row r="180" spans="1:7" x14ac:dyDescent="0.25">
      <c r="A180" s="160"/>
      <c r="B180" s="157"/>
      <c r="C180" s="141"/>
      <c r="D180" s="72" t="s">
        <v>596</v>
      </c>
      <c r="E180" s="61"/>
      <c r="F180" s="61"/>
      <c r="G180" s="61"/>
    </row>
    <row r="181" spans="1:7" x14ac:dyDescent="0.25">
      <c r="A181" s="160"/>
      <c r="B181" s="157"/>
      <c r="C181" s="141" t="s">
        <v>971</v>
      </c>
      <c r="D181" s="72" t="s">
        <v>943</v>
      </c>
      <c r="E181" s="61"/>
      <c r="F181" s="61"/>
      <c r="G181" s="61"/>
    </row>
    <row r="182" spans="1:7" x14ac:dyDescent="0.25">
      <c r="A182" s="160"/>
      <c r="B182" s="157"/>
      <c r="C182" s="141"/>
      <c r="D182" s="72" t="s">
        <v>944</v>
      </c>
      <c r="E182" s="61"/>
      <c r="F182" s="61"/>
      <c r="G182" s="61"/>
    </row>
    <row r="183" spans="1:7" x14ac:dyDescent="0.25">
      <c r="A183" s="160"/>
      <c r="B183" s="157"/>
      <c r="C183" s="162" t="s">
        <v>1009</v>
      </c>
      <c r="D183" s="72" t="s">
        <v>1010</v>
      </c>
      <c r="E183" s="61" t="s">
        <v>1037</v>
      </c>
      <c r="F183" s="61"/>
      <c r="G183" s="61" t="s">
        <v>1040</v>
      </c>
    </row>
    <row r="184" spans="1:7" x14ac:dyDescent="0.25">
      <c r="A184" s="160"/>
      <c r="B184" s="157"/>
      <c r="C184" s="162"/>
      <c r="D184" s="72" t="s">
        <v>1011</v>
      </c>
      <c r="E184" s="61" t="s">
        <v>1038</v>
      </c>
      <c r="F184" s="61"/>
      <c r="G184" s="61" t="s">
        <v>1043</v>
      </c>
    </row>
    <row r="185" spans="1:7" x14ac:dyDescent="0.25">
      <c r="A185" s="160"/>
      <c r="B185" s="147" t="s">
        <v>79</v>
      </c>
      <c r="C185" s="160"/>
      <c r="D185" s="160"/>
      <c r="E185" s="160"/>
      <c r="F185" s="160"/>
      <c r="G185" s="160"/>
    </row>
    <row r="186" spans="1:7" x14ac:dyDescent="0.25">
      <c r="A186" s="160"/>
      <c r="B186" s="85" t="s">
        <v>46</v>
      </c>
      <c r="C186" s="147" t="s">
        <v>47</v>
      </c>
      <c r="D186" s="160"/>
      <c r="E186" s="160"/>
      <c r="F186" s="34" t="s">
        <v>48</v>
      </c>
      <c r="G186" s="34" t="s">
        <v>49</v>
      </c>
    </row>
    <row r="187" spans="1:7" x14ac:dyDescent="0.25">
      <c r="A187" s="160"/>
      <c r="B187" s="88" t="s">
        <v>1078</v>
      </c>
      <c r="C187" s="158" t="s">
        <v>1076</v>
      </c>
      <c r="D187" s="160"/>
      <c r="E187" s="160"/>
      <c r="F187" s="43" t="s">
        <v>946</v>
      </c>
      <c r="G187" s="61" t="s">
        <v>1040</v>
      </c>
    </row>
    <row r="188" spans="1:7" x14ac:dyDescent="0.25">
      <c r="A188" s="160"/>
      <c r="B188" s="88" t="s">
        <v>1080</v>
      </c>
      <c r="C188" s="158" t="s">
        <v>1077</v>
      </c>
      <c r="D188" s="160"/>
      <c r="E188" s="160"/>
      <c r="F188" s="43" t="s">
        <v>946</v>
      </c>
      <c r="G188" s="61" t="s">
        <v>1040</v>
      </c>
    </row>
    <row r="189" spans="1:7" x14ac:dyDescent="0.25">
      <c r="A189" s="160"/>
      <c r="B189" s="148" t="s">
        <v>82</v>
      </c>
      <c r="C189" s="160"/>
      <c r="D189" s="160"/>
      <c r="E189" s="160"/>
      <c r="F189" s="160"/>
      <c r="G189" s="160"/>
    </row>
    <row r="190" spans="1:7" x14ac:dyDescent="0.25">
      <c r="A190" s="160"/>
      <c r="B190" s="33" t="s">
        <v>46</v>
      </c>
      <c r="C190" s="33" t="s">
        <v>51</v>
      </c>
      <c r="D190" s="73" t="s">
        <v>19</v>
      </c>
      <c r="E190" s="33" t="s">
        <v>52</v>
      </c>
      <c r="F190" s="33" t="s">
        <v>53</v>
      </c>
      <c r="G190" s="33" t="s">
        <v>54</v>
      </c>
    </row>
    <row r="191" spans="1:7" ht="12" customHeight="1" x14ac:dyDescent="0.25">
      <c r="A191" s="160"/>
      <c r="B191" s="37" t="s">
        <v>1079</v>
      </c>
      <c r="C191" s="37" t="s">
        <v>1121</v>
      </c>
      <c r="D191" s="74" t="s">
        <v>1040</v>
      </c>
      <c r="E191" s="37" t="s">
        <v>1052</v>
      </c>
      <c r="F191" s="37" t="s">
        <v>1120</v>
      </c>
      <c r="G191" s="37" t="s">
        <v>1119</v>
      </c>
    </row>
    <row r="192" spans="1:7" ht="12" customHeight="1" x14ac:dyDescent="0.25">
      <c r="A192" s="160"/>
      <c r="B192" s="37" t="s">
        <v>1080</v>
      </c>
      <c r="C192" s="37" t="s">
        <v>1122</v>
      </c>
      <c r="D192" s="74" t="s">
        <v>1040</v>
      </c>
      <c r="E192" s="37" t="s">
        <v>1052</v>
      </c>
      <c r="F192" s="37" t="s">
        <v>1124</v>
      </c>
      <c r="G192" s="37" t="s">
        <v>1123</v>
      </c>
    </row>
    <row r="193" spans="1:7" x14ac:dyDescent="0.25">
      <c r="A193" s="141" t="s">
        <v>1126</v>
      </c>
      <c r="B193" s="145" t="s">
        <v>57</v>
      </c>
      <c r="C193" s="146"/>
      <c r="D193" s="146"/>
      <c r="E193" s="146"/>
      <c r="F193" s="146"/>
      <c r="G193" s="134"/>
    </row>
    <row r="194" spans="1:7" x14ac:dyDescent="0.25">
      <c r="A194" s="149"/>
      <c r="B194" s="147" t="s">
        <v>58</v>
      </c>
      <c r="C194" s="146"/>
      <c r="D194" s="146"/>
      <c r="E194" s="146"/>
      <c r="F194" s="146"/>
      <c r="G194" s="134"/>
    </row>
    <row r="195" spans="1:7" x14ac:dyDescent="0.25">
      <c r="A195" s="149"/>
      <c r="B195" s="85" t="s">
        <v>46</v>
      </c>
      <c r="C195" s="147" t="s">
        <v>47</v>
      </c>
      <c r="D195" s="146"/>
      <c r="E195" s="134"/>
      <c r="F195" s="34" t="s">
        <v>48</v>
      </c>
      <c r="G195" s="34" t="s">
        <v>49</v>
      </c>
    </row>
    <row r="196" spans="1:7" ht="28" x14ac:dyDescent="0.25">
      <c r="A196" s="149"/>
      <c r="B196" s="35" t="s">
        <v>1138</v>
      </c>
      <c r="C196" s="158" t="s">
        <v>1131</v>
      </c>
      <c r="D196" s="146"/>
      <c r="E196" s="134"/>
      <c r="F196" s="43" t="s">
        <v>946</v>
      </c>
      <c r="G196" s="36" t="s">
        <v>1133</v>
      </c>
    </row>
    <row r="197" spans="1:7" x14ac:dyDescent="0.25">
      <c r="A197" s="150"/>
      <c r="B197" s="35" t="s">
        <v>1140</v>
      </c>
      <c r="C197" s="158" t="s">
        <v>1132</v>
      </c>
      <c r="D197" s="146"/>
      <c r="E197" s="134"/>
      <c r="F197" s="43" t="s">
        <v>946</v>
      </c>
      <c r="G197" s="36" t="s">
        <v>1150</v>
      </c>
    </row>
    <row r="198" spans="1:7" x14ac:dyDescent="0.25">
      <c r="A198" s="150"/>
      <c r="B198" s="35" t="s">
        <v>1142</v>
      </c>
      <c r="C198" s="158" t="s">
        <v>1132</v>
      </c>
      <c r="D198" s="146"/>
      <c r="E198" s="134"/>
      <c r="F198" s="43" t="s">
        <v>946</v>
      </c>
      <c r="G198" s="36" t="s">
        <v>952</v>
      </c>
    </row>
    <row r="199" spans="1:7" x14ac:dyDescent="0.25">
      <c r="A199" s="149"/>
      <c r="B199" s="148" t="s">
        <v>60</v>
      </c>
      <c r="C199" s="146"/>
      <c r="D199" s="146"/>
      <c r="E199" s="146"/>
      <c r="F199" s="146"/>
      <c r="G199" s="134"/>
    </row>
    <row r="200" spans="1:7" x14ac:dyDescent="0.25">
      <c r="A200" s="149"/>
      <c r="B200" s="33" t="s">
        <v>46</v>
      </c>
      <c r="C200" s="33" t="s">
        <v>51</v>
      </c>
      <c r="D200" s="33" t="s">
        <v>19</v>
      </c>
      <c r="E200" s="33" t="s">
        <v>52</v>
      </c>
      <c r="F200" s="33" t="s">
        <v>53</v>
      </c>
      <c r="G200" s="33" t="s">
        <v>54</v>
      </c>
    </row>
    <row r="201" spans="1:7" ht="16.5" customHeight="1" x14ac:dyDescent="0.25">
      <c r="A201" s="150"/>
      <c r="B201" s="37" t="s">
        <v>1139</v>
      </c>
      <c r="C201" s="37" t="s">
        <v>1132</v>
      </c>
      <c r="D201" s="37" t="s">
        <v>1134</v>
      </c>
      <c r="E201" s="37" t="s">
        <v>1054</v>
      </c>
      <c r="F201" s="37" t="s">
        <v>1135</v>
      </c>
      <c r="G201" s="37" t="s">
        <v>960</v>
      </c>
    </row>
    <row r="202" spans="1:7" ht="16.5" customHeight="1" x14ac:dyDescent="0.25">
      <c r="A202" s="150"/>
      <c r="B202" s="37" t="s">
        <v>1141</v>
      </c>
      <c r="C202" s="37" t="s">
        <v>1132</v>
      </c>
      <c r="D202" s="37" t="s">
        <v>1149</v>
      </c>
      <c r="E202" s="37" t="s">
        <v>1054</v>
      </c>
      <c r="F202" s="37" t="s">
        <v>1137</v>
      </c>
      <c r="G202" s="37" t="s">
        <v>1136</v>
      </c>
    </row>
    <row r="203" spans="1:7" ht="16.5" customHeight="1" x14ac:dyDescent="0.25">
      <c r="A203" s="151"/>
      <c r="B203" s="37" t="s">
        <v>1143</v>
      </c>
      <c r="C203" s="37" t="s">
        <v>1132</v>
      </c>
      <c r="D203" s="37" t="s">
        <v>1151</v>
      </c>
      <c r="E203" s="37" t="s">
        <v>1144</v>
      </c>
      <c r="F203" s="37" t="s">
        <v>1145</v>
      </c>
      <c r="G203" s="37" t="s">
        <v>960</v>
      </c>
    </row>
    <row r="204" spans="1:7" x14ac:dyDescent="0.25">
      <c r="A204" s="141" t="s">
        <v>1128</v>
      </c>
      <c r="B204" s="145" t="s">
        <v>57</v>
      </c>
      <c r="C204" s="146"/>
      <c r="D204" s="146"/>
      <c r="E204" s="146"/>
      <c r="F204" s="146"/>
      <c r="G204" s="134"/>
    </row>
    <row r="205" spans="1:7" x14ac:dyDescent="0.25">
      <c r="A205" s="149"/>
      <c r="B205" s="147" t="s">
        <v>58</v>
      </c>
      <c r="C205" s="146"/>
      <c r="D205" s="146"/>
      <c r="E205" s="146"/>
      <c r="F205" s="146"/>
      <c r="G205" s="134"/>
    </row>
    <row r="206" spans="1:7" x14ac:dyDescent="0.25">
      <c r="A206" s="149"/>
      <c r="B206" s="85" t="s">
        <v>46</v>
      </c>
      <c r="C206" s="147" t="s">
        <v>47</v>
      </c>
      <c r="D206" s="146"/>
      <c r="E206" s="134"/>
      <c r="F206" s="34" t="s">
        <v>48</v>
      </c>
      <c r="G206" s="34" t="s">
        <v>49</v>
      </c>
    </row>
    <row r="207" spans="1:7" x14ac:dyDescent="0.25">
      <c r="A207" s="149"/>
      <c r="B207" s="35" t="s">
        <v>1129</v>
      </c>
      <c r="C207" s="158" t="s">
        <v>1146</v>
      </c>
      <c r="D207" s="146"/>
      <c r="E207" s="134"/>
      <c r="F207" s="43" t="s">
        <v>364</v>
      </c>
      <c r="G207" s="36" t="s">
        <v>1631</v>
      </c>
    </row>
    <row r="208" spans="1:7" x14ac:dyDescent="0.25">
      <c r="A208" s="149"/>
      <c r="B208" s="148" t="s">
        <v>60</v>
      </c>
      <c r="C208" s="146"/>
      <c r="D208" s="146"/>
      <c r="E208" s="146"/>
      <c r="F208" s="146"/>
      <c r="G208" s="134"/>
    </row>
    <row r="209" spans="1:7" x14ac:dyDescent="0.25">
      <c r="A209" s="149"/>
      <c r="B209" s="33" t="s">
        <v>46</v>
      </c>
      <c r="C209" s="33" t="s">
        <v>51</v>
      </c>
      <c r="D209" s="33" t="s">
        <v>19</v>
      </c>
      <c r="E209" s="33" t="s">
        <v>52</v>
      </c>
      <c r="F209" s="33" t="s">
        <v>53</v>
      </c>
      <c r="G209" s="33" t="s">
        <v>54</v>
      </c>
    </row>
    <row r="210" spans="1:7" ht="15.65" customHeight="1" x14ac:dyDescent="0.25">
      <c r="A210" s="151"/>
      <c r="B210" s="37" t="s">
        <v>1130</v>
      </c>
      <c r="C210" s="37" t="s">
        <v>1146</v>
      </c>
      <c r="D210" s="37" t="s">
        <v>1632</v>
      </c>
      <c r="E210" s="37" t="s">
        <v>360</v>
      </c>
      <c r="F210" s="37" t="s">
        <v>1147</v>
      </c>
      <c r="G210" s="37" t="s">
        <v>1148</v>
      </c>
    </row>
  </sheetData>
  <mergeCells count="158">
    <mergeCell ref="A1:A7"/>
    <mergeCell ref="F1:G1"/>
    <mergeCell ref="F2:G2"/>
    <mergeCell ref="F7:G7"/>
    <mergeCell ref="F3:G3"/>
    <mergeCell ref="F4:G4"/>
    <mergeCell ref="F5:G5"/>
    <mergeCell ref="F6:G6"/>
    <mergeCell ref="A8:A44"/>
    <mergeCell ref="B8:G8"/>
    <mergeCell ref="B9:G9"/>
    <mergeCell ref="B10:B23"/>
    <mergeCell ref="C11:C23"/>
    <mergeCell ref="F11:F23"/>
    <mergeCell ref="G11:G23"/>
    <mergeCell ref="B24:G24"/>
    <mergeCell ref="B25:B26"/>
    <mergeCell ref="B27:G27"/>
    <mergeCell ref="C35:E35"/>
    <mergeCell ref="C30:E30"/>
    <mergeCell ref="C28:E28"/>
    <mergeCell ref="C29:E29"/>
    <mergeCell ref="B36:G36"/>
    <mergeCell ref="C31:E31"/>
    <mergeCell ref="B82:G82"/>
    <mergeCell ref="B83:G83"/>
    <mergeCell ref="B94:G94"/>
    <mergeCell ref="B95:B104"/>
    <mergeCell ref="B105:G105"/>
    <mergeCell ref="C106:E106"/>
    <mergeCell ref="C102:C103"/>
    <mergeCell ref="C87:C88"/>
    <mergeCell ref="C89:C90"/>
    <mergeCell ref="F100:F101"/>
    <mergeCell ref="F102:F103"/>
    <mergeCell ref="F96:F97"/>
    <mergeCell ref="E102:E103"/>
    <mergeCell ref="B84:B93"/>
    <mergeCell ref="C85:C86"/>
    <mergeCell ref="F85:F86"/>
    <mergeCell ref="G85:G86"/>
    <mergeCell ref="C96:C97"/>
    <mergeCell ref="F87:F88"/>
    <mergeCell ref="G87:G88"/>
    <mergeCell ref="F89:F90"/>
    <mergeCell ref="G89:G90"/>
    <mergeCell ref="F91:F92"/>
    <mergeCell ref="G91:G92"/>
    <mergeCell ref="C149:E149"/>
    <mergeCell ref="B135:B146"/>
    <mergeCell ref="B153:G153"/>
    <mergeCell ref="A118:A159"/>
    <mergeCell ref="B118:G118"/>
    <mergeCell ref="C150:E150"/>
    <mergeCell ref="C151:E151"/>
    <mergeCell ref="C152:E152"/>
    <mergeCell ref="C121:C122"/>
    <mergeCell ref="C123:C124"/>
    <mergeCell ref="C125:C126"/>
    <mergeCell ref="C127:C128"/>
    <mergeCell ref="C137:C138"/>
    <mergeCell ref="C139:C140"/>
    <mergeCell ref="C141:C142"/>
    <mergeCell ref="C143:C146"/>
    <mergeCell ref="F127:F128"/>
    <mergeCell ref="G127:G128"/>
    <mergeCell ref="E96:E97"/>
    <mergeCell ref="E98:E99"/>
    <mergeCell ref="E100:E101"/>
    <mergeCell ref="C91:C92"/>
    <mergeCell ref="C109:E109"/>
    <mergeCell ref="B119:G119"/>
    <mergeCell ref="B134:G134"/>
    <mergeCell ref="B147:G147"/>
    <mergeCell ref="C148:E148"/>
    <mergeCell ref="C110:E110"/>
    <mergeCell ref="C98:C99"/>
    <mergeCell ref="C100:C101"/>
    <mergeCell ref="C107:E107"/>
    <mergeCell ref="B111:G111"/>
    <mergeCell ref="B120:B133"/>
    <mergeCell ref="C130:C133"/>
    <mergeCell ref="F130:F133"/>
    <mergeCell ref="G130:G133"/>
    <mergeCell ref="F121:F122"/>
    <mergeCell ref="G121:G122"/>
    <mergeCell ref="F123:F124"/>
    <mergeCell ref="G123:G124"/>
    <mergeCell ref="F125:F126"/>
    <mergeCell ref="G125:G126"/>
    <mergeCell ref="C167:C168"/>
    <mergeCell ref="F167:F168"/>
    <mergeCell ref="G167:G168"/>
    <mergeCell ref="C169:C170"/>
    <mergeCell ref="F169:F170"/>
    <mergeCell ref="G169:G170"/>
    <mergeCell ref="F163:F164"/>
    <mergeCell ref="G163:G164"/>
    <mergeCell ref="C165:C166"/>
    <mergeCell ref="F165:F166"/>
    <mergeCell ref="G165:G166"/>
    <mergeCell ref="C172:C173"/>
    <mergeCell ref="F172:F173"/>
    <mergeCell ref="G172:G173"/>
    <mergeCell ref="B174:G174"/>
    <mergeCell ref="B175:B184"/>
    <mergeCell ref="C177:C178"/>
    <mergeCell ref="C179:C180"/>
    <mergeCell ref="C181:C182"/>
    <mergeCell ref="C183:C184"/>
    <mergeCell ref="A204:A210"/>
    <mergeCell ref="B204:G204"/>
    <mergeCell ref="B205:G205"/>
    <mergeCell ref="C206:E206"/>
    <mergeCell ref="C207:E207"/>
    <mergeCell ref="B208:G208"/>
    <mergeCell ref="B189:G189"/>
    <mergeCell ref="A193:A203"/>
    <mergeCell ref="B193:G193"/>
    <mergeCell ref="B194:G194"/>
    <mergeCell ref="C195:E195"/>
    <mergeCell ref="C196:E196"/>
    <mergeCell ref="B199:G199"/>
    <mergeCell ref="C197:E197"/>
    <mergeCell ref="C198:E198"/>
    <mergeCell ref="A160:A192"/>
    <mergeCell ref="B160:G160"/>
    <mergeCell ref="B161:G161"/>
    <mergeCell ref="B162:B173"/>
    <mergeCell ref="C163:C164"/>
    <mergeCell ref="B185:G185"/>
    <mergeCell ref="C186:E186"/>
    <mergeCell ref="C187:E187"/>
    <mergeCell ref="C188:E188"/>
    <mergeCell ref="C32:E32"/>
    <mergeCell ref="C33:E33"/>
    <mergeCell ref="C34:E34"/>
    <mergeCell ref="A82:A117"/>
    <mergeCell ref="A45:A81"/>
    <mergeCell ref="B45:G45"/>
    <mergeCell ref="B46:G46"/>
    <mergeCell ref="B47:B60"/>
    <mergeCell ref="C48:C60"/>
    <mergeCell ref="F48:F60"/>
    <mergeCell ref="G48:G60"/>
    <mergeCell ref="B61:G61"/>
    <mergeCell ref="B62:B63"/>
    <mergeCell ref="B64:G64"/>
    <mergeCell ref="C65:E65"/>
    <mergeCell ref="C66:E66"/>
    <mergeCell ref="C67:E67"/>
    <mergeCell ref="C68:E68"/>
    <mergeCell ref="C69:E69"/>
    <mergeCell ref="C70:E70"/>
    <mergeCell ref="C71:E71"/>
    <mergeCell ref="C72:E72"/>
    <mergeCell ref="B73:G73"/>
    <mergeCell ref="C108:E108"/>
  </mergeCells>
  <phoneticPr fontId="1" type="noConversion"/>
  <dataValidations count="1">
    <dataValidation type="list" allowBlank="1" showInputMessage="1" showErrorMessage="1" sqref="C2:C7">
      <formula1>"流程图,状态机,等价类划分&amp;数据组合,直接分析"</formula1>
    </dataValidation>
  </dataValidation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G19"/>
  <sheetViews>
    <sheetView workbookViewId="0">
      <selection activeCell="C19" sqref="C19"/>
    </sheetView>
  </sheetViews>
  <sheetFormatPr defaultColWidth="9" defaultRowHeight="14" x14ac:dyDescent="0.25"/>
  <cols>
    <col min="1" max="1" width="15" style="46" customWidth="1"/>
    <col min="2" max="2" width="50.08984375" style="46" customWidth="1"/>
    <col min="3" max="3" width="28.453125" style="46" customWidth="1"/>
    <col min="4" max="4" width="27.453125" style="46" customWidth="1"/>
    <col min="5" max="5" width="21.08984375" style="46" customWidth="1"/>
    <col min="6" max="6" width="41" style="46" customWidth="1"/>
    <col min="7" max="7" width="44.36328125" style="46" customWidth="1"/>
    <col min="8" max="23" width="9" style="46" customWidth="1"/>
    <col min="24" max="16384" width="9" style="46"/>
  </cols>
  <sheetData>
    <row r="1" spans="1:7" x14ac:dyDescent="0.25">
      <c r="A1" s="162" t="s">
        <v>26</v>
      </c>
      <c r="B1" s="53" t="s">
        <v>15</v>
      </c>
      <c r="C1" s="53" t="s">
        <v>16</v>
      </c>
      <c r="D1" s="53" t="s">
        <v>17</v>
      </c>
      <c r="E1" s="53" t="s">
        <v>18</v>
      </c>
      <c r="F1" s="172" t="s">
        <v>19</v>
      </c>
      <c r="G1" s="134"/>
    </row>
    <row r="2" spans="1:7" ht="14.15" customHeight="1" x14ac:dyDescent="0.25">
      <c r="A2" s="149"/>
      <c r="B2" s="63" t="s">
        <v>1153</v>
      </c>
      <c r="C2" s="63" t="s">
        <v>22</v>
      </c>
      <c r="D2" s="63"/>
      <c r="E2" s="89">
        <v>2</v>
      </c>
      <c r="F2" s="132" t="s">
        <v>229</v>
      </c>
      <c r="G2" s="132"/>
    </row>
    <row r="3" spans="1:7" x14ac:dyDescent="0.25">
      <c r="A3" s="149"/>
      <c r="B3" s="63" t="s">
        <v>1157</v>
      </c>
      <c r="C3" s="63" t="s">
        <v>22</v>
      </c>
      <c r="D3" s="63"/>
      <c r="E3" s="89">
        <v>4</v>
      </c>
      <c r="F3" s="132" t="s">
        <v>1155</v>
      </c>
      <c r="G3" s="132"/>
    </row>
    <row r="4" spans="1:7" x14ac:dyDescent="0.25">
      <c r="A4" s="141" t="s">
        <v>1159</v>
      </c>
      <c r="B4" s="145" t="s">
        <v>57</v>
      </c>
      <c r="C4" s="160"/>
      <c r="D4" s="160"/>
      <c r="E4" s="160"/>
      <c r="F4" s="160"/>
      <c r="G4" s="160"/>
    </row>
    <row r="5" spans="1:7" x14ac:dyDescent="0.25">
      <c r="A5" s="160"/>
      <c r="B5" s="147" t="s">
        <v>58</v>
      </c>
      <c r="C5" s="160"/>
      <c r="D5" s="160"/>
      <c r="E5" s="160"/>
      <c r="F5" s="160"/>
      <c r="G5" s="160"/>
    </row>
    <row r="6" spans="1:7" x14ac:dyDescent="0.25">
      <c r="A6" s="160"/>
      <c r="B6" s="85" t="s">
        <v>46</v>
      </c>
      <c r="C6" s="147" t="s">
        <v>47</v>
      </c>
      <c r="D6" s="160"/>
      <c r="E6" s="160"/>
      <c r="F6" s="34" t="s">
        <v>48</v>
      </c>
      <c r="G6" s="34" t="s">
        <v>49</v>
      </c>
    </row>
    <row r="7" spans="1:7" x14ac:dyDescent="0.25">
      <c r="A7" s="160"/>
      <c r="B7" s="35" t="s">
        <v>1152</v>
      </c>
      <c r="C7" s="158" t="s">
        <v>1164</v>
      </c>
      <c r="D7" s="160"/>
      <c r="E7" s="160"/>
      <c r="F7" s="43" t="s">
        <v>1163</v>
      </c>
      <c r="G7" s="36" t="s">
        <v>1165</v>
      </c>
    </row>
    <row r="8" spans="1:7" x14ac:dyDescent="0.25">
      <c r="A8" s="160"/>
      <c r="B8" s="148" t="s">
        <v>60</v>
      </c>
      <c r="C8" s="160"/>
      <c r="D8" s="160"/>
      <c r="E8" s="160"/>
      <c r="F8" s="160"/>
      <c r="G8" s="160"/>
    </row>
    <row r="9" spans="1:7" x14ac:dyDescent="0.25">
      <c r="A9" s="160"/>
      <c r="B9" s="33" t="s">
        <v>46</v>
      </c>
      <c r="C9" s="33" t="s">
        <v>51</v>
      </c>
      <c r="D9" s="33" t="s">
        <v>19</v>
      </c>
      <c r="E9" s="33" t="s">
        <v>52</v>
      </c>
      <c r="F9" s="33" t="s">
        <v>53</v>
      </c>
      <c r="G9" s="33" t="s">
        <v>54</v>
      </c>
    </row>
    <row r="10" spans="1:7" ht="210" x14ac:dyDescent="0.25">
      <c r="A10" s="160"/>
      <c r="B10" s="37" t="s">
        <v>2227</v>
      </c>
      <c r="C10" s="37" t="s">
        <v>2231</v>
      </c>
      <c r="D10" s="37" t="s">
        <v>1165</v>
      </c>
      <c r="E10" s="37" t="s">
        <v>1052</v>
      </c>
      <c r="F10" s="37" t="s">
        <v>1169</v>
      </c>
      <c r="G10" s="37" t="s">
        <v>1168</v>
      </c>
    </row>
    <row r="11" spans="1:7" ht="19" customHeight="1" x14ac:dyDescent="0.25">
      <c r="A11" s="160"/>
      <c r="B11" s="37" t="s">
        <v>2226</v>
      </c>
      <c r="C11" s="37" t="s">
        <v>2229</v>
      </c>
      <c r="D11" s="37" t="s">
        <v>1166</v>
      </c>
      <c r="E11" s="37" t="s">
        <v>1162</v>
      </c>
      <c r="F11" s="37" t="s">
        <v>1169</v>
      </c>
      <c r="G11" s="37" t="s">
        <v>1168</v>
      </c>
    </row>
    <row r="12" spans="1:7" x14ac:dyDescent="0.25">
      <c r="A12" s="141" t="s">
        <v>1158</v>
      </c>
      <c r="B12" s="145" t="s">
        <v>57</v>
      </c>
      <c r="C12" s="160"/>
      <c r="D12" s="160"/>
      <c r="E12" s="160"/>
      <c r="F12" s="160"/>
      <c r="G12" s="160"/>
    </row>
    <row r="13" spans="1:7" x14ac:dyDescent="0.25">
      <c r="A13" s="160"/>
      <c r="B13" s="147" t="s">
        <v>58</v>
      </c>
      <c r="C13" s="160"/>
      <c r="D13" s="160"/>
      <c r="E13" s="160"/>
      <c r="F13" s="160"/>
      <c r="G13" s="160"/>
    </row>
    <row r="14" spans="1:7" x14ac:dyDescent="0.25">
      <c r="A14" s="160"/>
      <c r="B14" s="85" t="s">
        <v>46</v>
      </c>
      <c r="C14" s="147" t="s">
        <v>47</v>
      </c>
      <c r="D14" s="160"/>
      <c r="E14" s="160"/>
      <c r="F14" s="34" t="s">
        <v>48</v>
      </c>
      <c r="G14" s="34" t="s">
        <v>49</v>
      </c>
    </row>
    <row r="15" spans="1:7" ht="28" x14ac:dyDescent="0.25">
      <c r="A15" s="160"/>
      <c r="B15" s="35" t="s">
        <v>1154</v>
      </c>
      <c r="C15" s="158" t="s">
        <v>1161</v>
      </c>
      <c r="D15" s="160"/>
      <c r="E15" s="160"/>
      <c r="F15" s="43" t="s">
        <v>1160</v>
      </c>
      <c r="G15" s="36" t="s">
        <v>1156</v>
      </c>
    </row>
    <row r="16" spans="1:7" x14ac:dyDescent="0.25">
      <c r="A16" s="160"/>
      <c r="B16" s="148" t="s">
        <v>60</v>
      </c>
      <c r="C16" s="160"/>
      <c r="D16" s="160"/>
      <c r="E16" s="160"/>
      <c r="F16" s="160"/>
      <c r="G16" s="160"/>
    </row>
    <row r="17" spans="1:7" x14ac:dyDescent="0.25">
      <c r="A17" s="160"/>
      <c r="B17" s="33" t="s">
        <v>46</v>
      </c>
      <c r="C17" s="33" t="s">
        <v>51</v>
      </c>
      <c r="D17" s="33" t="s">
        <v>19</v>
      </c>
      <c r="E17" s="33" t="s">
        <v>52</v>
      </c>
      <c r="F17" s="33" t="s">
        <v>53</v>
      </c>
      <c r="G17" s="33" t="s">
        <v>54</v>
      </c>
    </row>
    <row r="18" spans="1:7" ht="154" x14ac:dyDescent="0.25">
      <c r="A18" s="160"/>
      <c r="B18" s="37" t="s">
        <v>2232</v>
      </c>
      <c r="C18" s="37" t="s">
        <v>2234</v>
      </c>
      <c r="D18" s="37" t="s">
        <v>1636</v>
      </c>
      <c r="E18" s="37" t="s">
        <v>1052</v>
      </c>
      <c r="F18" s="37" t="s">
        <v>1637</v>
      </c>
      <c r="G18" s="37" t="s">
        <v>959</v>
      </c>
    </row>
    <row r="19" spans="1:7" ht="18.649999999999999" customHeight="1" x14ac:dyDescent="0.25">
      <c r="A19" s="160"/>
      <c r="B19" s="37" t="s">
        <v>2233</v>
      </c>
      <c r="C19" s="37" t="s">
        <v>2235</v>
      </c>
      <c r="D19" s="37" t="s">
        <v>1636</v>
      </c>
      <c r="E19" s="37" t="s">
        <v>1054</v>
      </c>
      <c r="F19" s="37" t="s">
        <v>1637</v>
      </c>
      <c r="G19" s="37" t="s">
        <v>1167</v>
      </c>
    </row>
  </sheetData>
  <mergeCells count="16">
    <mergeCell ref="A1:A3"/>
    <mergeCell ref="F1:G1"/>
    <mergeCell ref="F2:G2"/>
    <mergeCell ref="F3:G3"/>
    <mergeCell ref="A4:A11"/>
    <mergeCell ref="B4:G4"/>
    <mergeCell ref="B5:G5"/>
    <mergeCell ref="C6:E6"/>
    <mergeCell ref="C7:E7"/>
    <mergeCell ref="B8:G8"/>
    <mergeCell ref="A12:A19"/>
    <mergeCell ref="B12:G12"/>
    <mergeCell ref="B13:G13"/>
    <mergeCell ref="C14:E14"/>
    <mergeCell ref="C15:E15"/>
    <mergeCell ref="B16:G16"/>
  </mergeCells>
  <phoneticPr fontId="1" type="noConversion"/>
  <dataValidations count="1">
    <dataValidation type="list" allowBlank="1" showInputMessage="1" showErrorMessage="1" sqref="C2:C3">
      <formula1>"流程图,状态机,等价类划分&amp;数据组合,直接分析"</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9"/>
  <sheetViews>
    <sheetView workbookViewId="0">
      <pane xSplit="1" ySplit="2" topLeftCell="B3" activePane="bottomRight" state="frozen"/>
      <selection pane="topRight" activeCell="B1" sqref="B1"/>
      <selection pane="bottomLeft" activeCell="A7" sqref="A7"/>
      <selection pane="bottomRight" activeCell="D9" sqref="D9"/>
    </sheetView>
  </sheetViews>
  <sheetFormatPr defaultColWidth="9" defaultRowHeight="14" x14ac:dyDescent="0.25"/>
  <cols>
    <col min="1" max="1" width="15" style="46" customWidth="1"/>
    <col min="2" max="2" width="28" style="46" customWidth="1"/>
    <col min="3" max="3" width="23.453125" style="46" customWidth="1"/>
    <col min="4" max="4" width="63.90625" style="46" customWidth="1"/>
    <col min="5" max="5" width="17.36328125" style="46" customWidth="1"/>
    <col min="6" max="6" width="61.90625" style="46" customWidth="1"/>
    <col min="7" max="7" width="82.453125" style="46" customWidth="1"/>
    <col min="8" max="23" width="9" style="46" customWidth="1"/>
    <col min="24" max="16384" width="9" style="46"/>
  </cols>
  <sheetData>
    <row r="1" spans="1:7" x14ac:dyDescent="0.25">
      <c r="A1" s="162" t="s">
        <v>26</v>
      </c>
      <c r="B1" s="53" t="s">
        <v>15</v>
      </c>
      <c r="C1" s="53" t="s">
        <v>16</v>
      </c>
      <c r="D1" s="53" t="s">
        <v>17</v>
      </c>
      <c r="E1" s="53" t="s">
        <v>18</v>
      </c>
      <c r="F1" s="172" t="s">
        <v>19</v>
      </c>
      <c r="G1" s="134"/>
    </row>
    <row r="2" spans="1:7" ht="14.15" customHeight="1" x14ac:dyDescent="0.25">
      <c r="A2" s="149"/>
      <c r="B2" s="63" t="s">
        <v>1180</v>
      </c>
      <c r="C2" s="63" t="s">
        <v>22</v>
      </c>
      <c r="D2" s="63"/>
      <c r="E2" s="89">
        <v>7</v>
      </c>
      <c r="F2" s="132" t="s">
        <v>234</v>
      </c>
      <c r="G2" s="132"/>
    </row>
    <row r="3" spans="1:7" x14ac:dyDescent="0.25">
      <c r="A3" s="141" t="s">
        <v>1181</v>
      </c>
      <c r="B3" s="145" t="s">
        <v>57</v>
      </c>
      <c r="C3" s="146"/>
      <c r="D3" s="146"/>
      <c r="E3" s="146"/>
      <c r="F3" s="146"/>
      <c r="G3" s="134"/>
    </row>
    <row r="4" spans="1:7" x14ac:dyDescent="0.25">
      <c r="A4" s="150"/>
      <c r="B4" s="147" t="s">
        <v>58</v>
      </c>
      <c r="C4" s="146"/>
      <c r="D4" s="146"/>
      <c r="E4" s="146"/>
      <c r="F4" s="146"/>
      <c r="G4" s="134"/>
    </row>
    <row r="5" spans="1:7" x14ac:dyDescent="0.25">
      <c r="A5" s="150"/>
      <c r="B5" s="85" t="s">
        <v>46</v>
      </c>
      <c r="C5" s="147" t="s">
        <v>47</v>
      </c>
      <c r="D5" s="146"/>
      <c r="E5" s="134"/>
      <c r="F5" s="34" t="s">
        <v>48</v>
      </c>
      <c r="G5" s="34" t="s">
        <v>49</v>
      </c>
    </row>
    <row r="6" spans="1:7" ht="28" x14ac:dyDescent="0.25">
      <c r="A6" s="150"/>
      <c r="B6" s="35" t="s">
        <v>1182</v>
      </c>
      <c r="C6" s="158" t="s">
        <v>1183</v>
      </c>
      <c r="D6" s="146"/>
      <c r="E6" s="134"/>
      <c r="F6" s="43" t="s">
        <v>1175</v>
      </c>
      <c r="G6" s="36" t="s">
        <v>1176</v>
      </c>
    </row>
    <row r="7" spans="1:7" x14ac:dyDescent="0.25">
      <c r="A7" s="150"/>
      <c r="B7" s="148" t="s">
        <v>60</v>
      </c>
      <c r="C7" s="146"/>
      <c r="D7" s="146"/>
      <c r="E7" s="146"/>
      <c r="F7" s="146"/>
      <c r="G7" s="134"/>
    </row>
    <row r="8" spans="1:7" x14ac:dyDescent="0.25">
      <c r="A8" s="150"/>
      <c r="B8" s="33" t="s">
        <v>46</v>
      </c>
      <c r="C8" s="33" t="s">
        <v>51</v>
      </c>
      <c r="D8" s="33" t="s">
        <v>19</v>
      </c>
      <c r="E8" s="33" t="s">
        <v>52</v>
      </c>
      <c r="F8" s="33" t="s">
        <v>53</v>
      </c>
      <c r="G8" s="33" t="s">
        <v>54</v>
      </c>
    </row>
    <row r="9" spans="1:7" ht="42" x14ac:dyDescent="0.25">
      <c r="A9" s="151"/>
      <c r="B9" s="37" t="s">
        <v>1177</v>
      </c>
      <c r="C9" s="37" t="s">
        <v>1183</v>
      </c>
      <c r="D9" s="37" t="s">
        <v>1178</v>
      </c>
      <c r="E9" s="37" t="s">
        <v>55</v>
      </c>
      <c r="F9" s="37" t="s">
        <v>1184</v>
      </c>
      <c r="G9" s="37" t="s">
        <v>1179</v>
      </c>
    </row>
  </sheetData>
  <mergeCells count="9">
    <mergeCell ref="F1:G1"/>
    <mergeCell ref="F2:G2"/>
    <mergeCell ref="A1:A2"/>
    <mergeCell ref="A3:A9"/>
    <mergeCell ref="B3:G3"/>
    <mergeCell ref="B4:G4"/>
    <mergeCell ref="C5:E5"/>
    <mergeCell ref="C6:E6"/>
    <mergeCell ref="B7:G7"/>
  </mergeCells>
  <phoneticPr fontId="1" type="noConversion"/>
  <dataValidations count="1">
    <dataValidation type="list" allowBlank="1" showInputMessage="1" showErrorMessage="1" sqref="C2">
      <formula1>"流程图,状态机,等价类划分&amp;数据组合,直接分析"</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G151"/>
  <sheetViews>
    <sheetView zoomScale="85" zoomScaleNormal="85" workbookViewId="0">
      <pane xSplit="1" ySplit="14" topLeftCell="B15" activePane="bottomRight" state="frozen"/>
      <selection pane="topRight" activeCell="B1" sqref="B1"/>
      <selection pane="bottomLeft" activeCell="A14" sqref="A14"/>
      <selection pane="bottomRight" activeCell="C54" sqref="C54"/>
    </sheetView>
  </sheetViews>
  <sheetFormatPr defaultColWidth="9" defaultRowHeight="14" x14ac:dyDescent="0.25"/>
  <cols>
    <col min="1" max="1" width="15" style="46" customWidth="1"/>
    <col min="2" max="2" width="32.08984375" style="46" customWidth="1"/>
    <col min="3" max="3" width="23.453125" style="46" bestFit="1" customWidth="1"/>
    <col min="4" max="4" width="59.453125" style="46" customWidth="1"/>
    <col min="5" max="5" width="17.36328125" style="46" bestFit="1" customWidth="1"/>
    <col min="6" max="6" width="61.90625" style="46" customWidth="1"/>
    <col min="7" max="7" width="82.453125" style="46" customWidth="1"/>
    <col min="8" max="23" width="9" style="46" customWidth="1"/>
    <col min="24" max="16384" width="9" style="46"/>
  </cols>
  <sheetData>
    <row r="1" spans="1:7" x14ac:dyDescent="0.25">
      <c r="A1" s="162" t="s">
        <v>26</v>
      </c>
      <c r="B1" s="87" t="s">
        <v>15</v>
      </c>
      <c r="C1" s="87" t="s">
        <v>16</v>
      </c>
      <c r="D1" s="87" t="s">
        <v>17</v>
      </c>
      <c r="E1" s="87" t="s">
        <v>18</v>
      </c>
      <c r="F1" s="156" t="s">
        <v>19</v>
      </c>
      <c r="G1" s="160"/>
    </row>
    <row r="2" spans="1:7" ht="14.5" customHeight="1" x14ac:dyDescent="0.25">
      <c r="A2" s="162"/>
      <c r="B2" s="63" t="s">
        <v>1185</v>
      </c>
      <c r="C2" s="63" t="s">
        <v>21</v>
      </c>
      <c r="D2" s="63"/>
      <c r="E2" s="89">
        <v>2</v>
      </c>
      <c r="F2" s="132" t="s">
        <v>237</v>
      </c>
      <c r="G2" s="132"/>
    </row>
    <row r="3" spans="1:7" x14ac:dyDescent="0.25">
      <c r="A3" s="162"/>
      <c r="B3" s="63" t="s">
        <v>238</v>
      </c>
      <c r="C3" s="63" t="s">
        <v>21</v>
      </c>
      <c r="D3" s="63"/>
      <c r="E3" s="89">
        <v>2</v>
      </c>
      <c r="F3" s="132" t="s">
        <v>237</v>
      </c>
      <c r="G3" s="132"/>
    </row>
    <row r="4" spans="1:7" x14ac:dyDescent="0.25">
      <c r="A4" s="162"/>
      <c r="B4" s="63" t="s">
        <v>1212</v>
      </c>
      <c r="C4" s="63" t="s">
        <v>21</v>
      </c>
      <c r="D4" s="63"/>
      <c r="E4" s="89">
        <v>3</v>
      </c>
      <c r="F4" s="132" t="s">
        <v>237</v>
      </c>
      <c r="G4" s="132"/>
    </row>
    <row r="5" spans="1:7" x14ac:dyDescent="0.25">
      <c r="A5" s="162"/>
      <c r="B5" s="63" t="s">
        <v>1244</v>
      </c>
      <c r="C5" s="63" t="s">
        <v>22</v>
      </c>
      <c r="D5" s="63"/>
      <c r="E5" s="89">
        <v>1</v>
      </c>
      <c r="F5" s="132" t="s">
        <v>237</v>
      </c>
      <c r="G5" s="132"/>
    </row>
    <row r="6" spans="1:7" x14ac:dyDescent="0.25">
      <c r="A6" s="162"/>
      <c r="B6" s="63" t="s">
        <v>1253</v>
      </c>
      <c r="C6" s="63" t="s">
        <v>22</v>
      </c>
      <c r="D6" s="63"/>
      <c r="E6" s="89">
        <v>1</v>
      </c>
      <c r="F6" s="132" t="s">
        <v>237</v>
      </c>
      <c r="G6" s="132"/>
    </row>
    <row r="7" spans="1:7" x14ac:dyDescent="0.25">
      <c r="A7" s="162"/>
      <c r="B7" s="63" t="s">
        <v>1265</v>
      </c>
      <c r="C7" s="63" t="s">
        <v>22</v>
      </c>
      <c r="D7" s="63"/>
      <c r="E7" s="89">
        <v>1</v>
      </c>
      <c r="F7" s="132"/>
      <c r="G7" s="132"/>
    </row>
    <row r="8" spans="1:7" x14ac:dyDescent="0.25">
      <c r="A8" s="162"/>
      <c r="B8" s="63" t="s">
        <v>1278</v>
      </c>
      <c r="C8" s="63" t="s">
        <v>22</v>
      </c>
      <c r="D8" s="63"/>
      <c r="E8" s="89">
        <v>3</v>
      </c>
      <c r="F8" s="132" t="s">
        <v>1277</v>
      </c>
      <c r="G8" s="132"/>
    </row>
    <row r="9" spans="1:7" x14ac:dyDescent="0.25">
      <c r="A9" s="162"/>
      <c r="B9" s="76" t="s">
        <v>1284</v>
      </c>
      <c r="C9" s="71" t="s">
        <v>22</v>
      </c>
      <c r="D9" s="71"/>
      <c r="E9" s="38">
        <v>5</v>
      </c>
      <c r="F9" s="163" t="s">
        <v>1275</v>
      </c>
      <c r="G9" s="163"/>
    </row>
    <row r="10" spans="1:7" x14ac:dyDescent="0.25">
      <c r="A10" s="162"/>
      <c r="B10" s="71" t="s">
        <v>247</v>
      </c>
      <c r="C10" s="71" t="s">
        <v>22</v>
      </c>
      <c r="D10" s="71"/>
      <c r="E10" s="38">
        <v>6</v>
      </c>
      <c r="F10" s="140" t="s">
        <v>1276</v>
      </c>
      <c r="G10" s="140"/>
    </row>
    <row r="11" spans="1:7" x14ac:dyDescent="0.25">
      <c r="A11" s="162"/>
      <c r="B11" s="63" t="s">
        <v>1294</v>
      </c>
      <c r="C11" s="63" t="s">
        <v>22</v>
      </c>
      <c r="D11" s="63"/>
      <c r="E11" s="89">
        <v>2</v>
      </c>
      <c r="F11" s="132" t="s">
        <v>250</v>
      </c>
      <c r="G11" s="132"/>
    </row>
    <row r="12" spans="1:7" x14ac:dyDescent="0.25">
      <c r="A12" s="162"/>
      <c r="B12" s="70" t="s">
        <v>251</v>
      </c>
      <c r="C12" s="71" t="s">
        <v>22</v>
      </c>
      <c r="D12" s="71"/>
      <c r="E12" s="38">
        <v>2</v>
      </c>
      <c r="F12" s="140" t="s">
        <v>1296</v>
      </c>
      <c r="G12" s="140"/>
    </row>
    <row r="13" spans="1:7" x14ac:dyDescent="0.25">
      <c r="A13" s="162"/>
      <c r="B13" s="63" t="s">
        <v>1305</v>
      </c>
      <c r="C13" s="63" t="s">
        <v>22</v>
      </c>
      <c r="D13" s="63"/>
      <c r="E13" s="89">
        <v>2</v>
      </c>
      <c r="F13" s="132" t="s">
        <v>1306</v>
      </c>
      <c r="G13" s="132"/>
    </row>
    <row r="14" spans="1:7" x14ac:dyDescent="0.25">
      <c r="A14" s="162"/>
      <c r="B14" s="63" t="s">
        <v>1316</v>
      </c>
      <c r="C14" s="63" t="s">
        <v>22</v>
      </c>
      <c r="D14" s="63"/>
      <c r="E14" s="89">
        <v>2</v>
      </c>
      <c r="F14" s="132" t="s">
        <v>1309</v>
      </c>
      <c r="G14" s="132"/>
    </row>
    <row r="15" spans="1:7" x14ac:dyDescent="0.25">
      <c r="A15" s="141" t="s">
        <v>2138</v>
      </c>
      <c r="B15" s="145" t="s">
        <v>27</v>
      </c>
      <c r="C15" s="146"/>
      <c r="D15" s="146"/>
      <c r="E15" s="146"/>
      <c r="F15" s="146"/>
      <c r="G15" s="134"/>
    </row>
    <row r="16" spans="1:7" x14ac:dyDescent="0.25">
      <c r="A16" s="150"/>
      <c r="B16" s="147" t="s">
        <v>28</v>
      </c>
      <c r="C16" s="146"/>
      <c r="D16" s="146"/>
      <c r="E16" s="146"/>
      <c r="F16" s="146"/>
      <c r="G16" s="134"/>
    </row>
    <row r="17" spans="1:7" x14ac:dyDescent="0.25">
      <c r="A17" s="150"/>
      <c r="B17" s="157" t="s">
        <v>29</v>
      </c>
      <c r="C17" s="33" t="s">
        <v>19</v>
      </c>
      <c r="D17" s="73" t="s">
        <v>30</v>
      </c>
      <c r="E17" s="33" t="s">
        <v>31</v>
      </c>
      <c r="F17" s="34" t="s">
        <v>32</v>
      </c>
      <c r="G17" s="34" t="s">
        <v>33</v>
      </c>
    </row>
    <row r="18" spans="1:7" x14ac:dyDescent="0.25">
      <c r="A18" s="150"/>
      <c r="B18" s="159"/>
      <c r="C18" s="141" t="s">
        <v>1188</v>
      </c>
      <c r="D18" s="75" t="s">
        <v>1186</v>
      </c>
      <c r="E18" s="75"/>
      <c r="F18" s="152" t="s">
        <v>966</v>
      </c>
      <c r="G18" s="152" t="s">
        <v>1189</v>
      </c>
    </row>
    <row r="19" spans="1:7" x14ac:dyDescent="0.25">
      <c r="A19" s="150"/>
      <c r="B19" s="159"/>
      <c r="C19" s="150"/>
      <c r="D19" s="72" t="s">
        <v>1187</v>
      </c>
      <c r="E19" s="61"/>
      <c r="F19" s="150"/>
      <c r="G19" s="150"/>
    </row>
    <row r="20" spans="1:7" x14ac:dyDescent="0.25">
      <c r="A20" s="150"/>
      <c r="B20" s="147" t="s">
        <v>38</v>
      </c>
      <c r="C20" s="146"/>
      <c r="D20" s="146"/>
      <c r="E20" s="146"/>
      <c r="F20" s="146"/>
      <c r="G20" s="134"/>
    </row>
    <row r="21" spans="1:7" x14ac:dyDescent="0.25">
      <c r="A21" s="150"/>
      <c r="B21" s="157" t="s">
        <v>39</v>
      </c>
      <c r="C21" s="33" t="s">
        <v>19</v>
      </c>
      <c r="D21" s="73" t="s">
        <v>40</v>
      </c>
      <c r="E21" s="33" t="s">
        <v>74</v>
      </c>
      <c r="F21" s="33" t="s">
        <v>75</v>
      </c>
      <c r="G21" s="33" t="s">
        <v>43</v>
      </c>
    </row>
    <row r="22" spans="1:7" x14ac:dyDescent="0.25">
      <c r="A22" s="150"/>
      <c r="B22" s="150"/>
      <c r="C22" s="84" t="s">
        <v>44</v>
      </c>
      <c r="D22" s="61"/>
      <c r="E22" s="61"/>
      <c r="F22" s="61"/>
      <c r="G22" s="61"/>
    </row>
    <row r="23" spans="1:7" x14ac:dyDescent="0.25">
      <c r="A23" s="150"/>
      <c r="B23" s="147" t="s">
        <v>79</v>
      </c>
      <c r="C23" s="146"/>
      <c r="D23" s="146"/>
      <c r="E23" s="146"/>
      <c r="F23" s="146"/>
      <c r="G23" s="134"/>
    </row>
    <row r="24" spans="1:7" x14ac:dyDescent="0.25">
      <c r="A24" s="150"/>
      <c r="B24" s="85" t="s">
        <v>46</v>
      </c>
      <c r="C24" s="147" t="s">
        <v>47</v>
      </c>
      <c r="D24" s="146"/>
      <c r="E24" s="134"/>
      <c r="F24" s="34" t="s">
        <v>48</v>
      </c>
      <c r="G24" s="34" t="s">
        <v>49</v>
      </c>
    </row>
    <row r="25" spans="1:7" x14ac:dyDescent="0.25">
      <c r="A25" s="150"/>
      <c r="B25" s="88" t="s">
        <v>2141</v>
      </c>
      <c r="C25" s="158" t="s">
        <v>2149</v>
      </c>
      <c r="D25" s="160"/>
      <c r="E25" s="160"/>
      <c r="F25" s="43" t="s">
        <v>1192</v>
      </c>
      <c r="G25" s="61" t="s">
        <v>1208</v>
      </c>
    </row>
    <row r="26" spans="1:7" x14ac:dyDescent="0.25">
      <c r="A26" s="150"/>
      <c r="B26" s="88" t="s">
        <v>2142</v>
      </c>
      <c r="C26" s="158" t="s">
        <v>2150</v>
      </c>
      <c r="D26" s="160"/>
      <c r="E26" s="160"/>
      <c r="F26" s="43" t="s">
        <v>1192</v>
      </c>
      <c r="G26" s="61" t="s">
        <v>1190</v>
      </c>
    </row>
    <row r="27" spans="1:7" x14ac:dyDescent="0.25">
      <c r="A27" s="150"/>
      <c r="B27" s="88" t="s">
        <v>2143</v>
      </c>
      <c r="C27" s="158" t="s">
        <v>2149</v>
      </c>
      <c r="D27" s="160"/>
      <c r="E27" s="160"/>
      <c r="F27" s="43" t="s">
        <v>1192</v>
      </c>
      <c r="G27" s="61" t="s">
        <v>1191</v>
      </c>
    </row>
    <row r="28" spans="1:7" x14ac:dyDescent="0.25">
      <c r="A28" s="150"/>
      <c r="B28" s="88" t="s">
        <v>2144</v>
      </c>
      <c r="C28" s="158" t="s">
        <v>2150</v>
      </c>
      <c r="D28" s="160"/>
      <c r="E28" s="160"/>
      <c r="F28" s="43" t="s">
        <v>1192</v>
      </c>
      <c r="G28" s="61" t="s">
        <v>1191</v>
      </c>
    </row>
    <row r="29" spans="1:7" x14ac:dyDescent="0.25">
      <c r="A29" s="150"/>
      <c r="B29" s="148" t="s">
        <v>82</v>
      </c>
      <c r="C29" s="146"/>
      <c r="D29" s="146"/>
      <c r="E29" s="146"/>
      <c r="F29" s="146"/>
      <c r="G29" s="134"/>
    </row>
    <row r="30" spans="1:7" ht="13" customHeight="1" x14ac:dyDescent="0.25">
      <c r="A30" s="150"/>
      <c r="B30" s="33" t="s">
        <v>46</v>
      </c>
      <c r="C30" s="33" t="s">
        <v>51</v>
      </c>
      <c r="D30" s="73" t="s">
        <v>19</v>
      </c>
      <c r="E30" s="33" t="s">
        <v>52</v>
      </c>
      <c r="F30" s="33" t="s">
        <v>53</v>
      </c>
      <c r="G30" s="33" t="s">
        <v>54</v>
      </c>
    </row>
    <row r="31" spans="1:7" ht="13" customHeight="1" x14ac:dyDescent="0.25">
      <c r="A31" s="150"/>
      <c r="B31" s="37" t="s">
        <v>2141</v>
      </c>
      <c r="C31" s="37" t="s">
        <v>2149</v>
      </c>
      <c r="D31" s="74" t="s">
        <v>1209</v>
      </c>
      <c r="E31" s="37" t="s">
        <v>1195</v>
      </c>
      <c r="F31" s="37" t="s">
        <v>1224</v>
      </c>
      <c r="G31" s="37" t="s">
        <v>1193</v>
      </c>
    </row>
    <row r="32" spans="1:7" ht="13" customHeight="1" x14ac:dyDescent="0.25">
      <c r="A32" s="150"/>
      <c r="B32" s="37" t="s">
        <v>2142</v>
      </c>
      <c r="C32" s="37" t="s">
        <v>2150</v>
      </c>
      <c r="D32" s="74" t="s">
        <v>1209</v>
      </c>
      <c r="E32" s="37" t="s">
        <v>1194</v>
      </c>
      <c r="F32" s="37" t="s">
        <v>1214</v>
      </c>
      <c r="G32" s="37" t="s">
        <v>1196</v>
      </c>
    </row>
    <row r="33" spans="1:7" ht="13" customHeight="1" x14ac:dyDescent="0.25">
      <c r="A33" s="150"/>
      <c r="B33" s="37" t="s">
        <v>2143</v>
      </c>
      <c r="C33" s="37" t="s">
        <v>2149</v>
      </c>
      <c r="D33" s="74" t="s">
        <v>1206</v>
      </c>
      <c r="E33" s="37" t="s">
        <v>1195</v>
      </c>
      <c r="F33" s="37" t="s">
        <v>1225</v>
      </c>
      <c r="G33" s="37" t="s">
        <v>1193</v>
      </c>
    </row>
    <row r="34" spans="1:7" ht="13" customHeight="1" x14ac:dyDescent="0.25">
      <c r="A34" s="150"/>
      <c r="B34" s="37" t="s">
        <v>2144</v>
      </c>
      <c r="C34" s="37" t="s">
        <v>2150</v>
      </c>
      <c r="D34" s="74" t="s">
        <v>1207</v>
      </c>
      <c r="E34" s="37" t="s">
        <v>1194</v>
      </c>
      <c r="F34" s="37" t="s">
        <v>1215</v>
      </c>
      <c r="G34" s="37" t="s">
        <v>1193</v>
      </c>
    </row>
    <row r="35" spans="1:7" ht="13" customHeight="1" x14ac:dyDescent="0.25">
      <c r="A35" s="141" t="s">
        <v>2139</v>
      </c>
      <c r="B35" s="145" t="s">
        <v>27</v>
      </c>
      <c r="C35" s="146"/>
      <c r="D35" s="146"/>
      <c r="E35" s="146"/>
      <c r="F35" s="146"/>
      <c r="G35" s="134"/>
    </row>
    <row r="36" spans="1:7" ht="13" customHeight="1" x14ac:dyDescent="0.25">
      <c r="A36" s="150"/>
      <c r="B36" s="147" t="s">
        <v>28</v>
      </c>
      <c r="C36" s="146"/>
      <c r="D36" s="146"/>
      <c r="E36" s="146"/>
      <c r="F36" s="146"/>
      <c r="G36" s="134"/>
    </row>
    <row r="37" spans="1:7" ht="13" customHeight="1" x14ac:dyDescent="0.25">
      <c r="A37" s="150"/>
      <c r="B37" s="157" t="s">
        <v>29</v>
      </c>
      <c r="C37" s="33" t="s">
        <v>19</v>
      </c>
      <c r="D37" s="73" t="s">
        <v>30</v>
      </c>
      <c r="E37" s="33" t="s">
        <v>31</v>
      </c>
      <c r="F37" s="34" t="s">
        <v>32</v>
      </c>
      <c r="G37" s="34" t="s">
        <v>33</v>
      </c>
    </row>
    <row r="38" spans="1:7" ht="13" customHeight="1" x14ac:dyDescent="0.25">
      <c r="A38" s="150"/>
      <c r="B38" s="159"/>
      <c r="C38" s="141" t="s">
        <v>1188</v>
      </c>
      <c r="D38" s="75" t="s">
        <v>1186</v>
      </c>
      <c r="E38" s="75"/>
      <c r="F38" s="152" t="s">
        <v>966</v>
      </c>
      <c r="G38" s="152" t="s">
        <v>1189</v>
      </c>
    </row>
    <row r="39" spans="1:7" ht="13" customHeight="1" x14ac:dyDescent="0.25">
      <c r="A39" s="150"/>
      <c r="B39" s="159"/>
      <c r="C39" s="150"/>
      <c r="D39" s="72" t="s">
        <v>1187</v>
      </c>
      <c r="E39" s="61"/>
      <c r="F39" s="150"/>
      <c r="G39" s="150"/>
    </row>
    <row r="40" spans="1:7" ht="13" customHeight="1" x14ac:dyDescent="0.25">
      <c r="A40" s="150"/>
      <c r="B40" s="147" t="s">
        <v>38</v>
      </c>
      <c r="C40" s="146"/>
      <c r="D40" s="146"/>
      <c r="E40" s="146"/>
      <c r="F40" s="146"/>
      <c r="G40" s="134"/>
    </row>
    <row r="41" spans="1:7" ht="13" customHeight="1" x14ac:dyDescent="0.25">
      <c r="A41" s="150"/>
      <c r="B41" s="157" t="s">
        <v>39</v>
      </c>
      <c r="C41" s="33" t="s">
        <v>19</v>
      </c>
      <c r="D41" s="73" t="s">
        <v>40</v>
      </c>
      <c r="E41" s="33" t="s">
        <v>74</v>
      </c>
      <c r="F41" s="33" t="s">
        <v>75</v>
      </c>
      <c r="G41" s="33" t="s">
        <v>43</v>
      </c>
    </row>
    <row r="42" spans="1:7" ht="13" customHeight="1" x14ac:dyDescent="0.25">
      <c r="A42" s="150"/>
      <c r="B42" s="150"/>
      <c r="C42" s="106" t="s">
        <v>44</v>
      </c>
      <c r="D42" s="61"/>
      <c r="E42" s="61"/>
      <c r="F42" s="61"/>
      <c r="G42" s="61"/>
    </row>
    <row r="43" spans="1:7" ht="13" customHeight="1" x14ac:dyDescent="0.25">
      <c r="A43" s="150"/>
      <c r="B43" s="147" t="s">
        <v>79</v>
      </c>
      <c r="C43" s="146"/>
      <c r="D43" s="146"/>
      <c r="E43" s="146"/>
      <c r="F43" s="146"/>
      <c r="G43" s="134"/>
    </row>
    <row r="44" spans="1:7" ht="13" customHeight="1" x14ac:dyDescent="0.25">
      <c r="A44" s="150"/>
      <c r="B44" s="107" t="s">
        <v>46</v>
      </c>
      <c r="C44" s="147" t="s">
        <v>47</v>
      </c>
      <c r="D44" s="146"/>
      <c r="E44" s="134"/>
      <c r="F44" s="34" t="s">
        <v>48</v>
      </c>
      <c r="G44" s="34" t="s">
        <v>49</v>
      </c>
    </row>
    <row r="45" spans="1:7" ht="13" customHeight="1" x14ac:dyDescent="0.25">
      <c r="A45" s="150"/>
      <c r="B45" s="108" t="s">
        <v>2145</v>
      </c>
      <c r="C45" s="158" t="s">
        <v>2151</v>
      </c>
      <c r="D45" s="160"/>
      <c r="E45" s="160"/>
      <c r="F45" s="43" t="s">
        <v>1188</v>
      </c>
      <c r="G45" s="61" t="s">
        <v>1190</v>
      </c>
    </row>
    <row r="46" spans="1:7" ht="13" customHeight="1" x14ac:dyDescent="0.25">
      <c r="A46" s="150"/>
      <c r="B46" s="108" t="s">
        <v>2146</v>
      </c>
      <c r="C46" s="158" t="s">
        <v>2152</v>
      </c>
      <c r="D46" s="160"/>
      <c r="E46" s="160"/>
      <c r="F46" s="43" t="s">
        <v>1188</v>
      </c>
      <c r="G46" s="61" t="s">
        <v>1190</v>
      </c>
    </row>
    <row r="47" spans="1:7" ht="13" customHeight="1" x14ac:dyDescent="0.25">
      <c r="A47" s="150"/>
      <c r="B47" s="108" t="s">
        <v>2147</v>
      </c>
      <c r="C47" s="158" t="s">
        <v>2151</v>
      </c>
      <c r="D47" s="160"/>
      <c r="E47" s="160"/>
      <c r="F47" s="43" t="s">
        <v>1188</v>
      </c>
      <c r="G47" s="61" t="s">
        <v>1191</v>
      </c>
    </row>
    <row r="48" spans="1:7" ht="13" customHeight="1" x14ac:dyDescent="0.25">
      <c r="A48" s="150"/>
      <c r="B48" s="108" t="s">
        <v>2148</v>
      </c>
      <c r="C48" s="158" t="s">
        <v>2152</v>
      </c>
      <c r="D48" s="160"/>
      <c r="E48" s="160"/>
      <c r="F48" s="43" t="s">
        <v>1188</v>
      </c>
      <c r="G48" s="61" t="s">
        <v>1191</v>
      </c>
    </row>
    <row r="49" spans="1:7" ht="13" customHeight="1" x14ac:dyDescent="0.25">
      <c r="A49" s="150"/>
      <c r="B49" s="148" t="s">
        <v>82</v>
      </c>
      <c r="C49" s="146"/>
      <c r="D49" s="146"/>
      <c r="E49" s="146"/>
      <c r="F49" s="146"/>
      <c r="G49" s="134"/>
    </row>
    <row r="50" spans="1:7" ht="13" customHeight="1" x14ac:dyDescent="0.25">
      <c r="A50" s="150"/>
      <c r="B50" s="33" t="s">
        <v>46</v>
      </c>
      <c r="C50" s="33" t="s">
        <v>51</v>
      </c>
      <c r="D50" s="73" t="s">
        <v>19</v>
      </c>
      <c r="E50" s="33" t="s">
        <v>52</v>
      </c>
      <c r="F50" s="33" t="s">
        <v>53</v>
      </c>
      <c r="G50" s="33" t="s">
        <v>54</v>
      </c>
    </row>
    <row r="51" spans="1:7" ht="13" customHeight="1" x14ac:dyDescent="0.25">
      <c r="A51" s="150"/>
      <c r="B51" s="37" t="s">
        <v>2145</v>
      </c>
      <c r="C51" s="37" t="s">
        <v>2151</v>
      </c>
      <c r="D51" s="74" t="s">
        <v>2140</v>
      </c>
      <c r="E51" s="37" t="s">
        <v>1195</v>
      </c>
      <c r="F51" s="37" t="s">
        <v>1224</v>
      </c>
      <c r="G51" s="37" t="s">
        <v>1193</v>
      </c>
    </row>
    <row r="52" spans="1:7" ht="13" customHeight="1" x14ac:dyDescent="0.25">
      <c r="A52" s="150"/>
      <c r="B52" s="37" t="s">
        <v>2146</v>
      </c>
      <c r="C52" s="37" t="s">
        <v>2152</v>
      </c>
      <c r="D52" s="74" t="s">
        <v>1190</v>
      </c>
      <c r="E52" s="37" t="s">
        <v>1194</v>
      </c>
      <c r="F52" s="37" t="s">
        <v>1214</v>
      </c>
      <c r="G52" s="37" t="s">
        <v>1196</v>
      </c>
    </row>
    <row r="53" spans="1:7" ht="13" customHeight="1" x14ac:dyDescent="0.25">
      <c r="A53" s="150"/>
      <c r="B53" s="37" t="s">
        <v>2147</v>
      </c>
      <c r="C53" s="37" t="s">
        <v>2151</v>
      </c>
      <c r="D53" s="74" t="s">
        <v>1191</v>
      </c>
      <c r="E53" s="37" t="s">
        <v>1195</v>
      </c>
      <c r="F53" s="37" t="s">
        <v>1225</v>
      </c>
      <c r="G53" s="37" t="s">
        <v>1193</v>
      </c>
    </row>
    <row r="54" spans="1:7" ht="13" customHeight="1" x14ac:dyDescent="0.25">
      <c r="A54" s="150"/>
      <c r="B54" s="37" t="s">
        <v>2148</v>
      </c>
      <c r="C54" s="37" t="s">
        <v>2152</v>
      </c>
      <c r="D54" s="74" t="s">
        <v>1191</v>
      </c>
      <c r="E54" s="37" t="s">
        <v>1194</v>
      </c>
      <c r="F54" s="37" t="s">
        <v>1215</v>
      </c>
      <c r="G54" s="37" t="s">
        <v>1193</v>
      </c>
    </row>
    <row r="55" spans="1:7" x14ac:dyDescent="0.25">
      <c r="A55" s="141" t="s">
        <v>1197</v>
      </c>
      <c r="B55" s="145" t="s">
        <v>27</v>
      </c>
      <c r="C55" s="146"/>
      <c r="D55" s="146"/>
      <c r="E55" s="146"/>
      <c r="F55" s="146"/>
      <c r="G55" s="134"/>
    </row>
    <row r="56" spans="1:7" x14ac:dyDescent="0.25">
      <c r="A56" s="150"/>
      <c r="B56" s="147" t="s">
        <v>28</v>
      </c>
      <c r="C56" s="146"/>
      <c r="D56" s="146"/>
      <c r="E56" s="146"/>
      <c r="F56" s="146"/>
      <c r="G56" s="134"/>
    </row>
    <row r="57" spans="1:7" x14ac:dyDescent="0.25">
      <c r="A57" s="150"/>
      <c r="B57" s="157" t="s">
        <v>29</v>
      </c>
      <c r="C57" s="33" t="s">
        <v>19</v>
      </c>
      <c r="D57" s="73" t="s">
        <v>30</v>
      </c>
      <c r="E57" s="33" t="s">
        <v>31</v>
      </c>
      <c r="F57" s="34" t="s">
        <v>32</v>
      </c>
      <c r="G57" s="34" t="s">
        <v>33</v>
      </c>
    </row>
    <row r="58" spans="1:7" x14ac:dyDescent="0.25">
      <c r="A58" s="150"/>
      <c r="B58" s="159"/>
      <c r="C58" s="141" t="s">
        <v>1188</v>
      </c>
      <c r="D58" s="75" t="s">
        <v>1186</v>
      </c>
      <c r="E58" s="75"/>
      <c r="F58" s="152" t="s">
        <v>966</v>
      </c>
      <c r="G58" s="152" t="s">
        <v>1189</v>
      </c>
    </row>
    <row r="59" spans="1:7" x14ac:dyDescent="0.25">
      <c r="A59" s="150"/>
      <c r="B59" s="159"/>
      <c r="C59" s="150"/>
      <c r="D59" s="72" t="s">
        <v>1187</v>
      </c>
      <c r="E59" s="61"/>
      <c r="F59" s="150"/>
      <c r="G59" s="150"/>
    </row>
    <row r="60" spans="1:7" x14ac:dyDescent="0.25">
      <c r="A60" s="150"/>
      <c r="B60" s="147" t="s">
        <v>38</v>
      </c>
      <c r="C60" s="146"/>
      <c r="D60" s="146"/>
      <c r="E60" s="146"/>
      <c r="F60" s="146"/>
      <c r="G60" s="134"/>
    </row>
    <row r="61" spans="1:7" x14ac:dyDescent="0.25">
      <c r="A61" s="150"/>
      <c r="B61" s="157" t="s">
        <v>39</v>
      </c>
      <c r="C61" s="33" t="s">
        <v>19</v>
      </c>
      <c r="D61" s="73" t="s">
        <v>40</v>
      </c>
      <c r="E61" s="33" t="s">
        <v>74</v>
      </c>
      <c r="F61" s="33" t="s">
        <v>75</v>
      </c>
      <c r="G61" s="33" t="s">
        <v>43</v>
      </c>
    </row>
    <row r="62" spans="1:7" x14ac:dyDescent="0.25">
      <c r="A62" s="150"/>
      <c r="B62" s="150"/>
      <c r="C62" s="84" t="s">
        <v>44</v>
      </c>
      <c r="D62" s="61"/>
      <c r="E62" s="61"/>
      <c r="F62" s="61"/>
      <c r="G62" s="61"/>
    </row>
    <row r="63" spans="1:7" x14ac:dyDescent="0.25">
      <c r="A63" s="150"/>
      <c r="B63" s="147" t="s">
        <v>79</v>
      </c>
      <c r="C63" s="146"/>
      <c r="D63" s="146"/>
      <c r="E63" s="146"/>
      <c r="F63" s="146"/>
      <c r="G63" s="134"/>
    </row>
    <row r="64" spans="1:7" x14ac:dyDescent="0.25">
      <c r="A64" s="150"/>
      <c r="B64" s="85" t="s">
        <v>46</v>
      </c>
      <c r="C64" s="147" t="s">
        <v>47</v>
      </c>
      <c r="D64" s="146"/>
      <c r="E64" s="134"/>
      <c r="F64" s="34" t="s">
        <v>48</v>
      </c>
      <c r="G64" s="34" t="s">
        <v>49</v>
      </c>
    </row>
    <row r="65" spans="1:7" x14ac:dyDescent="0.25">
      <c r="A65" s="150"/>
      <c r="B65" s="88" t="s">
        <v>1199</v>
      </c>
      <c r="C65" s="158" t="s">
        <v>1204</v>
      </c>
      <c r="D65" s="160"/>
      <c r="E65" s="160"/>
      <c r="F65" s="43" t="s">
        <v>1192</v>
      </c>
      <c r="G65" s="61" t="s">
        <v>1190</v>
      </c>
    </row>
    <row r="66" spans="1:7" x14ac:dyDescent="0.25">
      <c r="A66" s="150"/>
      <c r="B66" s="88" t="s">
        <v>1201</v>
      </c>
      <c r="C66" s="158" t="s">
        <v>1205</v>
      </c>
      <c r="D66" s="160"/>
      <c r="E66" s="160"/>
      <c r="F66" s="43" t="s">
        <v>1192</v>
      </c>
      <c r="G66" s="61" t="s">
        <v>1190</v>
      </c>
    </row>
    <row r="67" spans="1:7" x14ac:dyDescent="0.25">
      <c r="A67" s="150"/>
      <c r="B67" s="88" t="s">
        <v>1202</v>
      </c>
      <c r="C67" s="158" t="s">
        <v>1204</v>
      </c>
      <c r="D67" s="160"/>
      <c r="E67" s="160"/>
      <c r="F67" s="43" t="s">
        <v>1192</v>
      </c>
      <c r="G67" s="61" t="s">
        <v>1191</v>
      </c>
    </row>
    <row r="68" spans="1:7" x14ac:dyDescent="0.25">
      <c r="A68" s="150"/>
      <c r="B68" s="88" t="s">
        <v>1203</v>
      </c>
      <c r="C68" s="158" t="s">
        <v>1205</v>
      </c>
      <c r="D68" s="160"/>
      <c r="E68" s="160"/>
      <c r="F68" s="43" t="s">
        <v>1192</v>
      </c>
      <c r="G68" s="61" t="s">
        <v>1191</v>
      </c>
    </row>
    <row r="69" spans="1:7" x14ac:dyDescent="0.25">
      <c r="A69" s="150"/>
      <c r="B69" s="88" t="s">
        <v>1219</v>
      </c>
      <c r="C69" s="158" t="s">
        <v>1220</v>
      </c>
      <c r="D69" s="160"/>
      <c r="E69" s="160"/>
      <c r="F69" s="43" t="s">
        <v>1192</v>
      </c>
      <c r="G69" s="61" t="s">
        <v>1191</v>
      </c>
    </row>
    <row r="70" spans="1:7" x14ac:dyDescent="0.25">
      <c r="A70" s="150"/>
      <c r="B70" s="148" t="s">
        <v>82</v>
      </c>
      <c r="C70" s="146"/>
      <c r="D70" s="146"/>
      <c r="E70" s="146"/>
      <c r="F70" s="146"/>
      <c r="G70" s="134"/>
    </row>
    <row r="71" spans="1:7" x14ac:dyDescent="0.25">
      <c r="A71" s="150"/>
      <c r="B71" s="33" t="s">
        <v>46</v>
      </c>
      <c r="C71" s="33" t="s">
        <v>51</v>
      </c>
      <c r="D71" s="73" t="s">
        <v>19</v>
      </c>
      <c r="E71" s="33" t="s">
        <v>52</v>
      </c>
      <c r="F71" s="33" t="s">
        <v>53</v>
      </c>
      <c r="G71" s="33" t="s">
        <v>54</v>
      </c>
    </row>
    <row r="72" spans="1:7" ht="14.15" customHeight="1" x14ac:dyDescent="0.25">
      <c r="A72" s="150"/>
      <c r="B72" s="37" t="s">
        <v>1198</v>
      </c>
      <c r="C72" s="37" t="s">
        <v>1218</v>
      </c>
      <c r="D72" s="74" t="s">
        <v>1209</v>
      </c>
      <c r="E72" s="37" t="s">
        <v>1195</v>
      </c>
      <c r="F72" s="37" t="s">
        <v>1223</v>
      </c>
      <c r="G72" s="37" t="s">
        <v>1210</v>
      </c>
    </row>
    <row r="73" spans="1:7" ht="13" customHeight="1" x14ac:dyDescent="0.25">
      <c r="A73" s="150"/>
      <c r="B73" s="37" t="s">
        <v>1200</v>
      </c>
      <c r="C73" s="37" t="s">
        <v>1205</v>
      </c>
      <c r="D73" s="74" t="s">
        <v>1209</v>
      </c>
      <c r="E73" s="37" t="s">
        <v>1194</v>
      </c>
      <c r="F73" s="37" t="s">
        <v>1217</v>
      </c>
      <c r="G73" s="37" t="s">
        <v>1211</v>
      </c>
    </row>
    <row r="74" spans="1:7" ht="13" customHeight="1" x14ac:dyDescent="0.25">
      <c r="A74" s="150"/>
      <c r="B74" s="37" t="s">
        <v>1202</v>
      </c>
      <c r="C74" s="37" t="s">
        <v>1204</v>
      </c>
      <c r="D74" s="74" t="s">
        <v>1206</v>
      </c>
      <c r="E74" s="37" t="s">
        <v>1195</v>
      </c>
      <c r="F74" s="37" t="s">
        <v>1226</v>
      </c>
      <c r="G74" s="37" t="s">
        <v>1193</v>
      </c>
    </row>
    <row r="75" spans="1:7" ht="13" customHeight="1" x14ac:dyDescent="0.25">
      <c r="A75" s="150"/>
      <c r="B75" s="37" t="s">
        <v>1203</v>
      </c>
      <c r="C75" s="37" t="s">
        <v>1205</v>
      </c>
      <c r="D75" s="74" t="s">
        <v>1207</v>
      </c>
      <c r="E75" s="37" t="s">
        <v>1194</v>
      </c>
      <c r="F75" s="37" t="s">
        <v>1216</v>
      </c>
      <c r="G75" s="37" t="s">
        <v>1193</v>
      </c>
    </row>
    <row r="76" spans="1:7" ht="14.15" customHeight="1" x14ac:dyDescent="0.25">
      <c r="A76" s="150"/>
      <c r="B76" s="37" t="s">
        <v>1219</v>
      </c>
      <c r="C76" s="37" t="s">
        <v>1229</v>
      </c>
      <c r="D76" s="74" t="s">
        <v>1221</v>
      </c>
      <c r="E76" s="37" t="s">
        <v>1222</v>
      </c>
      <c r="F76" s="37" t="s">
        <v>1228</v>
      </c>
      <c r="G76" s="37" t="s">
        <v>1227</v>
      </c>
    </row>
    <row r="77" spans="1:7" x14ac:dyDescent="0.25">
      <c r="A77" s="141" t="s">
        <v>1213</v>
      </c>
      <c r="B77" s="145" t="s">
        <v>27</v>
      </c>
      <c r="C77" s="146"/>
      <c r="D77" s="146"/>
      <c r="E77" s="146"/>
      <c r="F77" s="146"/>
      <c r="G77" s="134"/>
    </row>
    <row r="78" spans="1:7" x14ac:dyDescent="0.25">
      <c r="A78" s="150"/>
      <c r="B78" s="147" t="s">
        <v>28</v>
      </c>
      <c r="C78" s="146"/>
      <c r="D78" s="146"/>
      <c r="E78" s="146"/>
      <c r="F78" s="146"/>
      <c r="G78" s="134"/>
    </row>
    <row r="79" spans="1:7" x14ac:dyDescent="0.25">
      <c r="A79" s="150"/>
      <c r="B79" s="157" t="s">
        <v>29</v>
      </c>
      <c r="C79" s="33" t="s">
        <v>19</v>
      </c>
      <c r="D79" s="73" t="s">
        <v>30</v>
      </c>
      <c r="E79" s="33" t="s">
        <v>31</v>
      </c>
      <c r="F79" s="34" t="s">
        <v>32</v>
      </c>
      <c r="G79" s="34" t="s">
        <v>33</v>
      </c>
    </row>
    <row r="80" spans="1:7" x14ac:dyDescent="0.25">
      <c r="A80" s="150"/>
      <c r="B80" s="159"/>
      <c r="C80" s="141" t="s">
        <v>1188</v>
      </c>
      <c r="D80" s="75" t="s">
        <v>1186</v>
      </c>
      <c r="E80" s="75"/>
      <c r="F80" s="152" t="s">
        <v>966</v>
      </c>
      <c r="G80" s="152" t="s">
        <v>1189</v>
      </c>
    </row>
    <row r="81" spans="1:7" x14ac:dyDescent="0.25">
      <c r="A81" s="150"/>
      <c r="B81" s="159"/>
      <c r="C81" s="150"/>
      <c r="D81" s="72" t="s">
        <v>1187</v>
      </c>
      <c r="E81" s="61"/>
      <c r="F81" s="150"/>
      <c r="G81" s="150"/>
    </row>
    <row r="82" spans="1:7" x14ac:dyDescent="0.25">
      <c r="A82" s="150"/>
      <c r="B82" s="147" t="s">
        <v>38</v>
      </c>
      <c r="C82" s="146"/>
      <c r="D82" s="146"/>
      <c r="E82" s="146"/>
      <c r="F82" s="146"/>
      <c r="G82" s="134"/>
    </row>
    <row r="83" spans="1:7" x14ac:dyDescent="0.25">
      <c r="A83" s="150"/>
      <c r="B83" s="157" t="s">
        <v>39</v>
      </c>
      <c r="C83" s="33" t="s">
        <v>19</v>
      </c>
      <c r="D83" s="73" t="s">
        <v>40</v>
      </c>
      <c r="E83" s="33" t="s">
        <v>74</v>
      </c>
      <c r="F83" s="33" t="s">
        <v>75</v>
      </c>
      <c r="G83" s="33" t="s">
        <v>43</v>
      </c>
    </row>
    <row r="84" spans="1:7" x14ac:dyDescent="0.25">
      <c r="A84" s="150"/>
      <c r="B84" s="150"/>
      <c r="C84" s="84" t="s">
        <v>44</v>
      </c>
      <c r="D84" s="61"/>
      <c r="E84" s="61"/>
      <c r="F84" s="61"/>
      <c r="G84" s="61"/>
    </row>
    <row r="85" spans="1:7" x14ac:dyDescent="0.25">
      <c r="A85" s="150"/>
      <c r="B85" s="147" t="s">
        <v>79</v>
      </c>
      <c r="C85" s="146"/>
      <c r="D85" s="146"/>
      <c r="E85" s="146"/>
      <c r="F85" s="146"/>
      <c r="G85" s="134"/>
    </row>
    <row r="86" spans="1:7" x14ac:dyDescent="0.25">
      <c r="A86" s="150"/>
      <c r="B86" s="85" t="s">
        <v>46</v>
      </c>
      <c r="C86" s="147" t="s">
        <v>47</v>
      </c>
      <c r="D86" s="146"/>
      <c r="E86" s="134"/>
      <c r="F86" s="34" t="s">
        <v>48</v>
      </c>
      <c r="G86" s="34" t="s">
        <v>49</v>
      </c>
    </row>
    <row r="87" spans="1:7" x14ac:dyDescent="0.25">
      <c r="A87" s="150"/>
      <c r="B87" s="88" t="s">
        <v>1239</v>
      </c>
      <c r="C87" s="158" t="s">
        <v>1234</v>
      </c>
      <c r="D87" s="160"/>
      <c r="E87" s="160"/>
      <c r="F87" s="43" t="s">
        <v>1192</v>
      </c>
      <c r="G87" s="61" t="s">
        <v>1236</v>
      </c>
    </row>
    <row r="88" spans="1:7" x14ac:dyDescent="0.25">
      <c r="A88" s="150"/>
      <c r="B88" s="88" t="s">
        <v>1240</v>
      </c>
      <c r="C88" s="158" t="s">
        <v>1235</v>
      </c>
      <c r="D88" s="160"/>
      <c r="E88" s="160"/>
      <c r="F88" s="43" t="s">
        <v>1192</v>
      </c>
      <c r="G88" s="61" t="s">
        <v>1237</v>
      </c>
    </row>
    <row r="89" spans="1:7" x14ac:dyDescent="0.25">
      <c r="A89" s="150"/>
      <c r="B89" s="148" t="s">
        <v>82</v>
      </c>
      <c r="C89" s="146"/>
      <c r="D89" s="146"/>
      <c r="E89" s="146"/>
      <c r="F89" s="146"/>
      <c r="G89" s="134"/>
    </row>
    <row r="90" spans="1:7" x14ac:dyDescent="0.25">
      <c r="A90" s="150"/>
      <c r="B90" s="33" t="s">
        <v>46</v>
      </c>
      <c r="C90" s="33" t="s">
        <v>51</v>
      </c>
      <c r="D90" s="73" t="s">
        <v>19</v>
      </c>
      <c r="E90" s="33" t="s">
        <v>52</v>
      </c>
      <c r="F90" s="33" t="s">
        <v>53</v>
      </c>
      <c r="G90" s="33" t="s">
        <v>54</v>
      </c>
    </row>
    <row r="91" spans="1:7" ht="12.65" customHeight="1" x14ac:dyDescent="0.25">
      <c r="A91" s="150"/>
      <c r="B91" s="37" t="s">
        <v>1238</v>
      </c>
      <c r="C91" s="37" t="s">
        <v>1233</v>
      </c>
      <c r="D91" s="74" t="s">
        <v>1236</v>
      </c>
      <c r="E91" s="37" t="s">
        <v>1230</v>
      </c>
      <c r="F91" s="37" t="s">
        <v>1231</v>
      </c>
      <c r="G91" s="37" t="s">
        <v>1243</v>
      </c>
    </row>
    <row r="92" spans="1:7" ht="12.65" customHeight="1" x14ac:dyDescent="0.25">
      <c r="A92" s="150"/>
      <c r="B92" s="37" t="s">
        <v>1232</v>
      </c>
      <c r="C92" s="37" t="s">
        <v>1235</v>
      </c>
      <c r="D92" s="74" t="s">
        <v>1237</v>
      </c>
      <c r="E92" s="37" t="s">
        <v>1241</v>
      </c>
      <c r="F92" s="37" t="s">
        <v>1242</v>
      </c>
      <c r="G92" s="37" t="s">
        <v>1243</v>
      </c>
    </row>
    <row r="93" spans="1:7" x14ac:dyDescent="0.25">
      <c r="A93" s="141" t="s">
        <v>1245</v>
      </c>
      <c r="B93" s="145" t="s">
        <v>57</v>
      </c>
      <c r="C93" s="160"/>
      <c r="D93" s="160"/>
      <c r="E93" s="160"/>
      <c r="F93" s="160"/>
      <c r="G93" s="160"/>
    </row>
    <row r="94" spans="1:7" x14ac:dyDescent="0.25">
      <c r="A94" s="160"/>
      <c r="B94" s="147" t="s">
        <v>58</v>
      </c>
      <c r="C94" s="160"/>
      <c r="D94" s="160"/>
      <c r="E94" s="160"/>
      <c r="F94" s="160"/>
      <c r="G94" s="160"/>
    </row>
    <row r="95" spans="1:7" x14ac:dyDescent="0.25">
      <c r="A95" s="160"/>
      <c r="B95" s="85" t="s">
        <v>46</v>
      </c>
      <c r="C95" s="147" t="s">
        <v>47</v>
      </c>
      <c r="D95" s="160"/>
      <c r="E95" s="160"/>
      <c r="F95" s="34" t="s">
        <v>48</v>
      </c>
      <c r="G95" s="34" t="s">
        <v>49</v>
      </c>
    </row>
    <row r="96" spans="1:7" x14ac:dyDescent="0.25">
      <c r="A96" s="160"/>
      <c r="B96" s="35" t="s">
        <v>1246</v>
      </c>
      <c r="C96" s="158" t="s">
        <v>1249</v>
      </c>
      <c r="D96" s="160"/>
      <c r="E96" s="160"/>
      <c r="F96" s="43" t="s">
        <v>1247</v>
      </c>
      <c r="G96" s="36" t="s">
        <v>1248</v>
      </c>
    </row>
    <row r="97" spans="1:7" x14ac:dyDescent="0.25">
      <c r="A97" s="160"/>
      <c r="B97" s="148" t="s">
        <v>60</v>
      </c>
      <c r="C97" s="160"/>
      <c r="D97" s="160"/>
      <c r="E97" s="160"/>
      <c r="F97" s="160"/>
      <c r="G97" s="160"/>
    </row>
    <row r="98" spans="1:7" x14ac:dyDescent="0.25">
      <c r="A98" s="160"/>
      <c r="B98" s="33" t="s">
        <v>46</v>
      </c>
      <c r="C98" s="33" t="s">
        <v>51</v>
      </c>
      <c r="D98" s="33" t="s">
        <v>19</v>
      </c>
      <c r="E98" s="33" t="s">
        <v>52</v>
      </c>
      <c r="F98" s="33" t="s">
        <v>53</v>
      </c>
      <c r="G98" s="33" t="s">
        <v>54</v>
      </c>
    </row>
    <row r="99" spans="1:7" ht="17.149999999999999" customHeight="1" x14ac:dyDescent="0.25">
      <c r="A99" s="160"/>
      <c r="B99" s="37" t="s">
        <v>1255</v>
      </c>
      <c r="C99" s="37" t="s">
        <v>1250</v>
      </c>
      <c r="D99" s="37" t="s">
        <v>1247</v>
      </c>
      <c r="E99" s="37" t="s">
        <v>689</v>
      </c>
      <c r="F99" s="37" t="s">
        <v>1252</v>
      </c>
      <c r="G99" s="37" t="s">
        <v>1251</v>
      </c>
    </row>
    <row r="100" spans="1:7" x14ac:dyDescent="0.25">
      <c r="A100" s="141" t="s">
        <v>1254</v>
      </c>
      <c r="B100" s="145" t="s">
        <v>57</v>
      </c>
      <c r="C100" s="160"/>
      <c r="D100" s="160"/>
      <c r="E100" s="160"/>
      <c r="F100" s="160"/>
      <c r="G100" s="160"/>
    </row>
    <row r="101" spans="1:7" x14ac:dyDescent="0.25">
      <c r="A101" s="160"/>
      <c r="B101" s="147" t="s">
        <v>58</v>
      </c>
      <c r="C101" s="160"/>
      <c r="D101" s="160"/>
      <c r="E101" s="160"/>
      <c r="F101" s="160"/>
      <c r="G101" s="160"/>
    </row>
    <row r="102" spans="1:7" x14ac:dyDescent="0.25">
      <c r="A102" s="160"/>
      <c r="B102" s="85" t="s">
        <v>46</v>
      </c>
      <c r="C102" s="147" t="s">
        <v>47</v>
      </c>
      <c r="D102" s="160"/>
      <c r="E102" s="160"/>
      <c r="F102" s="34" t="s">
        <v>48</v>
      </c>
      <c r="G102" s="34" t="s">
        <v>49</v>
      </c>
    </row>
    <row r="103" spans="1:7" x14ac:dyDescent="0.25">
      <c r="A103" s="160"/>
      <c r="B103" s="35" t="s">
        <v>1257</v>
      </c>
      <c r="C103" s="158" t="s">
        <v>1259</v>
      </c>
      <c r="D103" s="160"/>
      <c r="E103" s="160"/>
      <c r="F103" s="43" t="s">
        <v>1264</v>
      </c>
      <c r="G103" s="36" t="s">
        <v>1189</v>
      </c>
    </row>
    <row r="104" spans="1:7" x14ac:dyDescent="0.25">
      <c r="A104" s="160"/>
      <c r="B104" s="148" t="s">
        <v>60</v>
      </c>
      <c r="C104" s="160"/>
      <c r="D104" s="160"/>
      <c r="E104" s="160"/>
      <c r="F104" s="160"/>
      <c r="G104" s="160"/>
    </row>
    <row r="105" spans="1:7" x14ac:dyDescent="0.25">
      <c r="A105" s="160"/>
      <c r="B105" s="33" t="s">
        <v>46</v>
      </c>
      <c r="C105" s="33" t="s">
        <v>51</v>
      </c>
      <c r="D105" s="33" t="s">
        <v>19</v>
      </c>
      <c r="E105" s="33" t="s">
        <v>52</v>
      </c>
      <c r="F105" s="33" t="s">
        <v>53</v>
      </c>
      <c r="G105" s="33" t="s">
        <v>54</v>
      </c>
    </row>
    <row r="106" spans="1:7" ht="14.15" customHeight="1" x14ac:dyDescent="0.25">
      <c r="A106" s="160"/>
      <c r="B106" s="37" t="s">
        <v>1430</v>
      </c>
      <c r="C106" s="37" t="s">
        <v>1263</v>
      </c>
      <c r="D106" s="37" t="s">
        <v>1262</v>
      </c>
      <c r="E106" s="37" t="s">
        <v>1258</v>
      </c>
      <c r="F106" s="37" t="s">
        <v>1268</v>
      </c>
      <c r="G106" s="37" t="s">
        <v>1260</v>
      </c>
    </row>
    <row r="107" spans="1:7" ht="14.15" customHeight="1" x14ac:dyDescent="0.25">
      <c r="A107" s="160"/>
      <c r="B107" s="37" t="s">
        <v>1431</v>
      </c>
      <c r="C107" s="37" t="s">
        <v>1263</v>
      </c>
      <c r="D107" s="37" t="s">
        <v>1207</v>
      </c>
      <c r="E107" s="37" t="s">
        <v>1258</v>
      </c>
      <c r="F107" s="37" t="s">
        <v>1269</v>
      </c>
      <c r="G107" s="37" t="s">
        <v>1260</v>
      </c>
    </row>
    <row r="108" spans="1:7" x14ac:dyDescent="0.25">
      <c r="A108" s="141" t="s">
        <v>1266</v>
      </c>
      <c r="B108" s="145" t="s">
        <v>57</v>
      </c>
      <c r="C108" s="160"/>
      <c r="D108" s="160"/>
      <c r="E108" s="160"/>
      <c r="F108" s="160"/>
      <c r="G108" s="160"/>
    </row>
    <row r="109" spans="1:7" x14ac:dyDescent="0.25">
      <c r="A109" s="160"/>
      <c r="B109" s="147" t="s">
        <v>58</v>
      </c>
      <c r="C109" s="160"/>
      <c r="D109" s="160"/>
      <c r="E109" s="160"/>
      <c r="F109" s="160"/>
      <c r="G109" s="160"/>
    </row>
    <row r="110" spans="1:7" x14ac:dyDescent="0.25">
      <c r="A110" s="160"/>
      <c r="B110" s="85" t="s">
        <v>46</v>
      </c>
      <c r="C110" s="147" t="s">
        <v>47</v>
      </c>
      <c r="D110" s="160"/>
      <c r="E110" s="160"/>
      <c r="F110" s="34" t="s">
        <v>48</v>
      </c>
      <c r="G110" s="34" t="s">
        <v>49</v>
      </c>
    </row>
    <row r="111" spans="1:7" x14ac:dyDescent="0.25">
      <c r="A111" s="160"/>
      <c r="B111" s="35" t="s">
        <v>1424</v>
      </c>
      <c r="C111" s="158" t="s">
        <v>1267</v>
      </c>
      <c r="D111" s="160"/>
      <c r="E111" s="160"/>
      <c r="F111" s="43" t="s">
        <v>1256</v>
      </c>
      <c r="G111" s="36" t="s">
        <v>1261</v>
      </c>
    </row>
    <row r="112" spans="1:7" x14ac:dyDescent="0.25">
      <c r="A112" s="160"/>
      <c r="B112" s="148" t="s">
        <v>60</v>
      </c>
      <c r="C112" s="160"/>
      <c r="D112" s="160"/>
      <c r="E112" s="160"/>
      <c r="F112" s="160"/>
      <c r="G112" s="160"/>
    </row>
    <row r="113" spans="1:7" x14ac:dyDescent="0.25">
      <c r="A113" s="160"/>
      <c r="B113" s="33" t="s">
        <v>46</v>
      </c>
      <c r="C113" s="33" t="s">
        <v>51</v>
      </c>
      <c r="D113" s="33" t="s">
        <v>19</v>
      </c>
      <c r="E113" s="33" t="s">
        <v>52</v>
      </c>
      <c r="F113" s="33" t="s">
        <v>53</v>
      </c>
      <c r="G113" s="33" t="s">
        <v>54</v>
      </c>
    </row>
    <row r="114" spans="1:7" ht="21.65" customHeight="1" x14ac:dyDescent="0.25">
      <c r="A114" s="160"/>
      <c r="B114" s="37" t="s">
        <v>1425</v>
      </c>
      <c r="C114" s="37" t="s">
        <v>1271</v>
      </c>
      <c r="D114" s="37" t="s">
        <v>1262</v>
      </c>
      <c r="E114" s="37" t="s">
        <v>1258</v>
      </c>
      <c r="F114" s="37" t="s">
        <v>1273</v>
      </c>
      <c r="G114" s="37" t="s">
        <v>1270</v>
      </c>
    </row>
    <row r="115" spans="1:7" ht="21.65" customHeight="1" x14ac:dyDescent="0.25">
      <c r="A115" s="160"/>
      <c r="B115" s="37" t="s">
        <v>1426</v>
      </c>
      <c r="C115" s="37" t="s">
        <v>1272</v>
      </c>
      <c r="D115" s="37" t="s">
        <v>1207</v>
      </c>
      <c r="E115" s="37" t="s">
        <v>1258</v>
      </c>
      <c r="F115" s="37" t="s">
        <v>1274</v>
      </c>
      <c r="G115" s="37" t="s">
        <v>1270</v>
      </c>
    </row>
    <row r="116" spans="1:7" x14ac:dyDescent="0.25">
      <c r="A116" s="141" t="s">
        <v>1279</v>
      </c>
      <c r="B116" s="145" t="s">
        <v>57</v>
      </c>
      <c r="C116" s="160"/>
      <c r="D116" s="160"/>
      <c r="E116" s="160"/>
      <c r="F116" s="160"/>
      <c r="G116" s="160"/>
    </row>
    <row r="117" spans="1:7" x14ac:dyDescent="0.25">
      <c r="A117" s="160"/>
      <c r="B117" s="147" t="s">
        <v>58</v>
      </c>
      <c r="C117" s="160"/>
      <c r="D117" s="160"/>
      <c r="E117" s="160"/>
      <c r="F117" s="160"/>
      <c r="G117" s="160"/>
    </row>
    <row r="118" spans="1:7" x14ac:dyDescent="0.25">
      <c r="A118" s="160"/>
      <c r="B118" s="85" t="s">
        <v>46</v>
      </c>
      <c r="C118" s="147" t="s">
        <v>47</v>
      </c>
      <c r="D118" s="160"/>
      <c r="E118" s="160"/>
      <c r="F118" s="34" t="s">
        <v>48</v>
      </c>
      <c r="G118" s="34" t="s">
        <v>49</v>
      </c>
    </row>
    <row r="119" spans="1:7" x14ac:dyDescent="0.25">
      <c r="A119" s="160"/>
      <c r="B119" s="35" t="s">
        <v>1293</v>
      </c>
      <c r="C119" s="158" t="s">
        <v>1280</v>
      </c>
      <c r="D119" s="160"/>
      <c r="E119" s="160"/>
      <c r="F119" s="43" t="s">
        <v>1281</v>
      </c>
      <c r="G119" s="36" t="s">
        <v>1281</v>
      </c>
    </row>
    <row r="120" spans="1:7" x14ac:dyDescent="0.25">
      <c r="A120" s="160"/>
      <c r="B120" s="148" t="s">
        <v>60</v>
      </c>
      <c r="C120" s="160"/>
      <c r="D120" s="160"/>
      <c r="E120" s="160"/>
      <c r="F120" s="160"/>
      <c r="G120" s="160"/>
    </row>
    <row r="121" spans="1:7" x14ac:dyDescent="0.25">
      <c r="A121" s="160"/>
      <c r="B121" s="33" t="s">
        <v>46</v>
      </c>
      <c r="C121" s="33" t="s">
        <v>51</v>
      </c>
      <c r="D121" s="33" t="s">
        <v>19</v>
      </c>
      <c r="E121" s="33" t="s">
        <v>52</v>
      </c>
      <c r="F121" s="33" t="s">
        <v>53</v>
      </c>
      <c r="G121" s="33" t="s">
        <v>54</v>
      </c>
    </row>
    <row r="122" spans="1:7" ht="140" x14ac:dyDescent="0.25">
      <c r="A122" s="160"/>
      <c r="B122" s="37" t="s">
        <v>1292</v>
      </c>
      <c r="C122" s="37" t="s">
        <v>1282</v>
      </c>
      <c r="D122" s="37" t="s">
        <v>1281</v>
      </c>
      <c r="E122" s="37" t="s">
        <v>689</v>
      </c>
      <c r="F122" s="37" t="s">
        <v>1303</v>
      </c>
      <c r="G122" s="37" t="s">
        <v>1283</v>
      </c>
    </row>
    <row r="123" spans="1:7" x14ac:dyDescent="0.25">
      <c r="A123" s="141" t="s">
        <v>1285</v>
      </c>
      <c r="B123" s="145" t="s">
        <v>57</v>
      </c>
      <c r="C123" s="160"/>
      <c r="D123" s="160"/>
      <c r="E123" s="160"/>
      <c r="F123" s="160"/>
      <c r="G123" s="160"/>
    </row>
    <row r="124" spans="1:7" x14ac:dyDescent="0.25">
      <c r="A124" s="160"/>
      <c r="B124" s="147" t="s">
        <v>58</v>
      </c>
      <c r="C124" s="160"/>
      <c r="D124" s="160"/>
      <c r="E124" s="160"/>
      <c r="F124" s="160"/>
      <c r="G124" s="160"/>
    </row>
    <row r="125" spans="1:7" x14ac:dyDescent="0.25">
      <c r="A125" s="160"/>
      <c r="B125" s="85" t="s">
        <v>46</v>
      </c>
      <c r="C125" s="147" t="s">
        <v>47</v>
      </c>
      <c r="D125" s="160"/>
      <c r="E125" s="160"/>
      <c r="F125" s="34" t="s">
        <v>48</v>
      </c>
      <c r="G125" s="34" t="s">
        <v>49</v>
      </c>
    </row>
    <row r="126" spans="1:7" x14ac:dyDescent="0.25">
      <c r="A126" s="160"/>
      <c r="B126" s="35" t="s">
        <v>1291</v>
      </c>
      <c r="C126" s="158" t="s">
        <v>1286</v>
      </c>
      <c r="D126" s="160"/>
      <c r="E126" s="160"/>
      <c r="F126" s="43" t="s">
        <v>1287</v>
      </c>
      <c r="G126" s="36" t="s">
        <v>1288</v>
      </c>
    </row>
    <row r="127" spans="1:7" x14ac:dyDescent="0.25">
      <c r="A127" s="160"/>
      <c r="B127" s="148" t="s">
        <v>60</v>
      </c>
      <c r="C127" s="160"/>
      <c r="D127" s="160"/>
      <c r="E127" s="160"/>
      <c r="F127" s="160"/>
      <c r="G127" s="160"/>
    </row>
    <row r="128" spans="1:7" x14ac:dyDescent="0.25">
      <c r="A128" s="160"/>
      <c r="B128" s="33" t="s">
        <v>46</v>
      </c>
      <c r="C128" s="33" t="s">
        <v>51</v>
      </c>
      <c r="D128" s="33" t="s">
        <v>19</v>
      </c>
      <c r="E128" s="33" t="s">
        <v>52</v>
      </c>
      <c r="F128" s="33" t="s">
        <v>53</v>
      </c>
      <c r="G128" s="33" t="s">
        <v>54</v>
      </c>
    </row>
    <row r="129" spans="1:7" ht="126" x14ac:dyDescent="0.25">
      <c r="A129" s="160"/>
      <c r="B129" s="37" t="s">
        <v>1290</v>
      </c>
      <c r="C129" s="37" t="s">
        <v>1289</v>
      </c>
      <c r="D129" s="37" t="s">
        <v>1288</v>
      </c>
      <c r="E129" s="37" t="s">
        <v>689</v>
      </c>
      <c r="F129" s="37" t="s">
        <v>1302</v>
      </c>
      <c r="G129" s="37" t="s">
        <v>1283</v>
      </c>
    </row>
    <row r="130" spans="1:7" x14ac:dyDescent="0.25">
      <c r="A130" s="141" t="s">
        <v>1295</v>
      </c>
      <c r="B130" s="145" t="s">
        <v>57</v>
      </c>
      <c r="C130" s="160"/>
      <c r="D130" s="160"/>
      <c r="E130" s="160"/>
      <c r="F130" s="160"/>
      <c r="G130" s="160"/>
    </row>
    <row r="131" spans="1:7" x14ac:dyDescent="0.25">
      <c r="A131" s="160"/>
      <c r="B131" s="147" t="s">
        <v>58</v>
      </c>
      <c r="C131" s="160"/>
      <c r="D131" s="160"/>
      <c r="E131" s="160"/>
      <c r="F131" s="160"/>
      <c r="G131" s="160"/>
    </row>
    <row r="132" spans="1:7" x14ac:dyDescent="0.25">
      <c r="A132" s="160"/>
      <c r="B132" s="85" t="s">
        <v>46</v>
      </c>
      <c r="C132" s="147" t="s">
        <v>47</v>
      </c>
      <c r="D132" s="160"/>
      <c r="E132" s="160"/>
      <c r="F132" s="34" t="s">
        <v>48</v>
      </c>
      <c r="G132" s="34" t="s">
        <v>49</v>
      </c>
    </row>
    <row r="133" spans="1:7" x14ac:dyDescent="0.25">
      <c r="A133" s="160"/>
      <c r="B133" s="35" t="s">
        <v>1297</v>
      </c>
      <c r="C133" s="158" t="s">
        <v>1299</v>
      </c>
      <c r="D133" s="160"/>
      <c r="E133" s="160"/>
      <c r="F133" s="43" t="s">
        <v>1300</v>
      </c>
      <c r="G133" s="36" t="s">
        <v>1301</v>
      </c>
    </row>
    <row r="134" spans="1:7" x14ac:dyDescent="0.25">
      <c r="A134" s="160"/>
      <c r="B134" s="148" t="s">
        <v>60</v>
      </c>
      <c r="C134" s="160"/>
      <c r="D134" s="160"/>
      <c r="E134" s="160"/>
      <c r="F134" s="160"/>
      <c r="G134" s="160"/>
    </row>
    <row r="135" spans="1:7" x14ac:dyDescent="0.25">
      <c r="A135" s="160"/>
      <c r="B135" s="33" t="s">
        <v>46</v>
      </c>
      <c r="C135" s="33" t="s">
        <v>51</v>
      </c>
      <c r="D135" s="33" t="s">
        <v>19</v>
      </c>
      <c r="E135" s="33" t="s">
        <v>52</v>
      </c>
      <c r="F135" s="33" t="s">
        <v>53</v>
      </c>
      <c r="G135" s="33" t="s">
        <v>54</v>
      </c>
    </row>
    <row r="136" spans="1:7" ht="17.149999999999999" customHeight="1" x14ac:dyDescent="0.25">
      <c r="A136" s="160"/>
      <c r="B136" s="37" t="s">
        <v>1298</v>
      </c>
      <c r="C136" s="37" t="s">
        <v>1299</v>
      </c>
      <c r="D136" s="37" t="s">
        <v>1304</v>
      </c>
      <c r="E136" s="37" t="s">
        <v>689</v>
      </c>
      <c r="F136" s="37" t="s">
        <v>1633</v>
      </c>
      <c r="G136" s="37" t="s">
        <v>1283</v>
      </c>
    </row>
    <row r="137" spans="1:7" x14ac:dyDescent="0.25">
      <c r="A137" s="141" t="s">
        <v>1305</v>
      </c>
      <c r="B137" s="145" t="s">
        <v>57</v>
      </c>
      <c r="C137" s="160"/>
      <c r="D137" s="160"/>
      <c r="E137" s="160"/>
      <c r="F137" s="160"/>
      <c r="G137" s="160"/>
    </row>
    <row r="138" spans="1:7" x14ac:dyDescent="0.25">
      <c r="A138" s="160"/>
      <c r="B138" s="147" t="s">
        <v>58</v>
      </c>
      <c r="C138" s="160"/>
      <c r="D138" s="160"/>
      <c r="E138" s="160"/>
      <c r="F138" s="160"/>
      <c r="G138" s="160"/>
    </row>
    <row r="139" spans="1:7" x14ac:dyDescent="0.25">
      <c r="A139" s="160"/>
      <c r="B139" s="91" t="s">
        <v>46</v>
      </c>
      <c r="C139" s="147" t="s">
        <v>47</v>
      </c>
      <c r="D139" s="160"/>
      <c r="E139" s="160"/>
      <c r="F139" s="34" t="s">
        <v>48</v>
      </c>
      <c r="G139" s="34" t="s">
        <v>49</v>
      </c>
    </row>
    <row r="140" spans="1:7" x14ac:dyDescent="0.25">
      <c r="A140" s="160"/>
      <c r="B140" s="35" t="s">
        <v>1318</v>
      </c>
      <c r="C140" s="158" t="s">
        <v>1319</v>
      </c>
      <c r="D140" s="160"/>
      <c r="E140" s="160"/>
      <c r="F140" s="43" t="s">
        <v>1320</v>
      </c>
      <c r="G140" s="36" t="s">
        <v>1321</v>
      </c>
    </row>
    <row r="141" spans="1:7" x14ac:dyDescent="0.25">
      <c r="A141" s="160"/>
      <c r="B141" s="148" t="s">
        <v>60</v>
      </c>
      <c r="C141" s="160"/>
      <c r="D141" s="160"/>
      <c r="E141" s="160"/>
      <c r="F141" s="160"/>
      <c r="G141" s="160"/>
    </row>
    <row r="142" spans="1:7" x14ac:dyDescent="0.25">
      <c r="A142" s="160"/>
      <c r="B142" s="33" t="s">
        <v>46</v>
      </c>
      <c r="C142" s="33" t="s">
        <v>51</v>
      </c>
      <c r="D142" s="33" t="s">
        <v>19</v>
      </c>
      <c r="E142" s="33" t="s">
        <v>52</v>
      </c>
      <c r="F142" s="33" t="s">
        <v>53</v>
      </c>
      <c r="G142" s="33" t="s">
        <v>54</v>
      </c>
    </row>
    <row r="143" spans="1:7" ht="33.65" customHeight="1" x14ac:dyDescent="0.25">
      <c r="A143" s="160"/>
      <c r="B143" s="37" t="s">
        <v>1322</v>
      </c>
      <c r="C143" s="37" t="s">
        <v>1323</v>
      </c>
      <c r="D143" s="37" t="s">
        <v>1324</v>
      </c>
      <c r="E143" s="37" t="s">
        <v>658</v>
      </c>
      <c r="F143" s="37" t="s">
        <v>1634</v>
      </c>
      <c r="G143" s="37" t="s">
        <v>1325</v>
      </c>
    </row>
    <row r="144" spans="1:7" ht="33.65" customHeight="1" x14ac:dyDescent="0.25">
      <c r="A144" s="160"/>
      <c r="B144" s="37" t="s">
        <v>1326</v>
      </c>
      <c r="C144" s="37" t="s">
        <v>1327</v>
      </c>
      <c r="D144" s="37" t="s">
        <v>1328</v>
      </c>
      <c r="E144" s="37" t="s">
        <v>658</v>
      </c>
      <c r="F144" s="37" t="s">
        <v>1635</v>
      </c>
      <c r="G144" s="37" t="s">
        <v>1325</v>
      </c>
    </row>
    <row r="145" spans="1:7" x14ac:dyDescent="0.25">
      <c r="A145" s="141" t="s">
        <v>1317</v>
      </c>
      <c r="B145" s="145" t="s">
        <v>57</v>
      </c>
      <c r="C145" s="160"/>
      <c r="D145" s="160"/>
      <c r="E145" s="160"/>
      <c r="F145" s="160"/>
      <c r="G145" s="160"/>
    </row>
    <row r="146" spans="1:7" x14ac:dyDescent="0.25">
      <c r="A146" s="160"/>
      <c r="B146" s="147" t="s">
        <v>58</v>
      </c>
      <c r="C146" s="160"/>
      <c r="D146" s="160"/>
      <c r="E146" s="160"/>
      <c r="F146" s="160"/>
      <c r="G146" s="160"/>
    </row>
    <row r="147" spans="1:7" x14ac:dyDescent="0.25">
      <c r="A147" s="160"/>
      <c r="B147" s="91" t="s">
        <v>46</v>
      </c>
      <c r="C147" s="147" t="s">
        <v>47</v>
      </c>
      <c r="D147" s="160"/>
      <c r="E147" s="160"/>
      <c r="F147" s="34" t="s">
        <v>48</v>
      </c>
      <c r="G147" s="34" t="s">
        <v>49</v>
      </c>
    </row>
    <row r="148" spans="1:7" x14ac:dyDescent="0.25">
      <c r="A148" s="160"/>
      <c r="B148" s="35" t="s">
        <v>1310</v>
      </c>
      <c r="C148" s="158" t="s">
        <v>1312</v>
      </c>
      <c r="D148" s="160"/>
      <c r="E148" s="160"/>
      <c r="F148" s="43" t="s">
        <v>1311</v>
      </c>
      <c r="G148" s="36" t="s">
        <v>1311</v>
      </c>
    </row>
    <row r="149" spans="1:7" x14ac:dyDescent="0.25">
      <c r="A149" s="160"/>
      <c r="B149" s="148" t="s">
        <v>60</v>
      </c>
      <c r="C149" s="160"/>
      <c r="D149" s="160"/>
      <c r="E149" s="160"/>
      <c r="F149" s="160"/>
      <c r="G149" s="160"/>
    </row>
    <row r="150" spans="1:7" x14ac:dyDescent="0.25">
      <c r="A150" s="160"/>
      <c r="B150" s="33" t="s">
        <v>46</v>
      </c>
      <c r="C150" s="33" t="s">
        <v>51</v>
      </c>
      <c r="D150" s="33" t="s">
        <v>19</v>
      </c>
      <c r="E150" s="33" t="s">
        <v>52</v>
      </c>
      <c r="F150" s="33" t="s">
        <v>53</v>
      </c>
      <c r="G150" s="33" t="s">
        <v>54</v>
      </c>
    </row>
    <row r="151" spans="1:7" ht="70" x14ac:dyDescent="0.25">
      <c r="A151" s="160"/>
      <c r="B151" s="37" t="s">
        <v>1427</v>
      </c>
      <c r="C151" s="37" t="s">
        <v>1315</v>
      </c>
      <c r="D151" s="37" t="s">
        <v>1314</v>
      </c>
      <c r="E151" s="37" t="s">
        <v>658</v>
      </c>
      <c r="F151" s="37" t="s">
        <v>1438</v>
      </c>
      <c r="G151" s="37" t="s">
        <v>1313</v>
      </c>
    </row>
  </sheetData>
  <mergeCells count="126">
    <mergeCell ref="A137:A144"/>
    <mergeCell ref="B137:G137"/>
    <mergeCell ref="B138:G138"/>
    <mergeCell ref="C139:E139"/>
    <mergeCell ref="C140:E140"/>
    <mergeCell ref="B141:G141"/>
    <mergeCell ref="A145:A151"/>
    <mergeCell ref="B145:G145"/>
    <mergeCell ref="B146:G146"/>
    <mergeCell ref="C147:E147"/>
    <mergeCell ref="C148:E148"/>
    <mergeCell ref="B149:G149"/>
    <mergeCell ref="B29:G29"/>
    <mergeCell ref="C26:E26"/>
    <mergeCell ref="F10:G10"/>
    <mergeCell ref="F11:G11"/>
    <mergeCell ref="F12:G12"/>
    <mergeCell ref="F14:G14"/>
    <mergeCell ref="A1:A14"/>
    <mergeCell ref="F13:G13"/>
    <mergeCell ref="F5:G5"/>
    <mergeCell ref="F6:G6"/>
    <mergeCell ref="F7:G7"/>
    <mergeCell ref="F8:G8"/>
    <mergeCell ref="F9:G9"/>
    <mergeCell ref="F1:G1"/>
    <mergeCell ref="F2:G2"/>
    <mergeCell ref="F3:G3"/>
    <mergeCell ref="F4:G4"/>
    <mergeCell ref="C18:C19"/>
    <mergeCell ref="F18:F19"/>
    <mergeCell ref="G18:G19"/>
    <mergeCell ref="B20:G20"/>
    <mergeCell ref="B21:B22"/>
    <mergeCell ref="B23:G23"/>
    <mergeCell ref="C24:E24"/>
    <mergeCell ref="C25:E25"/>
    <mergeCell ref="C27:E27"/>
    <mergeCell ref="B85:G85"/>
    <mergeCell ref="C86:E86"/>
    <mergeCell ref="C87:E87"/>
    <mergeCell ref="C88:E88"/>
    <mergeCell ref="C28:E28"/>
    <mergeCell ref="A55:A76"/>
    <mergeCell ref="B55:G55"/>
    <mergeCell ref="B56:G56"/>
    <mergeCell ref="B57:B59"/>
    <mergeCell ref="C58:C59"/>
    <mergeCell ref="F58:F59"/>
    <mergeCell ref="G58:G59"/>
    <mergeCell ref="B60:G60"/>
    <mergeCell ref="B61:B62"/>
    <mergeCell ref="B63:G63"/>
    <mergeCell ref="C64:E64"/>
    <mergeCell ref="C65:E65"/>
    <mergeCell ref="C66:E66"/>
    <mergeCell ref="C67:E67"/>
    <mergeCell ref="C68:E68"/>
    <mergeCell ref="A15:A34"/>
    <mergeCell ref="B15:G15"/>
    <mergeCell ref="B16:G16"/>
    <mergeCell ref="B17:B19"/>
    <mergeCell ref="A100:A107"/>
    <mergeCell ref="B100:G100"/>
    <mergeCell ref="B101:G101"/>
    <mergeCell ref="C102:E102"/>
    <mergeCell ref="C103:E103"/>
    <mergeCell ref="B104:G104"/>
    <mergeCell ref="B89:G89"/>
    <mergeCell ref="C69:E69"/>
    <mergeCell ref="A93:A99"/>
    <mergeCell ref="B93:G93"/>
    <mergeCell ref="B94:G94"/>
    <mergeCell ref="C95:E95"/>
    <mergeCell ref="C96:E96"/>
    <mergeCell ref="B97:G97"/>
    <mergeCell ref="B70:G70"/>
    <mergeCell ref="A77:A92"/>
    <mergeCell ref="B77:G77"/>
    <mergeCell ref="B78:G78"/>
    <mergeCell ref="B79:B81"/>
    <mergeCell ref="C80:C81"/>
    <mergeCell ref="F80:F81"/>
    <mergeCell ref="G80:G81"/>
    <mergeCell ref="B82:G82"/>
    <mergeCell ref="B83:B84"/>
    <mergeCell ref="A116:A122"/>
    <mergeCell ref="B116:G116"/>
    <mergeCell ref="B117:G117"/>
    <mergeCell ref="C118:E118"/>
    <mergeCell ref="C119:E119"/>
    <mergeCell ref="B120:G120"/>
    <mergeCell ref="A108:A115"/>
    <mergeCell ref="B108:G108"/>
    <mergeCell ref="B109:G109"/>
    <mergeCell ref="C110:E110"/>
    <mergeCell ref="C111:E111"/>
    <mergeCell ref="B112:G112"/>
    <mergeCell ref="A130:A136"/>
    <mergeCell ref="B130:G130"/>
    <mergeCell ref="B131:G131"/>
    <mergeCell ref="C132:E132"/>
    <mergeCell ref="C133:E133"/>
    <mergeCell ref="B134:G134"/>
    <mergeCell ref="A123:A129"/>
    <mergeCell ref="B123:G123"/>
    <mergeCell ref="B124:G124"/>
    <mergeCell ref="C125:E125"/>
    <mergeCell ref="C126:E126"/>
    <mergeCell ref="B127:G127"/>
    <mergeCell ref="A35:A54"/>
    <mergeCell ref="B35:G35"/>
    <mergeCell ref="B36:G36"/>
    <mergeCell ref="B37:B39"/>
    <mergeCell ref="C38:C39"/>
    <mergeCell ref="F38:F39"/>
    <mergeCell ref="G38:G39"/>
    <mergeCell ref="B40:G40"/>
    <mergeCell ref="B41:B42"/>
    <mergeCell ref="B43:G43"/>
    <mergeCell ref="C44:E44"/>
    <mergeCell ref="C45:E45"/>
    <mergeCell ref="C46:E46"/>
    <mergeCell ref="C47:E47"/>
    <mergeCell ref="C48:E48"/>
    <mergeCell ref="B49:G49"/>
  </mergeCells>
  <phoneticPr fontId="1" type="noConversion"/>
  <dataValidations disablePrompts="1" count="1">
    <dataValidation type="list" allowBlank="1" showInputMessage="1" showErrorMessage="1" sqref="C2:C14">
      <formula1>"流程图,状态机,等价类划分&amp;数据组合,直接分析"</formula1>
    </dataValidation>
  </dataValidation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G101"/>
  <sheetViews>
    <sheetView workbookViewId="0">
      <pane xSplit="1" ySplit="7" topLeftCell="B45" activePane="bottomRight" state="frozen"/>
      <selection pane="topRight" activeCell="B1" sqref="B1"/>
      <selection pane="bottomLeft" activeCell="A7" sqref="A7"/>
      <selection pane="bottomRight" activeCell="C71" sqref="C71"/>
    </sheetView>
  </sheetViews>
  <sheetFormatPr defaultColWidth="9" defaultRowHeight="14" x14ac:dyDescent="0.25"/>
  <cols>
    <col min="1" max="1" width="15" style="46" customWidth="1"/>
    <col min="2" max="2" width="32.08984375" style="46" customWidth="1"/>
    <col min="3" max="3" width="23.453125" style="46" bestFit="1" customWidth="1"/>
    <col min="4" max="4" width="59.453125" style="46" customWidth="1"/>
    <col min="5" max="5" width="17.36328125" style="46" bestFit="1" customWidth="1"/>
    <col min="6" max="6" width="61.90625" style="46" customWidth="1"/>
    <col min="7" max="7" width="82.453125" style="46" customWidth="1"/>
    <col min="8" max="23" width="9" style="46" customWidth="1"/>
    <col min="24" max="16384" width="9" style="46"/>
  </cols>
  <sheetData>
    <row r="1" spans="1:7" x14ac:dyDescent="0.25">
      <c r="A1" s="169" t="s">
        <v>26</v>
      </c>
      <c r="B1" s="69" t="s">
        <v>15</v>
      </c>
      <c r="C1" s="69" t="s">
        <v>16</v>
      </c>
      <c r="D1" s="69" t="s">
        <v>17</v>
      </c>
      <c r="E1" s="69" t="s">
        <v>18</v>
      </c>
      <c r="F1" s="171" t="s">
        <v>19</v>
      </c>
      <c r="G1" s="130"/>
    </row>
    <row r="2" spans="1:7" ht="14.5" customHeight="1" x14ac:dyDescent="0.25">
      <c r="A2" s="149"/>
      <c r="B2" s="63" t="s">
        <v>256</v>
      </c>
      <c r="C2" s="63" t="s">
        <v>21</v>
      </c>
      <c r="D2" s="63"/>
      <c r="E2" s="89">
        <v>2</v>
      </c>
      <c r="F2" s="132" t="s">
        <v>237</v>
      </c>
      <c r="G2" s="132"/>
    </row>
    <row r="3" spans="1:7" ht="14.5" customHeight="1" x14ac:dyDescent="0.25">
      <c r="A3" s="150"/>
      <c r="B3" s="63" t="s">
        <v>257</v>
      </c>
      <c r="C3" s="63" t="s">
        <v>21</v>
      </c>
      <c r="D3" s="63"/>
      <c r="E3" s="89">
        <v>2</v>
      </c>
      <c r="F3" s="132" t="s">
        <v>237</v>
      </c>
      <c r="G3" s="132"/>
    </row>
    <row r="4" spans="1:7" ht="14.5" customHeight="1" x14ac:dyDescent="0.25">
      <c r="A4" s="150"/>
      <c r="B4" s="63" t="s">
        <v>258</v>
      </c>
      <c r="C4" s="63" t="s">
        <v>21</v>
      </c>
      <c r="D4" s="63"/>
      <c r="E4" s="89">
        <v>3</v>
      </c>
      <c r="F4" s="132" t="s">
        <v>237</v>
      </c>
      <c r="G4" s="132"/>
    </row>
    <row r="5" spans="1:7" ht="14.5" customHeight="1" x14ac:dyDescent="0.25">
      <c r="A5" s="150"/>
      <c r="B5" s="63" t="s">
        <v>259</v>
      </c>
      <c r="C5" s="63" t="s">
        <v>22</v>
      </c>
      <c r="D5" s="63"/>
      <c r="E5" s="89">
        <v>1</v>
      </c>
      <c r="F5" s="132" t="s">
        <v>237</v>
      </c>
      <c r="G5" s="132"/>
    </row>
    <row r="6" spans="1:7" ht="14.5" customHeight="1" x14ac:dyDescent="0.25">
      <c r="A6" s="150"/>
      <c r="B6" s="63" t="s">
        <v>1391</v>
      </c>
      <c r="C6" s="63" t="s">
        <v>22</v>
      </c>
      <c r="D6" s="63"/>
      <c r="E6" s="93">
        <v>2</v>
      </c>
      <c r="F6" s="132" t="s">
        <v>1392</v>
      </c>
      <c r="G6" s="132"/>
    </row>
    <row r="7" spans="1:7" ht="14.5" customHeight="1" x14ac:dyDescent="0.25">
      <c r="A7" s="150"/>
      <c r="B7" s="70" t="s">
        <v>260</v>
      </c>
      <c r="C7" s="71" t="s">
        <v>22</v>
      </c>
      <c r="D7" s="71"/>
      <c r="E7" s="38">
        <v>1</v>
      </c>
      <c r="F7" s="140" t="s">
        <v>1356</v>
      </c>
      <c r="G7" s="140"/>
    </row>
    <row r="8" spans="1:7" x14ac:dyDescent="0.25">
      <c r="A8" s="141" t="s">
        <v>1358</v>
      </c>
      <c r="B8" s="145" t="s">
        <v>27</v>
      </c>
      <c r="C8" s="146"/>
      <c r="D8" s="146"/>
      <c r="E8" s="146"/>
      <c r="F8" s="146"/>
      <c r="G8" s="134"/>
    </row>
    <row r="9" spans="1:7" x14ac:dyDescent="0.25">
      <c r="A9" s="150"/>
      <c r="B9" s="147" t="s">
        <v>28</v>
      </c>
      <c r="C9" s="146"/>
      <c r="D9" s="146"/>
      <c r="E9" s="146"/>
      <c r="F9" s="146"/>
      <c r="G9" s="134"/>
    </row>
    <row r="10" spans="1:7" x14ac:dyDescent="0.25">
      <c r="A10" s="150"/>
      <c r="B10" s="157" t="s">
        <v>29</v>
      </c>
      <c r="C10" s="33" t="s">
        <v>19</v>
      </c>
      <c r="D10" s="73" t="s">
        <v>30</v>
      </c>
      <c r="E10" s="33" t="s">
        <v>31</v>
      </c>
      <c r="F10" s="34" t="s">
        <v>32</v>
      </c>
      <c r="G10" s="34" t="s">
        <v>33</v>
      </c>
    </row>
    <row r="11" spans="1:7" x14ac:dyDescent="0.25">
      <c r="A11" s="150"/>
      <c r="B11" s="159"/>
      <c r="C11" s="141" t="s">
        <v>1188</v>
      </c>
      <c r="D11" s="75" t="s">
        <v>1186</v>
      </c>
      <c r="E11" s="75"/>
      <c r="F11" s="152" t="s">
        <v>966</v>
      </c>
      <c r="G11" s="152" t="s">
        <v>1189</v>
      </c>
    </row>
    <row r="12" spans="1:7" x14ac:dyDescent="0.25">
      <c r="A12" s="150"/>
      <c r="B12" s="159"/>
      <c r="C12" s="150"/>
      <c r="D12" s="72" t="s">
        <v>1187</v>
      </c>
      <c r="E12" s="61"/>
      <c r="F12" s="150"/>
      <c r="G12" s="150"/>
    </row>
    <row r="13" spans="1:7" x14ac:dyDescent="0.25">
      <c r="A13" s="150"/>
      <c r="B13" s="147" t="s">
        <v>38</v>
      </c>
      <c r="C13" s="146"/>
      <c r="D13" s="146"/>
      <c r="E13" s="146"/>
      <c r="F13" s="146"/>
      <c r="G13" s="134"/>
    </row>
    <row r="14" spans="1:7" x14ac:dyDescent="0.25">
      <c r="A14" s="150"/>
      <c r="B14" s="157" t="s">
        <v>39</v>
      </c>
      <c r="C14" s="33" t="s">
        <v>19</v>
      </c>
      <c r="D14" s="73" t="s">
        <v>40</v>
      </c>
      <c r="E14" s="33" t="s">
        <v>74</v>
      </c>
      <c r="F14" s="33" t="s">
        <v>75</v>
      </c>
      <c r="G14" s="33" t="s">
        <v>43</v>
      </c>
    </row>
    <row r="15" spans="1:7" x14ac:dyDescent="0.25">
      <c r="A15" s="150"/>
      <c r="B15" s="150"/>
      <c r="C15" s="84" t="s">
        <v>44</v>
      </c>
      <c r="D15" s="61"/>
      <c r="E15" s="61"/>
      <c r="F15" s="61"/>
      <c r="G15" s="61"/>
    </row>
    <row r="16" spans="1:7" x14ac:dyDescent="0.25">
      <c r="A16" s="150"/>
      <c r="B16" s="147" t="s">
        <v>79</v>
      </c>
      <c r="C16" s="146"/>
      <c r="D16" s="146"/>
      <c r="E16" s="146"/>
      <c r="F16" s="146"/>
      <c r="G16" s="134"/>
    </row>
    <row r="17" spans="1:7" x14ac:dyDescent="0.25">
      <c r="A17" s="150"/>
      <c r="B17" s="85" t="s">
        <v>46</v>
      </c>
      <c r="C17" s="147" t="s">
        <v>47</v>
      </c>
      <c r="D17" s="146"/>
      <c r="E17" s="134"/>
      <c r="F17" s="34" t="s">
        <v>48</v>
      </c>
      <c r="G17" s="34" t="s">
        <v>49</v>
      </c>
    </row>
    <row r="18" spans="1:7" x14ac:dyDescent="0.25">
      <c r="A18" s="150"/>
      <c r="B18" s="88" t="s">
        <v>1339</v>
      </c>
      <c r="C18" s="158" t="s">
        <v>1307</v>
      </c>
      <c r="D18" s="160"/>
      <c r="E18" s="160"/>
      <c r="F18" s="43" t="s">
        <v>1192</v>
      </c>
      <c r="G18" s="61" t="s">
        <v>1208</v>
      </c>
    </row>
    <row r="19" spans="1:7" x14ac:dyDescent="0.25">
      <c r="A19" s="150"/>
      <c r="B19" s="88" t="s">
        <v>1340</v>
      </c>
      <c r="C19" s="158" t="s">
        <v>1308</v>
      </c>
      <c r="D19" s="160"/>
      <c r="E19" s="160"/>
      <c r="F19" s="43" t="s">
        <v>1192</v>
      </c>
      <c r="G19" s="61" t="s">
        <v>1190</v>
      </c>
    </row>
    <row r="20" spans="1:7" x14ac:dyDescent="0.25">
      <c r="A20" s="150"/>
      <c r="B20" s="88" t="s">
        <v>1341</v>
      </c>
      <c r="C20" s="158" t="s">
        <v>1307</v>
      </c>
      <c r="D20" s="160"/>
      <c r="E20" s="160"/>
      <c r="F20" s="43" t="s">
        <v>1192</v>
      </c>
      <c r="G20" s="61" t="s">
        <v>1191</v>
      </c>
    </row>
    <row r="21" spans="1:7" x14ac:dyDescent="0.25">
      <c r="A21" s="150"/>
      <c r="B21" s="88" t="s">
        <v>1342</v>
      </c>
      <c r="C21" s="158" t="s">
        <v>1308</v>
      </c>
      <c r="D21" s="160"/>
      <c r="E21" s="160"/>
      <c r="F21" s="43" t="s">
        <v>1192</v>
      </c>
      <c r="G21" s="61" t="s">
        <v>1191</v>
      </c>
    </row>
    <row r="22" spans="1:7" x14ac:dyDescent="0.25">
      <c r="A22" s="150"/>
      <c r="B22" s="148" t="s">
        <v>82</v>
      </c>
      <c r="C22" s="146"/>
      <c r="D22" s="146"/>
      <c r="E22" s="146"/>
      <c r="F22" s="146"/>
      <c r="G22" s="134"/>
    </row>
    <row r="23" spans="1:7" x14ac:dyDescent="0.25">
      <c r="A23" s="150"/>
      <c r="B23" s="33" t="s">
        <v>46</v>
      </c>
      <c r="C23" s="33" t="s">
        <v>51</v>
      </c>
      <c r="D23" s="73" t="s">
        <v>19</v>
      </c>
      <c r="E23" s="33" t="s">
        <v>52</v>
      </c>
      <c r="F23" s="33" t="s">
        <v>53</v>
      </c>
      <c r="G23" s="33" t="s">
        <v>54</v>
      </c>
    </row>
    <row r="24" spans="1:7" ht="14.15" customHeight="1" x14ac:dyDescent="0.25">
      <c r="A24" s="150"/>
      <c r="B24" s="37" t="s">
        <v>1339</v>
      </c>
      <c r="C24" s="37" t="s">
        <v>1307</v>
      </c>
      <c r="D24" s="74" t="s">
        <v>1209</v>
      </c>
      <c r="E24" s="37" t="s">
        <v>1195</v>
      </c>
      <c r="F24" s="37" t="s">
        <v>1329</v>
      </c>
      <c r="G24" s="37" t="s">
        <v>1331</v>
      </c>
    </row>
    <row r="25" spans="1:7" ht="14.15" customHeight="1" x14ac:dyDescent="0.25">
      <c r="A25" s="150"/>
      <c r="B25" s="37" t="s">
        <v>1340</v>
      </c>
      <c r="C25" s="37" t="s">
        <v>1308</v>
      </c>
      <c r="D25" s="74" t="s">
        <v>1209</v>
      </c>
      <c r="E25" s="37" t="s">
        <v>1194</v>
      </c>
      <c r="F25" s="37" t="s">
        <v>1330</v>
      </c>
      <c r="G25" s="37" t="s">
        <v>1332</v>
      </c>
    </row>
    <row r="26" spans="1:7" ht="14.15" customHeight="1" x14ac:dyDescent="0.25">
      <c r="A26" s="150"/>
      <c r="B26" s="37" t="s">
        <v>1341</v>
      </c>
      <c r="C26" s="37" t="s">
        <v>1307</v>
      </c>
      <c r="D26" s="74" t="s">
        <v>1206</v>
      </c>
      <c r="E26" s="37" t="s">
        <v>1195</v>
      </c>
      <c r="F26" s="37" t="s">
        <v>1333</v>
      </c>
      <c r="G26" s="37" t="s">
        <v>1331</v>
      </c>
    </row>
    <row r="27" spans="1:7" ht="14.15" customHeight="1" x14ac:dyDescent="0.25">
      <c r="A27" s="150"/>
      <c r="B27" s="37" t="s">
        <v>1342</v>
      </c>
      <c r="C27" s="37" t="s">
        <v>1308</v>
      </c>
      <c r="D27" s="74" t="s">
        <v>1207</v>
      </c>
      <c r="E27" s="37" t="s">
        <v>1194</v>
      </c>
      <c r="F27" s="37" t="s">
        <v>1334</v>
      </c>
      <c r="G27" s="37" t="s">
        <v>1331</v>
      </c>
    </row>
    <row r="28" spans="1:7" x14ac:dyDescent="0.25">
      <c r="A28" s="141" t="s">
        <v>2153</v>
      </c>
      <c r="B28" s="145" t="s">
        <v>27</v>
      </c>
      <c r="C28" s="146"/>
      <c r="D28" s="146"/>
      <c r="E28" s="146"/>
      <c r="F28" s="146"/>
      <c r="G28" s="134"/>
    </row>
    <row r="29" spans="1:7" x14ac:dyDescent="0.25">
      <c r="A29" s="150"/>
      <c r="B29" s="147" t="s">
        <v>28</v>
      </c>
      <c r="C29" s="146"/>
      <c r="D29" s="146"/>
      <c r="E29" s="146"/>
      <c r="F29" s="146"/>
      <c r="G29" s="134"/>
    </row>
    <row r="30" spans="1:7" x14ac:dyDescent="0.25">
      <c r="A30" s="150"/>
      <c r="B30" s="157" t="s">
        <v>29</v>
      </c>
      <c r="C30" s="33" t="s">
        <v>19</v>
      </c>
      <c r="D30" s="73" t="s">
        <v>30</v>
      </c>
      <c r="E30" s="33" t="s">
        <v>31</v>
      </c>
      <c r="F30" s="34" t="s">
        <v>32</v>
      </c>
      <c r="G30" s="34" t="s">
        <v>33</v>
      </c>
    </row>
    <row r="31" spans="1:7" x14ac:dyDescent="0.25">
      <c r="A31" s="150"/>
      <c r="B31" s="159"/>
      <c r="C31" s="141" t="s">
        <v>1188</v>
      </c>
      <c r="D31" s="75" t="s">
        <v>1186</v>
      </c>
      <c r="E31" s="75"/>
      <c r="F31" s="152" t="s">
        <v>966</v>
      </c>
      <c r="G31" s="152" t="s">
        <v>1189</v>
      </c>
    </row>
    <row r="32" spans="1:7" x14ac:dyDescent="0.25">
      <c r="A32" s="150"/>
      <c r="B32" s="159"/>
      <c r="C32" s="150"/>
      <c r="D32" s="72" t="s">
        <v>1187</v>
      </c>
      <c r="E32" s="61"/>
      <c r="F32" s="150"/>
      <c r="G32" s="150"/>
    </row>
    <row r="33" spans="1:7" x14ac:dyDescent="0.25">
      <c r="A33" s="150"/>
      <c r="B33" s="147" t="s">
        <v>38</v>
      </c>
      <c r="C33" s="146"/>
      <c r="D33" s="146"/>
      <c r="E33" s="146"/>
      <c r="F33" s="146"/>
      <c r="G33" s="134"/>
    </row>
    <row r="34" spans="1:7" x14ac:dyDescent="0.25">
      <c r="A34" s="150"/>
      <c r="B34" s="157" t="s">
        <v>39</v>
      </c>
      <c r="C34" s="33" t="s">
        <v>19</v>
      </c>
      <c r="D34" s="73" t="s">
        <v>40</v>
      </c>
      <c r="E34" s="33" t="s">
        <v>74</v>
      </c>
      <c r="F34" s="33" t="s">
        <v>75</v>
      </c>
      <c r="G34" s="33" t="s">
        <v>43</v>
      </c>
    </row>
    <row r="35" spans="1:7" x14ac:dyDescent="0.25">
      <c r="A35" s="150"/>
      <c r="B35" s="150"/>
      <c r="C35" s="84" t="s">
        <v>44</v>
      </c>
      <c r="D35" s="61"/>
      <c r="E35" s="61"/>
      <c r="F35" s="61"/>
      <c r="G35" s="61"/>
    </row>
    <row r="36" spans="1:7" x14ac:dyDescent="0.25">
      <c r="A36" s="150"/>
      <c r="B36" s="147" t="s">
        <v>79</v>
      </c>
      <c r="C36" s="146"/>
      <c r="D36" s="146"/>
      <c r="E36" s="146"/>
      <c r="F36" s="146"/>
      <c r="G36" s="134"/>
    </row>
    <row r="37" spans="1:7" x14ac:dyDescent="0.25">
      <c r="A37" s="150"/>
      <c r="B37" s="85" t="s">
        <v>46</v>
      </c>
      <c r="C37" s="147" t="s">
        <v>47</v>
      </c>
      <c r="D37" s="146"/>
      <c r="E37" s="134"/>
      <c r="F37" s="34" t="s">
        <v>48</v>
      </c>
      <c r="G37" s="34" t="s">
        <v>49</v>
      </c>
    </row>
    <row r="38" spans="1:7" x14ac:dyDescent="0.25">
      <c r="A38" s="150"/>
      <c r="B38" s="88" t="s">
        <v>2155</v>
      </c>
      <c r="C38" s="158" t="s">
        <v>2165</v>
      </c>
      <c r="D38" s="160"/>
      <c r="E38" s="160"/>
      <c r="F38" s="43" t="s">
        <v>1192</v>
      </c>
      <c r="G38" s="61" t="s">
        <v>1190</v>
      </c>
    </row>
    <row r="39" spans="1:7" x14ac:dyDescent="0.25">
      <c r="A39" s="150"/>
      <c r="B39" s="88" t="s">
        <v>2156</v>
      </c>
      <c r="C39" s="158" t="s">
        <v>2166</v>
      </c>
      <c r="D39" s="160"/>
      <c r="E39" s="160"/>
      <c r="F39" s="43" t="s">
        <v>1192</v>
      </c>
      <c r="G39" s="61" t="s">
        <v>1190</v>
      </c>
    </row>
    <row r="40" spans="1:7" x14ac:dyDescent="0.25">
      <c r="A40" s="150"/>
      <c r="B40" s="88" t="s">
        <v>2157</v>
      </c>
      <c r="C40" s="158" t="s">
        <v>2165</v>
      </c>
      <c r="D40" s="160"/>
      <c r="E40" s="160"/>
      <c r="F40" s="43" t="s">
        <v>1192</v>
      </c>
      <c r="G40" s="61" t="s">
        <v>1191</v>
      </c>
    </row>
    <row r="41" spans="1:7" x14ac:dyDescent="0.25">
      <c r="A41" s="150"/>
      <c r="B41" s="88" t="s">
        <v>2158</v>
      </c>
      <c r="C41" s="158" t="s">
        <v>2166</v>
      </c>
      <c r="D41" s="160"/>
      <c r="E41" s="160"/>
      <c r="F41" s="43" t="s">
        <v>1192</v>
      </c>
      <c r="G41" s="61" t="s">
        <v>1191</v>
      </c>
    </row>
    <row r="42" spans="1:7" x14ac:dyDescent="0.25">
      <c r="A42" s="150"/>
      <c r="B42" s="88" t="s">
        <v>2159</v>
      </c>
      <c r="C42" s="158" t="s">
        <v>2167</v>
      </c>
      <c r="D42" s="160"/>
      <c r="E42" s="160"/>
      <c r="F42" s="43" t="s">
        <v>1192</v>
      </c>
      <c r="G42" s="61" t="s">
        <v>1191</v>
      </c>
    </row>
    <row r="43" spans="1:7" x14ac:dyDescent="0.25">
      <c r="A43" s="150"/>
      <c r="B43" s="148" t="s">
        <v>82</v>
      </c>
      <c r="C43" s="146"/>
      <c r="D43" s="146"/>
      <c r="E43" s="146"/>
      <c r="F43" s="146"/>
      <c r="G43" s="134"/>
    </row>
    <row r="44" spans="1:7" x14ac:dyDescent="0.25">
      <c r="A44" s="150"/>
      <c r="B44" s="33" t="s">
        <v>46</v>
      </c>
      <c r="C44" s="33" t="s">
        <v>51</v>
      </c>
      <c r="D44" s="73" t="s">
        <v>19</v>
      </c>
      <c r="E44" s="33" t="s">
        <v>52</v>
      </c>
      <c r="F44" s="33" t="s">
        <v>53</v>
      </c>
      <c r="G44" s="33" t="s">
        <v>54</v>
      </c>
    </row>
    <row r="45" spans="1:7" ht="16.5" customHeight="1" x14ac:dyDescent="0.25">
      <c r="A45" s="150"/>
      <c r="B45" s="37" t="s">
        <v>2155</v>
      </c>
      <c r="C45" s="37" t="s">
        <v>2165</v>
      </c>
      <c r="D45" s="74" t="s">
        <v>1209</v>
      </c>
      <c r="E45" s="37" t="s">
        <v>1195</v>
      </c>
      <c r="F45" s="37" t="s">
        <v>1335</v>
      </c>
      <c r="G45" s="37" t="s">
        <v>1377</v>
      </c>
    </row>
    <row r="46" spans="1:7" ht="16.5" customHeight="1" x14ac:dyDescent="0.25">
      <c r="A46" s="150"/>
      <c r="B46" s="37" t="s">
        <v>2156</v>
      </c>
      <c r="C46" s="37" t="s">
        <v>2166</v>
      </c>
      <c r="D46" s="74" t="s">
        <v>1209</v>
      </c>
      <c r="E46" s="37" t="s">
        <v>1194</v>
      </c>
      <c r="F46" s="37" t="s">
        <v>1336</v>
      </c>
      <c r="G46" s="37" t="s">
        <v>1378</v>
      </c>
    </row>
    <row r="47" spans="1:7" ht="16.5" customHeight="1" x14ac:dyDescent="0.25">
      <c r="A47" s="150"/>
      <c r="B47" s="37" t="s">
        <v>2157</v>
      </c>
      <c r="C47" s="37" t="s">
        <v>2165</v>
      </c>
      <c r="D47" s="74" t="s">
        <v>1206</v>
      </c>
      <c r="E47" s="37" t="s">
        <v>1195</v>
      </c>
      <c r="F47" s="37" t="s">
        <v>1337</v>
      </c>
      <c r="G47" s="37" t="s">
        <v>1331</v>
      </c>
    </row>
    <row r="48" spans="1:7" ht="16.5" customHeight="1" x14ac:dyDescent="0.25">
      <c r="A48" s="150"/>
      <c r="B48" s="37" t="s">
        <v>2158</v>
      </c>
      <c r="C48" s="37" t="s">
        <v>2166</v>
      </c>
      <c r="D48" s="74" t="s">
        <v>1207</v>
      </c>
      <c r="E48" s="37" t="s">
        <v>1194</v>
      </c>
      <c r="F48" s="37" t="s">
        <v>1338</v>
      </c>
      <c r="G48" s="37" t="s">
        <v>1364</v>
      </c>
    </row>
    <row r="49" spans="1:7" ht="16.5" customHeight="1" x14ac:dyDescent="0.25">
      <c r="A49" s="150"/>
      <c r="B49" s="37" t="s">
        <v>2159</v>
      </c>
      <c r="C49" s="37" t="s">
        <v>2168</v>
      </c>
      <c r="D49" s="74" t="s">
        <v>1221</v>
      </c>
      <c r="E49" s="37" t="s">
        <v>1222</v>
      </c>
      <c r="F49" s="37" t="s">
        <v>1376</v>
      </c>
      <c r="G49" s="37" t="s">
        <v>1379</v>
      </c>
    </row>
    <row r="50" spans="1:7" ht="16.5" customHeight="1" x14ac:dyDescent="0.25">
      <c r="A50" s="141" t="s">
        <v>2154</v>
      </c>
      <c r="B50" s="145" t="s">
        <v>27</v>
      </c>
      <c r="C50" s="146"/>
      <c r="D50" s="146"/>
      <c r="E50" s="146"/>
      <c r="F50" s="146"/>
      <c r="G50" s="134"/>
    </row>
    <row r="51" spans="1:7" ht="16.5" customHeight="1" x14ac:dyDescent="0.25">
      <c r="A51" s="150"/>
      <c r="B51" s="147" t="s">
        <v>28</v>
      </c>
      <c r="C51" s="146"/>
      <c r="D51" s="146"/>
      <c r="E51" s="146"/>
      <c r="F51" s="146"/>
      <c r="G51" s="134"/>
    </row>
    <row r="52" spans="1:7" ht="16.5" customHeight="1" x14ac:dyDescent="0.25">
      <c r="A52" s="150"/>
      <c r="B52" s="157" t="s">
        <v>29</v>
      </c>
      <c r="C52" s="33" t="s">
        <v>19</v>
      </c>
      <c r="D52" s="73" t="s">
        <v>30</v>
      </c>
      <c r="E52" s="33" t="s">
        <v>31</v>
      </c>
      <c r="F52" s="34" t="s">
        <v>32</v>
      </c>
      <c r="G52" s="34" t="s">
        <v>33</v>
      </c>
    </row>
    <row r="53" spans="1:7" ht="16.5" customHeight="1" x14ac:dyDescent="0.25">
      <c r="A53" s="150"/>
      <c r="B53" s="159"/>
      <c r="C53" s="141" t="s">
        <v>1188</v>
      </c>
      <c r="D53" s="75" t="s">
        <v>1186</v>
      </c>
      <c r="E53" s="75"/>
      <c r="F53" s="152" t="s">
        <v>966</v>
      </c>
      <c r="G53" s="152" t="s">
        <v>1189</v>
      </c>
    </row>
    <row r="54" spans="1:7" ht="16.5" customHeight="1" x14ac:dyDescent="0.25">
      <c r="A54" s="150"/>
      <c r="B54" s="159"/>
      <c r="C54" s="150"/>
      <c r="D54" s="72" t="s">
        <v>1187</v>
      </c>
      <c r="E54" s="61"/>
      <c r="F54" s="150"/>
      <c r="G54" s="150"/>
    </row>
    <row r="55" spans="1:7" ht="16.5" customHeight="1" x14ac:dyDescent="0.25">
      <c r="A55" s="150"/>
      <c r="B55" s="147" t="s">
        <v>38</v>
      </c>
      <c r="C55" s="146"/>
      <c r="D55" s="146"/>
      <c r="E55" s="146"/>
      <c r="F55" s="146"/>
      <c r="G55" s="134"/>
    </row>
    <row r="56" spans="1:7" ht="16.5" customHeight="1" x14ac:dyDescent="0.25">
      <c r="A56" s="150"/>
      <c r="B56" s="157" t="s">
        <v>39</v>
      </c>
      <c r="C56" s="33" t="s">
        <v>19</v>
      </c>
      <c r="D56" s="73" t="s">
        <v>40</v>
      </c>
      <c r="E56" s="33" t="s">
        <v>74</v>
      </c>
      <c r="F56" s="33" t="s">
        <v>75</v>
      </c>
      <c r="G56" s="33" t="s">
        <v>43</v>
      </c>
    </row>
    <row r="57" spans="1:7" ht="16.5" customHeight="1" x14ac:dyDescent="0.25">
      <c r="A57" s="150"/>
      <c r="B57" s="150"/>
      <c r="C57" s="106" t="s">
        <v>44</v>
      </c>
      <c r="D57" s="61"/>
      <c r="E57" s="61"/>
      <c r="F57" s="61"/>
      <c r="G57" s="61"/>
    </row>
    <row r="58" spans="1:7" ht="16.5" customHeight="1" x14ac:dyDescent="0.25">
      <c r="A58" s="150"/>
      <c r="B58" s="147" t="s">
        <v>79</v>
      </c>
      <c r="C58" s="146"/>
      <c r="D58" s="146"/>
      <c r="E58" s="146"/>
      <c r="F58" s="146"/>
      <c r="G58" s="134"/>
    </row>
    <row r="59" spans="1:7" ht="16.5" customHeight="1" x14ac:dyDescent="0.25">
      <c r="A59" s="150"/>
      <c r="B59" s="107" t="s">
        <v>46</v>
      </c>
      <c r="C59" s="147" t="s">
        <v>47</v>
      </c>
      <c r="D59" s="146"/>
      <c r="E59" s="134"/>
      <c r="F59" s="34" t="s">
        <v>48</v>
      </c>
      <c r="G59" s="34" t="s">
        <v>49</v>
      </c>
    </row>
    <row r="60" spans="1:7" ht="16.5" customHeight="1" x14ac:dyDescent="0.25">
      <c r="A60" s="150"/>
      <c r="B60" s="108" t="s">
        <v>2160</v>
      </c>
      <c r="C60" s="158" t="s">
        <v>2169</v>
      </c>
      <c r="D60" s="160"/>
      <c r="E60" s="160"/>
      <c r="F60" s="43" t="s">
        <v>1188</v>
      </c>
      <c r="G60" s="61" t="s">
        <v>1190</v>
      </c>
    </row>
    <row r="61" spans="1:7" ht="16.5" customHeight="1" x14ac:dyDescent="0.25">
      <c r="A61" s="150"/>
      <c r="B61" s="108" t="s">
        <v>2161</v>
      </c>
      <c r="C61" s="158" t="s">
        <v>2170</v>
      </c>
      <c r="D61" s="160"/>
      <c r="E61" s="160"/>
      <c r="F61" s="43" t="s">
        <v>1188</v>
      </c>
      <c r="G61" s="61" t="s">
        <v>1190</v>
      </c>
    </row>
    <row r="62" spans="1:7" ht="16.5" customHeight="1" x14ac:dyDescent="0.25">
      <c r="A62" s="150"/>
      <c r="B62" s="108" t="s">
        <v>2162</v>
      </c>
      <c r="C62" s="158" t="s">
        <v>2169</v>
      </c>
      <c r="D62" s="160"/>
      <c r="E62" s="160"/>
      <c r="F62" s="43" t="s">
        <v>1188</v>
      </c>
      <c r="G62" s="61" t="s">
        <v>1191</v>
      </c>
    </row>
    <row r="63" spans="1:7" ht="16.5" customHeight="1" x14ac:dyDescent="0.25">
      <c r="A63" s="150"/>
      <c r="B63" s="108" t="s">
        <v>2163</v>
      </c>
      <c r="C63" s="158" t="s">
        <v>2170</v>
      </c>
      <c r="D63" s="160"/>
      <c r="E63" s="160"/>
      <c r="F63" s="43" t="s">
        <v>1188</v>
      </c>
      <c r="G63" s="61" t="s">
        <v>1191</v>
      </c>
    </row>
    <row r="64" spans="1:7" ht="16.5" customHeight="1" x14ac:dyDescent="0.25">
      <c r="A64" s="150"/>
      <c r="B64" s="108" t="s">
        <v>2164</v>
      </c>
      <c r="C64" s="158" t="s">
        <v>2171</v>
      </c>
      <c r="D64" s="160"/>
      <c r="E64" s="160"/>
      <c r="F64" s="43" t="s">
        <v>1188</v>
      </c>
      <c r="G64" s="61" t="s">
        <v>1191</v>
      </c>
    </row>
    <row r="65" spans="1:7" ht="16.5" customHeight="1" x14ac:dyDescent="0.25">
      <c r="A65" s="150"/>
      <c r="B65" s="148" t="s">
        <v>82</v>
      </c>
      <c r="C65" s="146"/>
      <c r="D65" s="146"/>
      <c r="E65" s="146"/>
      <c r="F65" s="146"/>
      <c r="G65" s="134"/>
    </row>
    <row r="66" spans="1:7" ht="16.5" customHeight="1" x14ac:dyDescent="0.25">
      <c r="A66" s="150"/>
      <c r="B66" s="33" t="s">
        <v>46</v>
      </c>
      <c r="C66" s="33" t="s">
        <v>51</v>
      </c>
      <c r="D66" s="73" t="s">
        <v>19</v>
      </c>
      <c r="E66" s="33" t="s">
        <v>52</v>
      </c>
      <c r="F66" s="33" t="s">
        <v>53</v>
      </c>
      <c r="G66" s="33" t="s">
        <v>54</v>
      </c>
    </row>
    <row r="67" spans="1:7" ht="16.5" customHeight="1" x14ac:dyDescent="0.25">
      <c r="A67" s="150"/>
      <c r="B67" s="37" t="s">
        <v>2160</v>
      </c>
      <c r="C67" s="37" t="s">
        <v>2169</v>
      </c>
      <c r="D67" s="74" t="s">
        <v>1190</v>
      </c>
      <c r="E67" s="37" t="s">
        <v>1195</v>
      </c>
      <c r="F67" s="37" t="s">
        <v>1335</v>
      </c>
      <c r="G67" s="37" t="s">
        <v>1377</v>
      </c>
    </row>
    <row r="68" spans="1:7" ht="16.5" customHeight="1" x14ac:dyDescent="0.25">
      <c r="A68" s="150"/>
      <c r="B68" s="37" t="s">
        <v>2161</v>
      </c>
      <c r="C68" s="37" t="s">
        <v>2170</v>
      </c>
      <c r="D68" s="74" t="s">
        <v>1190</v>
      </c>
      <c r="E68" s="37" t="s">
        <v>1194</v>
      </c>
      <c r="F68" s="37" t="s">
        <v>1336</v>
      </c>
      <c r="G68" s="37" t="s">
        <v>1378</v>
      </c>
    </row>
    <row r="69" spans="1:7" ht="16.5" customHeight="1" x14ac:dyDescent="0.25">
      <c r="A69" s="150"/>
      <c r="B69" s="37" t="s">
        <v>2162</v>
      </c>
      <c r="C69" s="37" t="s">
        <v>2169</v>
      </c>
      <c r="D69" s="74" t="s">
        <v>1191</v>
      </c>
      <c r="E69" s="37" t="s">
        <v>1195</v>
      </c>
      <c r="F69" s="37" t="s">
        <v>1337</v>
      </c>
      <c r="G69" s="37" t="s">
        <v>1331</v>
      </c>
    </row>
    <row r="70" spans="1:7" ht="16.5" customHeight="1" x14ac:dyDescent="0.25">
      <c r="A70" s="150"/>
      <c r="B70" s="37" t="s">
        <v>2163</v>
      </c>
      <c r="C70" s="37" t="s">
        <v>2170</v>
      </c>
      <c r="D70" s="74" t="s">
        <v>1191</v>
      </c>
      <c r="E70" s="37" t="s">
        <v>1194</v>
      </c>
      <c r="F70" s="37" t="s">
        <v>1338</v>
      </c>
      <c r="G70" s="37" t="s">
        <v>1364</v>
      </c>
    </row>
    <row r="71" spans="1:7" ht="16.5" customHeight="1" x14ac:dyDescent="0.25">
      <c r="A71" s="150"/>
      <c r="B71" s="37" t="s">
        <v>2164</v>
      </c>
      <c r="C71" s="37" t="s">
        <v>2172</v>
      </c>
      <c r="D71" s="74" t="s">
        <v>1221</v>
      </c>
      <c r="E71" s="37" t="s">
        <v>1222</v>
      </c>
      <c r="F71" s="37" t="s">
        <v>1376</v>
      </c>
      <c r="G71" s="37" t="s">
        <v>1379</v>
      </c>
    </row>
    <row r="72" spans="1:7" x14ac:dyDescent="0.25">
      <c r="A72" s="141" t="s">
        <v>1343</v>
      </c>
      <c r="B72" s="145" t="s">
        <v>27</v>
      </c>
      <c r="C72" s="146"/>
      <c r="D72" s="146"/>
      <c r="E72" s="146"/>
      <c r="F72" s="146"/>
      <c r="G72" s="134"/>
    </row>
    <row r="73" spans="1:7" x14ac:dyDescent="0.25">
      <c r="A73" s="150"/>
      <c r="B73" s="147" t="s">
        <v>28</v>
      </c>
      <c r="C73" s="146"/>
      <c r="D73" s="146"/>
      <c r="E73" s="146"/>
      <c r="F73" s="146"/>
      <c r="G73" s="134"/>
    </row>
    <row r="74" spans="1:7" x14ac:dyDescent="0.25">
      <c r="A74" s="150"/>
      <c r="B74" s="157" t="s">
        <v>29</v>
      </c>
      <c r="C74" s="33" t="s">
        <v>19</v>
      </c>
      <c r="D74" s="73" t="s">
        <v>30</v>
      </c>
      <c r="E74" s="33" t="s">
        <v>31</v>
      </c>
      <c r="F74" s="34" t="s">
        <v>32</v>
      </c>
      <c r="G74" s="34" t="s">
        <v>33</v>
      </c>
    </row>
    <row r="75" spans="1:7" x14ac:dyDescent="0.25">
      <c r="A75" s="150"/>
      <c r="B75" s="159"/>
      <c r="C75" s="141" t="s">
        <v>1188</v>
      </c>
      <c r="D75" s="75" t="s">
        <v>1186</v>
      </c>
      <c r="E75" s="75"/>
      <c r="F75" s="152" t="s">
        <v>966</v>
      </c>
      <c r="G75" s="152" t="s">
        <v>1189</v>
      </c>
    </row>
    <row r="76" spans="1:7" x14ac:dyDescent="0.25">
      <c r="A76" s="150"/>
      <c r="B76" s="159"/>
      <c r="C76" s="150"/>
      <c r="D76" s="72" t="s">
        <v>1187</v>
      </c>
      <c r="E76" s="61"/>
      <c r="F76" s="150"/>
      <c r="G76" s="150"/>
    </row>
    <row r="77" spans="1:7" x14ac:dyDescent="0.25">
      <c r="A77" s="150"/>
      <c r="B77" s="147" t="s">
        <v>38</v>
      </c>
      <c r="C77" s="146"/>
      <c r="D77" s="146"/>
      <c r="E77" s="146"/>
      <c r="F77" s="146"/>
      <c r="G77" s="134"/>
    </row>
    <row r="78" spans="1:7" x14ac:dyDescent="0.25">
      <c r="A78" s="150"/>
      <c r="B78" s="157" t="s">
        <v>39</v>
      </c>
      <c r="C78" s="33" t="s">
        <v>19</v>
      </c>
      <c r="D78" s="73" t="s">
        <v>40</v>
      </c>
      <c r="E78" s="33" t="s">
        <v>74</v>
      </c>
      <c r="F78" s="33" t="s">
        <v>75</v>
      </c>
      <c r="G78" s="33" t="s">
        <v>43</v>
      </c>
    </row>
    <row r="79" spans="1:7" x14ac:dyDescent="0.25">
      <c r="A79" s="150"/>
      <c r="B79" s="150"/>
      <c r="C79" s="90" t="s">
        <v>44</v>
      </c>
      <c r="D79" s="61"/>
      <c r="E79" s="61"/>
      <c r="F79" s="61"/>
      <c r="G79" s="61"/>
    </row>
    <row r="80" spans="1:7" x14ac:dyDescent="0.25">
      <c r="A80" s="150"/>
      <c r="B80" s="147" t="s">
        <v>79</v>
      </c>
      <c r="C80" s="146"/>
      <c r="D80" s="146"/>
      <c r="E80" s="146"/>
      <c r="F80" s="146"/>
      <c r="G80" s="134"/>
    </row>
    <row r="81" spans="1:7" x14ac:dyDescent="0.25">
      <c r="A81" s="150"/>
      <c r="B81" s="91" t="s">
        <v>46</v>
      </c>
      <c r="C81" s="147" t="s">
        <v>47</v>
      </c>
      <c r="D81" s="146"/>
      <c r="E81" s="134"/>
      <c r="F81" s="34" t="s">
        <v>48</v>
      </c>
      <c r="G81" s="34" t="s">
        <v>49</v>
      </c>
    </row>
    <row r="82" spans="1:7" x14ac:dyDescent="0.25">
      <c r="A82" s="150"/>
      <c r="B82" s="92" t="s">
        <v>1344</v>
      </c>
      <c r="C82" s="158" t="s">
        <v>1346</v>
      </c>
      <c r="D82" s="160"/>
      <c r="E82" s="160"/>
      <c r="F82" s="43" t="s">
        <v>1192</v>
      </c>
      <c r="G82" s="61" t="s">
        <v>1236</v>
      </c>
    </row>
    <row r="83" spans="1:7" x14ac:dyDescent="0.25">
      <c r="A83" s="150"/>
      <c r="B83" s="92" t="s">
        <v>1345</v>
      </c>
      <c r="C83" s="158" t="s">
        <v>1347</v>
      </c>
      <c r="D83" s="160"/>
      <c r="E83" s="160"/>
      <c r="F83" s="43" t="s">
        <v>1192</v>
      </c>
      <c r="G83" s="61" t="s">
        <v>1237</v>
      </c>
    </row>
    <row r="84" spans="1:7" x14ac:dyDescent="0.25">
      <c r="A84" s="150"/>
      <c r="B84" s="148" t="s">
        <v>82</v>
      </c>
      <c r="C84" s="146"/>
      <c r="D84" s="146"/>
      <c r="E84" s="146"/>
      <c r="F84" s="146"/>
      <c r="G84" s="134"/>
    </row>
    <row r="85" spans="1:7" x14ac:dyDescent="0.25">
      <c r="A85" s="150"/>
      <c r="B85" s="33" t="s">
        <v>46</v>
      </c>
      <c r="C85" s="33" t="s">
        <v>51</v>
      </c>
      <c r="D85" s="73" t="s">
        <v>19</v>
      </c>
      <c r="E85" s="33" t="s">
        <v>52</v>
      </c>
      <c r="F85" s="33" t="s">
        <v>53</v>
      </c>
      <c r="G85" s="33" t="s">
        <v>54</v>
      </c>
    </row>
    <row r="86" spans="1:7" ht="18.649999999999999" customHeight="1" x14ac:dyDescent="0.25">
      <c r="A86" s="150"/>
      <c r="B86" s="37" t="s">
        <v>1344</v>
      </c>
      <c r="C86" s="37" t="s">
        <v>1346</v>
      </c>
      <c r="D86" s="74" t="s">
        <v>1236</v>
      </c>
      <c r="E86" s="37" t="s">
        <v>1230</v>
      </c>
      <c r="F86" s="37" t="s">
        <v>1352</v>
      </c>
      <c r="G86" s="37" t="s">
        <v>1349</v>
      </c>
    </row>
    <row r="87" spans="1:7" ht="18.649999999999999" customHeight="1" x14ac:dyDescent="0.25">
      <c r="A87" s="150"/>
      <c r="B87" s="37" t="s">
        <v>1345</v>
      </c>
      <c r="C87" s="37" t="s">
        <v>1347</v>
      </c>
      <c r="D87" s="74" t="s">
        <v>1237</v>
      </c>
      <c r="E87" s="37" t="s">
        <v>1194</v>
      </c>
      <c r="F87" s="37" t="s">
        <v>1348</v>
      </c>
      <c r="G87" s="37" t="s">
        <v>1350</v>
      </c>
    </row>
    <row r="88" spans="1:7" x14ac:dyDescent="0.25">
      <c r="A88" s="141" t="s">
        <v>1351</v>
      </c>
      <c r="B88" s="145" t="s">
        <v>57</v>
      </c>
      <c r="C88" s="160"/>
      <c r="D88" s="160"/>
      <c r="E88" s="160"/>
      <c r="F88" s="160"/>
      <c r="G88" s="160"/>
    </row>
    <row r="89" spans="1:7" x14ac:dyDescent="0.25">
      <c r="A89" s="160"/>
      <c r="B89" s="147" t="s">
        <v>58</v>
      </c>
      <c r="C89" s="160"/>
      <c r="D89" s="160"/>
      <c r="E89" s="160"/>
      <c r="F89" s="160"/>
      <c r="G89" s="160"/>
    </row>
    <row r="90" spans="1:7" x14ac:dyDescent="0.25">
      <c r="A90" s="160"/>
      <c r="B90" s="91" t="s">
        <v>46</v>
      </c>
      <c r="C90" s="147" t="s">
        <v>47</v>
      </c>
      <c r="D90" s="160"/>
      <c r="E90" s="160"/>
      <c r="F90" s="34" t="s">
        <v>48</v>
      </c>
      <c r="G90" s="34" t="s">
        <v>49</v>
      </c>
    </row>
    <row r="91" spans="1:7" x14ac:dyDescent="0.25">
      <c r="A91" s="160"/>
      <c r="B91" s="35" t="s">
        <v>1357</v>
      </c>
      <c r="C91" s="158" t="s">
        <v>1355</v>
      </c>
      <c r="D91" s="160"/>
      <c r="E91" s="160"/>
      <c r="F91" s="43" t="s">
        <v>1247</v>
      </c>
      <c r="G91" s="36" t="s">
        <v>1248</v>
      </c>
    </row>
    <row r="92" spans="1:7" x14ac:dyDescent="0.25">
      <c r="A92" s="160"/>
      <c r="B92" s="148" t="s">
        <v>60</v>
      </c>
      <c r="C92" s="160"/>
      <c r="D92" s="160"/>
      <c r="E92" s="160"/>
      <c r="F92" s="160"/>
      <c r="G92" s="160"/>
    </row>
    <row r="93" spans="1:7" x14ac:dyDescent="0.25">
      <c r="A93" s="160"/>
      <c r="B93" s="33" t="s">
        <v>46</v>
      </c>
      <c r="C93" s="33" t="s">
        <v>51</v>
      </c>
      <c r="D93" s="33" t="s">
        <v>19</v>
      </c>
      <c r="E93" s="33" t="s">
        <v>52</v>
      </c>
      <c r="F93" s="33" t="s">
        <v>53</v>
      </c>
      <c r="G93" s="33" t="s">
        <v>54</v>
      </c>
    </row>
    <row r="94" spans="1:7" ht="84" x14ac:dyDescent="0.25">
      <c r="A94" s="160"/>
      <c r="B94" s="37" t="s">
        <v>1357</v>
      </c>
      <c r="C94" s="37" t="s">
        <v>1355</v>
      </c>
      <c r="D94" s="37" t="s">
        <v>1247</v>
      </c>
      <c r="E94" s="37" t="s">
        <v>658</v>
      </c>
      <c r="F94" s="37" t="s">
        <v>1353</v>
      </c>
      <c r="G94" s="37" t="s">
        <v>1354</v>
      </c>
    </row>
    <row r="95" spans="1:7" x14ac:dyDescent="0.25">
      <c r="A95" s="141" t="s">
        <v>1393</v>
      </c>
      <c r="B95" s="145" t="s">
        <v>57</v>
      </c>
      <c r="C95" s="160"/>
      <c r="D95" s="160"/>
      <c r="E95" s="160"/>
      <c r="F95" s="160"/>
      <c r="G95" s="160"/>
    </row>
    <row r="96" spans="1:7" x14ac:dyDescent="0.25">
      <c r="A96" s="160"/>
      <c r="B96" s="147" t="s">
        <v>58</v>
      </c>
      <c r="C96" s="160"/>
      <c r="D96" s="160"/>
      <c r="E96" s="160"/>
      <c r="F96" s="160"/>
      <c r="G96" s="160"/>
    </row>
    <row r="97" spans="1:7" x14ac:dyDescent="0.25">
      <c r="A97" s="160"/>
      <c r="B97" s="91" t="s">
        <v>46</v>
      </c>
      <c r="C97" s="147" t="s">
        <v>47</v>
      </c>
      <c r="D97" s="160"/>
      <c r="E97" s="160"/>
      <c r="F97" s="34" t="s">
        <v>48</v>
      </c>
      <c r="G97" s="34" t="s">
        <v>49</v>
      </c>
    </row>
    <row r="98" spans="1:7" x14ac:dyDescent="0.25">
      <c r="A98" s="160"/>
      <c r="B98" s="35" t="s">
        <v>1398</v>
      </c>
      <c r="C98" s="158" t="s">
        <v>1394</v>
      </c>
      <c r="D98" s="160"/>
      <c r="E98" s="160"/>
      <c r="F98" s="43" t="s">
        <v>1287</v>
      </c>
      <c r="G98" s="36" t="s">
        <v>1288</v>
      </c>
    </row>
    <row r="99" spans="1:7" x14ac:dyDescent="0.25">
      <c r="A99" s="160"/>
      <c r="B99" s="148" t="s">
        <v>60</v>
      </c>
      <c r="C99" s="160"/>
      <c r="D99" s="160"/>
      <c r="E99" s="160"/>
      <c r="F99" s="160"/>
      <c r="G99" s="160"/>
    </row>
    <row r="100" spans="1:7" x14ac:dyDescent="0.25">
      <c r="A100" s="160"/>
      <c r="B100" s="33" t="s">
        <v>46</v>
      </c>
      <c r="C100" s="33" t="s">
        <v>51</v>
      </c>
      <c r="D100" s="33" t="s">
        <v>19</v>
      </c>
      <c r="E100" s="33" t="s">
        <v>52</v>
      </c>
      <c r="F100" s="33" t="s">
        <v>53</v>
      </c>
      <c r="G100" s="33" t="s">
        <v>54</v>
      </c>
    </row>
    <row r="101" spans="1:7" ht="126" x14ac:dyDescent="0.25">
      <c r="A101" s="160"/>
      <c r="B101" s="37" t="s">
        <v>1398</v>
      </c>
      <c r="C101" s="37" t="s">
        <v>1395</v>
      </c>
      <c r="D101" s="37" t="s">
        <v>1288</v>
      </c>
      <c r="E101" s="37" t="s">
        <v>658</v>
      </c>
      <c r="F101" s="37" t="s">
        <v>1397</v>
      </c>
      <c r="G101" s="37" t="s">
        <v>1396</v>
      </c>
    </row>
  </sheetData>
  <mergeCells count="84">
    <mergeCell ref="B95:G95"/>
    <mergeCell ref="C97:E97"/>
    <mergeCell ref="A95:A101"/>
    <mergeCell ref="B96:G96"/>
    <mergeCell ref="C98:E98"/>
    <mergeCell ref="B99:G99"/>
    <mergeCell ref="A88:A94"/>
    <mergeCell ref="B88:G88"/>
    <mergeCell ref="B89:G89"/>
    <mergeCell ref="C90:E90"/>
    <mergeCell ref="C91:E91"/>
    <mergeCell ref="B92:G92"/>
    <mergeCell ref="A72:A87"/>
    <mergeCell ref="B72:G72"/>
    <mergeCell ref="B73:G73"/>
    <mergeCell ref="B74:B76"/>
    <mergeCell ref="C75:C76"/>
    <mergeCell ref="F75:F76"/>
    <mergeCell ref="G75:G76"/>
    <mergeCell ref="B77:G77"/>
    <mergeCell ref="B78:B79"/>
    <mergeCell ref="B80:G80"/>
    <mergeCell ref="C81:E81"/>
    <mergeCell ref="C82:E82"/>
    <mergeCell ref="C83:E83"/>
    <mergeCell ref="B84:G84"/>
    <mergeCell ref="C21:E21"/>
    <mergeCell ref="B22:G22"/>
    <mergeCell ref="A1:A7"/>
    <mergeCell ref="F1:G1"/>
    <mergeCell ref="F2:G2"/>
    <mergeCell ref="F3:G3"/>
    <mergeCell ref="F4:G4"/>
    <mergeCell ref="F5:G5"/>
    <mergeCell ref="F7:G7"/>
    <mergeCell ref="F6:G6"/>
    <mergeCell ref="C41:E41"/>
    <mergeCell ref="C42:E42"/>
    <mergeCell ref="A8:A27"/>
    <mergeCell ref="B8:G8"/>
    <mergeCell ref="B9:G9"/>
    <mergeCell ref="B10:B12"/>
    <mergeCell ref="C11:C12"/>
    <mergeCell ref="F11:F12"/>
    <mergeCell ref="G11:G12"/>
    <mergeCell ref="B13:G13"/>
    <mergeCell ref="B14:B15"/>
    <mergeCell ref="B16:G16"/>
    <mergeCell ref="C17:E17"/>
    <mergeCell ref="C18:E18"/>
    <mergeCell ref="C19:E19"/>
    <mergeCell ref="C20:E20"/>
    <mergeCell ref="C64:E64"/>
    <mergeCell ref="B43:G43"/>
    <mergeCell ref="A28:A49"/>
    <mergeCell ref="B28:G28"/>
    <mergeCell ref="B29:G29"/>
    <mergeCell ref="B30:B32"/>
    <mergeCell ref="C31:C32"/>
    <mergeCell ref="F31:F32"/>
    <mergeCell ref="G31:G32"/>
    <mergeCell ref="B33:G33"/>
    <mergeCell ref="B34:B35"/>
    <mergeCell ref="B36:G36"/>
    <mergeCell ref="C37:E37"/>
    <mergeCell ref="C38:E38"/>
    <mergeCell ref="C39:E39"/>
    <mergeCell ref="C40:E40"/>
    <mergeCell ref="B65:G65"/>
    <mergeCell ref="A50:A71"/>
    <mergeCell ref="B50:G50"/>
    <mergeCell ref="B51:G51"/>
    <mergeCell ref="B52:B54"/>
    <mergeCell ref="C53:C54"/>
    <mergeCell ref="F53:F54"/>
    <mergeCell ref="G53:G54"/>
    <mergeCell ref="B55:G55"/>
    <mergeCell ref="B56:B57"/>
    <mergeCell ref="B58:G58"/>
    <mergeCell ref="C59:E59"/>
    <mergeCell ref="C60:E60"/>
    <mergeCell ref="C61:E61"/>
    <mergeCell ref="C62:E62"/>
    <mergeCell ref="C63:E63"/>
  </mergeCells>
  <phoneticPr fontId="1" type="noConversion"/>
  <dataValidations count="1">
    <dataValidation type="list" allowBlank="1" showInputMessage="1" showErrorMessage="1" sqref="C2:C7">
      <formula1>"流程图,状态机,等价类划分&amp;数据组合,直接分析"</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G112"/>
  <sheetViews>
    <sheetView workbookViewId="0">
      <pane xSplit="1" ySplit="8" topLeftCell="B102" activePane="bottomRight" state="frozen"/>
      <selection pane="topRight" activeCell="B1" sqref="B1"/>
      <selection pane="bottomLeft" activeCell="A9" sqref="A9"/>
      <selection pane="bottomRight" activeCell="D105" sqref="D105"/>
    </sheetView>
  </sheetViews>
  <sheetFormatPr defaultColWidth="9" defaultRowHeight="14" x14ac:dyDescent="0.25"/>
  <cols>
    <col min="1" max="1" width="15" style="46" customWidth="1"/>
    <col min="2" max="2" width="32.08984375" style="46" customWidth="1"/>
    <col min="3" max="3" width="23.453125" style="46" bestFit="1" customWidth="1"/>
    <col min="4" max="4" width="59.453125" style="46" customWidth="1"/>
    <col min="5" max="5" width="17.36328125" style="46" bestFit="1" customWidth="1"/>
    <col min="6" max="6" width="61.90625" style="46" customWidth="1"/>
    <col min="7" max="7" width="82.453125" style="46" customWidth="1"/>
    <col min="8" max="23" width="9" style="46" customWidth="1"/>
    <col min="24" max="16384" width="9" style="46"/>
  </cols>
  <sheetData>
    <row r="1" spans="1:7" x14ac:dyDescent="0.25">
      <c r="A1" s="169" t="s">
        <v>26</v>
      </c>
      <c r="B1" s="69" t="s">
        <v>15</v>
      </c>
      <c r="C1" s="69" t="s">
        <v>16</v>
      </c>
      <c r="D1" s="69" t="s">
        <v>17</v>
      </c>
      <c r="E1" s="69" t="s">
        <v>18</v>
      </c>
      <c r="F1" s="171" t="s">
        <v>19</v>
      </c>
      <c r="G1" s="130"/>
    </row>
    <row r="2" spans="1:7" ht="14.5" customHeight="1" x14ac:dyDescent="0.25">
      <c r="A2" s="149"/>
      <c r="B2" s="63" t="s">
        <v>262</v>
      </c>
      <c r="C2" s="63" t="s">
        <v>21</v>
      </c>
      <c r="D2" s="63"/>
      <c r="E2" s="93">
        <v>2</v>
      </c>
      <c r="F2" s="132" t="s">
        <v>237</v>
      </c>
      <c r="G2" s="132"/>
    </row>
    <row r="3" spans="1:7" ht="14.5" customHeight="1" x14ac:dyDescent="0.25">
      <c r="A3" s="150"/>
      <c r="B3" s="63" t="s">
        <v>263</v>
      </c>
      <c r="C3" s="63" t="s">
        <v>21</v>
      </c>
      <c r="D3" s="63"/>
      <c r="E3" s="93">
        <v>3</v>
      </c>
      <c r="F3" s="132" t="s">
        <v>237</v>
      </c>
      <c r="G3" s="132"/>
    </row>
    <row r="4" spans="1:7" ht="14.5" customHeight="1" x14ac:dyDescent="0.25">
      <c r="A4" s="150"/>
      <c r="B4" s="63" t="s">
        <v>264</v>
      </c>
      <c r="C4" s="63" t="s">
        <v>21</v>
      </c>
      <c r="D4" s="63"/>
      <c r="E4" s="93">
        <v>2</v>
      </c>
      <c r="F4" s="132" t="s">
        <v>237</v>
      </c>
      <c r="G4" s="132"/>
    </row>
    <row r="5" spans="1:7" ht="14.5" customHeight="1" x14ac:dyDescent="0.25">
      <c r="A5" s="150"/>
      <c r="B5" s="63" t="s">
        <v>265</v>
      </c>
      <c r="C5" s="63" t="s">
        <v>22</v>
      </c>
      <c r="D5" s="63"/>
      <c r="E5" s="93">
        <v>1</v>
      </c>
      <c r="F5" s="132" t="s">
        <v>237</v>
      </c>
      <c r="G5" s="132"/>
    </row>
    <row r="6" spans="1:7" ht="14.5" customHeight="1" x14ac:dyDescent="0.25">
      <c r="A6" s="150"/>
      <c r="B6" s="63" t="s">
        <v>266</v>
      </c>
      <c r="C6" s="63" t="s">
        <v>22</v>
      </c>
      <c r="D6" s="63"/>
      <c r="E6" s="93">
        <v>1</v>
      </c>
      <c r="F6" s="132" t="s">
        <v>237</v>
      </c>
      <c r="G6" s="132"/>
    </row>
    <row r="7" spans="1:7" ht="14.5" customHeight="1" x14ac:dyDescent="0.25">
      <c r="A7" s="150"/>
      <c r="B7" s="63" t="s">
        <v>267</v>
      </c>
      <c r="C7" s="63" t="s">
        <v>22</v>
      </c>
      <c r="D7" s="63"/>
      <c r="E7" s="93">
        <v>4</v>
      </c>
      <c r="F7" s="132" t="s">
        <v>268</v>
      </c>
      <c r="G7" s="132"/>
    </row>
    <row r="8" spans="1:7" x14ac:dyDescent="0.25">
      <c r="A8" s="170"/>
      <c r="B8" s="70" t="s">
        <v>1380</v>
      </c>
      <c r="C8" s="71" t="s">
        <v>22</v>
      </c>
      <c r="D8" s="71"/>
      <c r="E8" s="38">
        <v>2</v>
      </c>
      <c r="F8" s="140" t="s">
        <v>1381</v>
      </c>
      <c r="G8" s="140"/>
    </row>
    <row r="9" spans="1:7" x14ac:dyDescent="0.25">
      <c r="A9" s="141" t="s">
        <v>262</v>
      </c>
      <c r="B9" s="145" t="s">
        <v>27</v>
      </c>
      <c r="C9" s="146"/>
      <c r="D9" s="146"/>
      <c r="E9" s="146"/>
      <c r="F9" s="146"/>
      <c r="G9" s="134"/>
    </row>
    <row r="10" spans="1:7" x14ac:dyDescent="0.25">
      <c r="A10" s="150"/>
      <c r="B10" s="147" t="s">
        <v>28</v>
      </c>
      <c r="C10" s="146"/>
      <c r="D10" s="146"/>
      <c r="E10" s="146"/>
      <c r="F10" s="146"/>
      <c r="G10" s="134"/>
    </row>
    <row r="11" spans="1:7" x14ac:dyDescent="0.25">
      <c r="A11" s="150"/>
      <c r="B11" s="157" t="s">
        <v>29</v>
      </c>
      <c r="C11" s="33" t="s">
        <v>19</v>
      </c>
      <c r="D11" s="73" t="s">
        <v>30</v>
      </c>
      <c r="E11" s="33" t="s">
        <v>31</v>
      </c>
      <c r="F11" s="34" t="s">
        <v>32</v>
      </c>
      <c r="G11" s="34" t="s">
        <v>33</v>
      </c>
    </row>
    <row r="12" spans="1:7" x14ac:dyDescent="0.25">
      <c r="A12" s="150"/>
      <c r="B12" s="159"/>
      <c r="C12" s="141" t="s">
        <v>1188</v>
      </c>
      <c r="D12" s="75" t="s">
        <v>1186</v>
      </c>
      <c r="E12" s="75"/>
      <c r="F12" s="152" t="s">
        <v>966</v>
      </c>
      <c r="G12" s="152" t="s">
        <v>1189</v>
      </c>
    </row>
    <row r="13" spans="1:7" x14ac:dyDescent="0.25">
      <c r="A13" s="150"/>
      <c r="B13" s="159"/>
      <c r="C13" s="150"/>
      <c r="D13" s="72" t="s">
        <v>1187</v>
      </c>
      <c r="E13" s="61"/>
      <c r="F13" s="150"/>
      <c r="G13" s="150"/>
    </row>
    <row r="14" spans="1:7" x14ac:dyDescent="0.25">
      <c r="A14" s="150"/>
      <c r="B14" s="147" t="s">
        <v>38</v>
      </c>
      <c r="C14" s="146"/>
      <c r="D14" s="146"/>
      <c r="E14" s="146"/>
      <c r="F14" s="146"/>
      <c r="G14" s="134"/>
    </row>
    <row r="15" spans="1:7" x14ac:dyDescent="0.25">
      <c r="A15" s="150"/>
      <c r="B15" s="157" t="s">
        <v>39</v>
      </c>
      <c r="C15" s="33" t="s">
        <v>19</v>
      </c>
      <c r="D15" s="73" t="s">
        <v>40</v>
      </c>
      <c r="E15" s="33" t="s">
        <v>74</v>
      </c>
      <c r="F15" s="33" t="s">
        <v>75</v>
      </c>
      <c r="G15" s="33" t="s">
        <v>43</v>
      </c>
    </row>
    <row r="16" spans="1:7" x14ac:dyDescent="0.25">
      <c r="A16" s="150"/>
      <c r="B16" s="150"/>
      <c r="C16" s="90" t="s">
        <v>44</v>
      </c>
      <c r="D16" s="61"/>
      <c r="E16" s="61"/>
      <c r="F16" s="61"/>
      <c r="G16" s="61"/>
    </row>
    <row r="17" spans="1:7" x14ac:dyDescent="0.25">
      <c r="A17" s="150"/>
      <c r="B17" s="147" t="s">
        <v>79</v>
      </c>
      <c r="C17" s="146"/>
      <c r="D17" s="146"/>
      <c r="E17" s="146"/>
      <c r="F17" s="146"/>
      <c r="G17" s="134"/>
    </row>
    <row r="18" spans="1:7" x14ac:dyDescent="0.25">
      <c r="A18" s="150"/>
      <c r="B18" s="91" t="s">
        <v>46</v>
      </c>
      <c r="C18" s="147" t="s">
        <v>47</v>
      </c>
      <c r="D18" s="146"/>
      <c r="E18" s="134"/>
      <c r="F18" s="34" t="s">
        <v>48</v>
      </c>
      <c r="G18" s="34" t="s">
        <v>49</v>
      </c>
    </row>
    <row r="19" spans="1:7" x14ac:dyDescent="0.25">
      <c r="A19" s="150"/>
      <c r="B19" s="92" t="s">
        <v>1403</v>
      </c>
      <c r="C19" s="158" t="s">
        <v>1359</v>
      </c>
      <c r="D19" s="160"/>
      <c r="E19" s="160"/>
      <c r="F19" s="43" t="s">
        <v>1192</v>
      </c>
      <c r="G19" s="61" t="s">
        <v>1208</v>
      </c>
    </row>
    <row r="20" spans="1:7" x14ac:dyDescent="0.25">
      <c r="A20" s="150"/>
      <c r="B20" s="92" t="s">
        <v>1404</v>
      </c>
      <c r="C20" s="158" t="s">
        <v>1360</v>
      </c>
      <c r="D20" s="160"/>
      <c r="E20" s="160"/>
      <c r="F20" s="43" t="s">
        <v>1192</v>
      </c>
      <c r="G20" s="61" t="s">
        <v>1190</v>
      </c>
    </row>
    <row r="21" spans="1:7" x14ac:dyDescent="0.25">
      <c r="A21" s="150"/>
      <c r="B21" s="92" t="s">
        <v>1405</v>
      </c>
      <c r="C21" s="158" t="s">
        <v>1359</v>
      </c>
      <c r="D21" s="160"/>
      <c r="E21" s="160"/>
      <c r="F21" s="43" t="s">
        <v>1192</v>
      </c>
      <c r="G21" s="61" t="s">
        <v>1191</v>
      </c>
    </row>
    <row r="22" spans="1:7" x14ac:dyDescent="0.25">
      <c r="A22" s="150"/>
      <c r="B22" s="92" t="s">
        <v>1406</v>
      </c>
      <c r="C22" s="158" t="s">
        <v>1360</v>
      </c>
      <c r="D22" s="160"/>
      <c r="E22" s="160"/>
      <c r="F22" s="43" t="s">
        <v>1192</v>
      </c>
      <c r="G22" s="61" t="s">
        <v>1191</v>
      </c>
    </row>
    <row r="23" spans="1:7" x14ac:dyDescent="0.25">
      <c r="A23" s="150"/>
      <c r="B23" s="148" t="s">
        <v>82</v>
      </c>
      <c r="C23" s="146"/>
      <c r="D23" s="146"/>
      <c r="E23" s="146"/>
      <c r="F23" s="146"/>
      <c r="G23" s="134"/>
    </row>
    <row r="24" spans="1:7" x14ac:dyDescent="0.25">
      <c r="A24" s="150"/>
      <c r="B24" s="33" t="s">
        <v>46</v>
      </c>
      <c r="C24" s="33" t="s">
        <v>51</v>
      </c>
      <c r="D24" s="73" t="s">
        <v>19</v>
      </c>
      <c r="E24" s="33" t="s">
        <v>52</v>
      </c>
      <c r="F24" s="33" t="s">
        <v>53</v>
      </c>
      <c r="G24" s="33" t="s">
        <v>54</v>
      </c>
    </row>
    <row r="25" spans="1:7" ht="12" customHeight="1" x14ac:dyDescent="0.25">
      <c r="A25" s="150"/>
      <c r="B25" s="37" t="s">
        <v>1403</v>
      </c>
      <c r="C25" s="37" t="s">
        <v>1439</v>
      </c>
      <c r="D25" s="74" t="s">
        <v>1209</v>
      </c>
      <c r="E25" s="37" t="s">
        <v>1195</v>
      </c>
      <c r="F25" s="37" t="s">
        <v>1440</v>
      </c>
      <c r="G25" s="37" t="s">
        <v>2219</v>
      </c>
    </row>
    <row r="26" spans="1:7" ht="12" customHeight="1" x14ac:dyDescent="0.25">
      <c r="A26" s="150"/>
      <c r="B26" s="37" t="s">
        <v>1404</v>
      </c>
      <c r="C26" s="37" t="s">
        <v>1360</v>
      </c>
      <c r="D26" s="74" t="s">
        <v>1209</v>
      </c>
      <c r="E26" s="37" t="s">
        <v>1194</v>
      </c>
      <c r="F26" s="37" t="s">
        <v>1441</v>
      </c>
      <c r="G26" s="37" t="s">
        <v>2220</v>
      </c>
    </row>
    <row r="27" spans="1:7" ht="12" customHeight="1" x14ac:dyDescent="0.25">
      <c r="A27" s="150"/>
      <c r="B27" s="37" t="s">
        <v>1405</v>
      </c>
      <c r="C27" s="37" t="s">
        <v>1359</v>
      </c>
      <c r="D27" s="74" t="s">
        <v>1206</v>
      </c>
      <c r="E27" s="37" t="s">
        <v>1195</v>
      </c>
      <c r="F27" s="37" t="s">
        <v>1367</v>
      </c>
      <c r="G27" s="37" t="s">
        <v>2219</v>
      </c>
    </row>
    <row r="28" spans="1:7" ht="12" customHeight="1" x14ac:dyDescent="0.25">
      <c r="A28" s="150"/>
      <c r="B28" s="37" t="s">
        <v>1406</v>
      </c>
      <c r="C28" s="37" t="s">
        <v>1360</v>
      </c>
      <c r="D28" s="74" t="s">
        <v>1207</v>
      </c>
      <c r="E28" s="37" t="s">
        <v>1194</v>
      </c>
      <c r="F28" s="37" t="s">
        <v>1368</v>
      </c>
      <c r="G28" s="37" t="s">
        <v>2219</v>
      </c>
    </row>
    <row r="29" spans="1:7" x14ac:dyDescent="0.25">
      <c r="A29" s="141" t="s">
        <v>263</v>
      </c>
      <c r="B29" s="145" t="s">
        <v>27</v>
      </c>
      <c r="C29" s="146"/>
      <c r="D29" s="146"/>
      <c r="E29" s="146"/>
      <c r="F29" s="146"/>
      <c r="G29" s="134"/>
    </row>
    <row r="30" spans="1:7" x14ac:dyDescent="0.25">
      <c r="A30" s="150"/>
      <c r="B30" s="147" t="s">
        <v>28</v>
      </c>
      <c r="C30" s="146"/>
      <c r="D30" s="146"/>
      <c r="E30" s="146"/>
      <c r="F30" s="146"/>
      <c r="G30" s="134"/>
    </row>
    <row r="31" spans="1:7" x14ac:dyDescent="0.25">
      <c r="A31" s="150"/>
      <c r="B31" s="157" t="s">
        <v>29</v>
      </c>
      <c r="C31" s="33" t="s">
        <v>19</v>
      </c>
      <c r="D31" s="73" t="s">
        <v>30</v>
      </c>
      <c r="E31" s="33" t="s">
        <v>31</v>
      </c>
      <c r="F31" s="34" t="s">
        <v>32</v>
      </c>
      <c r="G31" s="34" t="s">
        <v>33</v>
      </c>
    </row>
    <row r="32" spans="1:7" x14ac:dyDescent="0.25">
      <c r="A32" s="150"/>
      <c r="B32" s="159"/>
      <c r="C32" s="141" t="s">
        <v>1188</v>
      </c>
      <c r="D32" s="75" t="s">
        <v>1186</v>
      </c>
      <c r="E32" s="75"/>
      <c r="F32" s="152" t="s">
        <v>966</v>
      </c>
      <c r="G32" s="152" t="s">
        <v>1189</v>
      </c>
    </row>
    <row r="33" spans="1:7" x14ac:dyDescent="0.25">
      <c r="A33" s="150"/>
      <c r="B33" s="159"/>
      <c r="C33" s="150"/>
      <c r="D33" s="72" t="s">
        <v>1187</v>
      </c>
      <c r="E33" s="61"/>
      <c r="F33" s="150"/>
      <c r="G33" s="150"/>
    </row>
    <row r="34" spans="1:7" x14ac:dyDescent="0.25">
      <c r="A34" s="150"/>
      <c r="B34" s="147" t="s">
        <v>38</v>
      </c>
      <c r="C34" s="146"/>
      <c r="D34" s="146"/>
      <c r="E34" s="146"/>
      <c r="F34" s="146"/>
      <c r="G34" s="134"/>
    </row>
    <row r="35" spans="1:7" x14ac:dyDescent="0.25">
      <c r="A35" s="150"/>
      <c r="B35" s="157" t="s">
        <v>39</v>
      </c>
      <c r="C35" s="33" t="s">
        <v>19</v>
      </c>
      <c r="D35" s="73" t="s">
        <v>40</v>
      </c>
      <c r="E35" s="33" t="s">
        <v>74</v>
      </c>
      <c r="F35" s="33" t="s">
        <v>75</v>
      </c>
      <c r="G35" s="33" t="s">
        <v>43</v>
      </c>
    </row>
    <row r="36" spans="1:7" x14ac:dyDescent="0.25">
      <c r="A36" s="150"/>
      <c r="B36" s="150"/>
      <c r="C36" s="90" t="s">
        <v>44</v>
      </c>
      <c r="D36" s="61"/>
      <c r="E36" s="61"/>
      <c r="F36" s="61"/>
      <c r="G36" s="61"/>
    </row>
    <row r="37" spans="1:7" x14ac:dyDescent="0.25">
      <c r="A37" s="150"/>
      <c r="B37" s="147" t="s">
        <v>79</v>
      </c>
      <c r="C37" s="146"/>
      <c r="D37" s="146"/>
      <c r="E37" s="146"/>
      <c r="F37" s="146"/>
      <c r="G37" s="134"/>
    </row>
    <row r="38" spans="1:7" x14ac:dyDescent="0.25">
      <c r="A38" s="150"/>
      <c r="B38" s="91" t="s">
        <v>46</v>
      </c>
      <c r="C38" s="147" t="s">
        <v>47</v>
      </c>
      <c r="D38" s="146"/>
      <c r="E38" s="134"/>
      <c r="F38" s="34" t="s">
        <v>48</v>
      </c>
      <c r="G38" s="34" t="s">
        <v>49</v>
      </c>
    </row>
    <row r="39" spans="1:7" x14ac:dyDescent="0.25">
      <c r="A39" s="150"/>
      <c r="B39" s="92" t="s">
        <v>1407</v>
      </c>
      <c r="C39" s="158" t="s">
        <v>1361</v>
      </c>
      <c r="D39" s="160"/>
      <c r="E39" s="160"/>
      <c r="F39" s="43" t="s">
        <v>1192</v>
      </c>
      <c r="G39" s="61" t="s">
        <v>1190</v>
      </c>
    </row>
    <row r="40" spans="1:7" x14ac:dyDescent="0.25">
      <c r="A40" s="150"/>
      <c r="B40" s="92" t="s">
        <v>1408</v>
      </c>
      <c r="C40" s="158" t="s">
        <v>1362</v>
      </c>
      <c r="D40" s="160"/>
      <c r="E40" s="160"/>
      <c r="F40" s="43" t="s">
        <v>1192</v>
      </c>
      <c r="G40" s="61" t="s">
        <v>1190</v>
      </c>
    </row>
    <row r="41" spans="1:7" x14ac:dyDescent="0.25">
      <c r="A41" s="150"/>
      <c r="B41" s="92" t="s">
        <v>1409</v>
      </c>
      <c r="C41" s="158" t="s">
        <v>1361</v>
      </c>
      <c r="D41" s="160"/>
      <c r="E41" s="160"/>
      <c r="F41" s="43" t="s">
        <v>1192</v>
      </c>
      <c r="G41" s="61" t="s">
        <v>1191</v>
      </c>
    </row>
    <row r="42" spans="1:7" x14ac:dyDescent="0.25">
      <c r="A42" s="150"/>
      <c r="B42" s="92" t="s">
        <v>1410</v>
      </c>
      <c r="C42" s="158" t="s">
        <v>1362</v>
      </c>
      <c r="D42" s="160"/>
      <c r="E42" s="160"/>
      <c r="F42" s="43" t="s">
        <v>1192</v>
      </c>
      <c r="G42" s="61" t="s">
        <v>1191</v>
      </c>
    </row>
    <row r="43" spans="1:7" x14ac:dyDescent="0.25">
      <c r="A43" s="150"/>
      <c r="B43" s="92" t="s">
        <v>1411</v>
      </c>
      <c r="C43" s="158" t="s">
        <v>1220</v>
      </c>
      <c r="D43" s="160"/>
      <c r="E43" s="160"/>
      <c r="F43" s="43" t="s">
        <v>1192</v>
      </c>
      <c r="G43" s="61" t="s">
        <v>1191</v>
      </c>
    </row>
    <row r="44" spans="1:7" x14ac:dyDescent="0.25">
      <c r="A44" s="150"/>
      <c r="B44" s="148" t="s">
        <v>82</v>
      </c>
      <c r="C44" s="146"/>
      <c r="D44" s="146"/>
      <c r="E44" s="146"/>
      <c r="F44" s="146"/>
      <c r="G44" s="134"/>
    </row>
    <row r="45" spans="1:7" x14ac:dyDescent="0.25">
      <c r="A45" s="150"/>
      <c r="B45" s="33" t="s">
        <v>46</v>
      </c>
      <c r="C45" s="33" t="s">
        <v>51</v>
      </c>
      <c r="D45" s="73" t="s">
        <v>19</v>
      </c>
      <c r="E45" s="33" t="s">
        <v>52</v>
      </c>
      <c r="F45" s="33" t="s">
        <v>53</v>
      </c>
      <c r="G45" s="33" t="s">
        <v>54</v>
      </c>
    </row>
    <row r="46" spans="1:7" ht="18" customHeight="1" x14ac:dyDescent="0.25">
      <c r="A46" s="150"/>
      <c r="B46" s="37" t="s">
        <v>1407</v>
      </c>
      <c r="C46" s="37" t="s">
        <v>1361</v>
      </c>
      <c r="D46" s="74" t="s">
        <v>1209</v>
      </c>
      <c r="E46" s="37" t="s">
        <v>1195</v>
      </c>
      <c r="F46" s="37" t="s">
        <v>1369</v>
      </c>
      <c r="G46" s="37" t="s">
        <v>1373</v>
      </c>
    </row>
    <row r="47" spans="1:7" ht="18" customHeight="1" x14ac:dyDescent="0.25">
      <c r="A47" s="150"/>
      <c r="B47" s="37" t="s">
        <v>1408</v>
      </c>
      <c r="C47" s="37" t="s">
        <v>1362</v>
      </c>
      <c r="D47" s="74" t="s">
        <v>1209</v>
      </c>
      <c r="E47" s="37" t="s">
        <v>1194</v>
      </c>
      <c r="F47" s="37" t="s">
        <v>1370</v>
      </c>
      <c r="G47" s="37" t="s">
        <v>1374</v>
      </c>
    </row>
    <row r="48" spans="1:7" ht="18" customHeight="1" x14ac:dyDescent="0.25">
      <c r="A48" s="150"/>
      <c r="B48" s="37" t="s">
        <v>1409</v>
      </c>
      <c r="C48" s="37" t="s">
        <v>1361</v>
      </c>
      <c r="D48" s="74" t="s">
        <v>1206</v>
      </c>
      <c r="E48" s="37" t="s">
        <v>1195</v>
      </c>
      <c r="F48" s="37" t="s">
        <v>1371</v>
      </c>
      <c r="G48" s="37" t="s">
        <v>1365</v>
      </c>
    </row>
    <row r="49" spans="1:7" ht="18" customHeight="1" x14ac:dyDescent="0.25">
      <c r="A49" s="150"/>
      <c r="B49" s="37" t="s">
        <v>1410</v>
      </c>
      <c r="C49" s="37" t="s">
        <v>1362</v>
      </c>
      <c r="D49" s="74" t="s">
        <v>1207</v>
      </c>
      <c r="E49" s="37" t="s">
        <v>1194</v>
      </c>
      <c r="F49" s="37" t="s">
        <v>1372</v>
      </c>
      <c r="G49" s="37" t="s">
        <v>1365</v>
      </c>
    </row>
    <row r="50" spans="1:7" ht="18" customHeight="1" x14ac:dyDescent="0.25">
      <c r="A50" s="150"/>
      <c r="B50" s="37" t="s">
        <v>1411</v>
      </c>
      <c r="C50" s="37" t="s">
        <v>1229</v>
      </c>
      <c r="D50" s="74" t="s">
        <v>1221</v>
      </c>
      <c r="E50" s="37" t="s">
        <v>1222</v>
      </c>
      <c r="F50" s="37" t="s">
        <v>1375</v>
      </c>
      <c r="G50" s="37" t="s">
        <v>1363</v>
      </c>
    </row>
    <row r="51" spans="1:7" x14ac:dyDescent="0.25">
      <c r="A51" s="141" t="s">
        <v>2173</v>
      </c>
      <c r="B51" s="145" t="s">
        <v>27</v>
      </c>
      <c r="C51" s="146"/>
      <c r="D51" s="146"/>
      <c r="E51" s="146"/>
      <c r="F51" s="146"/>
      <c r="G51" s="134"/>
    </row>
    <row r="52" spans="1:7" x14ac:dyDescent="0.25">
      <c r="A52" s="150"/>
      <c r="B52" s="147" t="s">
        <v>28</v>
      </c>
      <c r="C52" s="146"/>
      <c r="D52" s="146"/>
      <c r="E52" s="146"/>
      <c r="F52" s="146"/>
      <c r="G52" s="134"/>
    </row>
    <row r="53" spans="1:7" x14ac:dyDescent="0.25">
      <c r="A53" s="150"/>
      <c r="B53" s="157" t="s">
        <v>29</v>
      </c>
      <c r="C53" s="33" t="s">
        <v>19</v>
      </c>
      <c r="D53" s="73" t="s">
        <v>30</v>
      </c>
      <c r="E53" s="33" t="s">
        <v>31</v>
      </c>
      <c r="F53" s="34" t="s">
        <v>32</v>
      </c>
      <c r="G53" s="34" t="s">
        <v>33</v>
      </c>
    </row>
    <row r="54" spans="1:7" x14ac:dyDescent="0.25">
      <c r="A54" s="150"/>
      <c r="B54" s="159"/>
      <c r="C54" s="141" t="s">
        <v>1188</v>
      </c>
      <c r="D54" s="75" t="s">
        <v>1186</v>
      </c>
      <c r="E54" s="75"/>
      <c r="F54" s="152" t="s">
        <v>966</v>
      </c>
      <c r="G54" s="152" t="s">
        <v>1189</v>
      </c>
    </row>
    <row r="55" spans="1:7" x14ac:dyDescent="0.25">
      <c r="A55" s="150"/>
      <c r="B55" s="159"/>
      <c r="C55" s="150"/>
      <c r="D55" s="72" t="s">
        <v>1187</v>
      </c>
      <c r="E55" s="61"/>
      <c r="F55" s="150"/>
      <c r="G55" s="150"/>
    </row>
    <row r="56" spans="1:7" x14ac:dyDescent="0.25">
      <c r="A56" s="150"/>
      <c r="B56" s="147" t="s">
        <v>38</v>
      </c>
      <c r="C56" s="146"/>
      <c r="D56" s="146"/>
      <c r="E56" s="146"/>
      <c r="F56" s="146"/>
      <c r="G56" s="134"/>
    </row>
    <row r="57" spans="1:7" x14ac:dyDescent="0.25">
      <c r="A57" s="150"/>
      <c r="B57" s="157" t="s">
        <v>39</v>
      </c>
      <c r="C57" s="33" t="s">
        <v>19</v>
      </c>
      <c r="D57" s="73" t="s">
        <v>40</v>
      </c>
      <c r="E57" s="33" t="s">
        <v>74</v>
      </c>
      <c r="F57" s="33" t="s">
        <v>75</v>
      </c>
      <c r="G57" s="33" t="s">
        <v>43</v>
      </c>
    </row>
    <row r="58" spans="1:7" x14ac:dyDescent="0.25">
      <c r="A58" s="150"/>
      <c r="B58" s="150"/>
      <c r="C58" s="90" t="s">
        <v>44</v>
      </c>
      <c r="D58" s="61"/>
      <c r="E58" s="61"/>
      <c r="F58" s="61"/>
      <c r="G58" s="61"/>
    </row>
    <row r="59" spans="1:7" x14ac:dyDescent="0.25">
      <c r="A59" s="150"/>
      <c r="B59" s="147" t="s">
        <v>79</v>
      </c>
      <c r="C59" s="146"/>
      <c r="D59" s="146"/>
      <c r="E59" s="146"/>
      <c r="F59" s="146"/>
      <c r="G59" s="134"/>
    </row>
    <row r="60" spans="1:7" x14ac:dyDescent="0.25">
      <c r="A60" s="150"/>
      <c r="B60" s="91" t="s">
        <v>46</v>
      </c>
      <c r="C60" s="147" t="s">
        <v>47</v>
      </c>
      <c r="D60" s="146"/>
      <c r="E60" s="134"/>
      <c r="F60" s="34" t="s">
        <v>48</v>
      </c>
      <c r="G60" s="34" t="s">
        <v>49</v>
      </c>
    </row>
    <row r="61" spans="1:7" x14ac:dyDescent="0.25">
      <c r="A61" s="150"/>
      <c r="B61" s="92" t="s">
        <v>2175</v>
      </c>
      <c r="C61" s="158" t="s">
        <v>2180</v>
      </c>
      <c r="D61" s="160"/>
      <c r="E61" s="160"/>
      <c r="F61" s="43" t="s">
        <v>1192</v>
      </c>
      <c r="G61" s="61" t="s">
        <v>1236</v>
      </c>
    </row>
    <row r="62" spans="1:7" x14ac:dyDescent="0.25">
      <c r="A62" s="150"/>
      <c r="B62" s="92" t="s">
        <v>2176</v>
      </c>
      <c r="C62" s="158" t="s">
        <v>2181</v>
      </c>
      <c r="D62" s="160"/>
      <c r="E62" s="160"/>
      <c r="F62" s="43" t="s">
        <v>1192</v>
      </c>
      <c r="G62" s="61" t="s">
        <v>1237</v>
      </c>
    </row>
    <row r="63" spans="1:7" x14ac:dyDescent="0.25">
      <c r="A63" s="150"/>
      <c r="B63" s="148" t="s">
        <v>82</v>
      </c>
      <c r="C63" s="146"/>
      <c r="D63" s="146"/>
      <c r="E63" s="146"/>
      <c r="F63" s="146"/>
      <c r="G63" s="134"/>
    </row>
    <row r="64" spans="1:7" x14ac:dyDescent="0.25">
      <c r="A64" s="150"/>
      <c r="B64" s="33" t="s">
        <v>46</v>
      </c>
      <c r="C64" s="33" t="s">
        <v>51</v>
      </c>
      <c r="D64" s="73" t="s">
        <v>19</v>
      </c>
      <c r="E64" s="33" t="s">
        <v>52</v>
      </c>
      <c r="F64" s="33" t="s">
        <v>53</v>
      </c>
      <c r="G64" s="33" t="s">
        <v>54</v>
      </c>
    </row>
    <row r="65" spans="1:7" ht="154" x14ac:dyDescent="0.25">
      <c r="A65" s="150"/>
      <c r="B65" s="37" t="s">
        <v>2175</v>
      </c>
      <c r="C65" s="37" t="s">
        <v>2180</v>
      </c>
      <c r="D65" s="74" t="s">
        <v>1236</v>
      </c>
      <c r="E65" s="37" t="s">
        <v>1230</v>
      </c>
      <c r="F65" s="37" t="s">
        <v>1384</v>
      </c>
      <c r="G65" s="37" t="s">
        <v>1388</v>
      </c>
    </row>
    <row r="66" spans="1:7" ht="140" x14ac:dyDescent="0.25">
      <c r="A66" s="150"/>
      <c r="B66" s="37" t="s">
        <v>2176</v>
      </c>
      <c r="C66" s="37" t="s">
        <v>2181</v>
      </c>
      <c r="D66" s="74" t="s">
        <v>1237</v>
      </c>
      <c r="E66" s="37" t="s">
        <v>1194</v>
      </c>
      <c r="F66" s="37" t="s">
        <v>1385</v>
      </c>
      <c r="G66" s="37" t="s">
        <v>1388</v>
      </c>
    </row>
    <row r="67" spans="1:7" x14ac:dyDescent="0.25">
      <c r="A67" s="141" t="s">
        <v>2174</v>
      </c>
      <c r="B67" s="145" t="s">
        <v>27</v>
      </c>
      <c r="C67" s="146"/>
      <c r="D67" s="146"/>
      <c r="E67" s="146"/>
      <c r="F67" s="146"/>
      <c r="G67" s="134"/>
    </row>
    <row r="68" spans="1:7" x14ac:dyDescent="0.25">
      <c r="A68" s="150"/>
      <c r="B68" s="147" t="s">
        <v>28</v>
      </c>
      <c r="C68" s="146"/>
      <c r="D68" s="146"/>
      <c r="E68" s="146"/>
      <c r="F68" s="146"/>
      <c r="G68" s="134"/>
    </row>
    <row r="69" spans="1:7" x14ac:dyDescent="0.25">
      <c r="A69" s="150"/>
      <c r="B69" s="157" t="s">
        <v>29</v>
      </c>
      <c r="C69" s="33" t="s">
        <v>19</v>
      </c>
      <c r="D69" s="73" t="s">
        <v>30</v>
      </c>
      <c r="E69" s="33" t="s">
        <v>31</v>
      </c>
      <c r="F69" s="34" t="s">
        <v>32</v>
      </c>
      <c r="G69" s="34" t="s">
        <v>33</v>
      </c>
    </row>
    <row r="70" spans="1:7" x14ac:dyDescent="0.25">
      <c r="A70" s="150"/>
      <c r="B70" s="159"/>
      <c r="C70" s="141" t="s">
        <v>1188</v>
      </c>
      <c r="D70" s="75" t="s">
        <v>1186</v>
      </c>
      <c r="E70" s="75"/>
      <c r="F70" s="152" t="s">
        <v>966</v>
      </c>
      <c r="G70" s="152" t="s">
        <v>1189</v>
      </c>
    </row>
    <row r="71" spans="1:7" x14ac:dyDescent="0.25">
      <c r="A71" s="150"/>
      <c r="B71" s="159"/>
      <c r="C71" s="150"/>
      <c r="D71" s="72" t="s">
        <v>1187</v>
      </c>
      <c r="E71" s="61"/>
      <c r="F71" s="150"/>
      <c r="G71" s="150"/>
    </row>
    <row r="72" spans="1:7" x14ac:dyDescent="0.25">
      <c r="A72" s="150"/>
      <c r="B72" s="147" t="s">
        <v>38</v>
      </c>
      <c r="C72" s="146"/>
      <c r="D72" s="146"/>
      <c r="E72" s="146"/>
      <c r="F72" s="146"/>
      <c r="G72" s="134"/>
    </row>
    <row r="73" spans="1:7" x14ac:dyDescent="0.25">
      <c r="A73" s="150"/>
      <c r="B73" s="157" t="s">
        <v>39</v>
      </c>
      <c r="C73" s="33" t="s">
        <v>19</v>
      </c>
      <c r="D73" s="73" t="s">
        <v>40</v>
      </c>
      <c r="E73" s="33" t="s">
        <v>74</v>
      </c>
      <c r="F73" s="33" t="s">
        <v>75</v>
      </c>
      <c r="G73" s="33" t="s">
        <v>43</v>
      </c>
    </row>
    <row r="74" spans="1:7" x14ac:dyDescent="0.25">
      <c r="A74" s="150"/>
      <c r="B74" s="150"/>
      <c r="C74" s="106" t="s">
        <v>44</v>
      </c>
      <c r="D74" s="61"/>
      <c r="E74" s="61"/>
      <c r="F74" s="61"/>
      <c r="G74" s="61"/>
    </row>
    <row r="75" spans="1:7" x14ac:dyDescent="0.25">
      <c r="A75" s="150"/>
      <c r="B75" s="147" t="s">
        <v>79</v>
      </c>
      <c r="C75" s="146"/>
      <c r="D75" s="146"/>
      <c r="E75" s="146"/>
      <c r="F75" s="146"/>
      <c r="G75" s="134"/>
    </row>
    <row r="76" spans="1:7" x14ac:dyDescent="0.25">
      <c r="A76" s="150"/>
      <c r="B76" s="107" t="s">
        <v>46</v>
      </c>
      <c r="C76" s="147" t="s">
        <v>47</v>
      </c>
      <c r="D76" s="146"/>
      <c r="E76" s="134"/>
      <c r="F76" s="34" t="s">
        <v>48</v>
      </c>
      <c r="G76" s="34" t="s">
        <v>49</v>
      </c>
    </row>
    <row r="77" spans="1:7" x14ac:dyDescent="0.25">
      <c r="A77" s="150"/>
      <c r="B77" s="108" t="s">
        <v>2178</v>
      </c>
      <c r="C77" s="158" t="s">
        <v>2182</v>
      </c>
      <c r="D77" s="160"/>
      <c r="E77" s="160"/>
      <c r="F77" s="43" t="s">
        <v>1188</v>
      </c>
      <c r="G77" s="61" t="s">
        <v>1236</v>
      </c>
    </row>
    <row r="78" spans="1:7" x14ac:dyDescent="0.25">
      <c r="A78" s="150"/>
      <c r="B78" s="108" t="s">
        <v>2179</v>
      </c>
      <c r="C78" s="158" t="s">
        <v>2183</v>
      </c>
      <c r="D78" s="160"/>
      <c r="E78" s="160"/>
      <c r="F78" s="43" t="s">
        <v>1188</v>
      </c>
      <c r="G78" s="61" t="s">
        <v>1237</v>
      </c>
    </row>
    <row r="79" spans="1:7" x14ac:dyDescent="0.25">
      <c r="A79" s="150"/>
      <c r="B79" s="148" t="s">
        <v>82</v>
      </c>
      <c r="C79" s="146"/>
      <c r="D79" s="146"/>
      <c r="E79" s="146"/>
      <c r="F79" s="146"/>
      <c r="G79" s="134"/>
    </row>
    <row r="80" spans="1:7" x14ac:dyDescent="0.25">
      <c r="A80" s="150"/>
      <c r="B80" s="33" t="s">
        <v>46</v>
      </c>
      <c r="C80" s="33" t="s">
        <v>51</v>
      </c>
      <c r="D80" s="73" t="s">
        <v>19</v>
      </c>
      <c r="E80" s="33" t="s">
        <v>52</v>
      </c>
      <c r="F80" s="33" t="s">
        <v>53</v>
      </c>
      <c r="G80" s="33" t="s">
        <v>54</v>
      </c>
    </row>
    <row r="81" spans="1:7" ht="154" x14ac:dyDescent="0.25">
      <c r="A81" s="150"/>
      <c r="B81" s="37" t="s">
        <v>2177</v>
      </c>
      <c r="C81" s="37" t="s">
        <v>2182</v>
      </c>
      <c r="D81" s="74" t="s">
        <v>1236</v>
      </c>
      <c r="E81" s="37" t="s">
        <v>1230</v>
      </c>
      <c r="F81" s="37" t="s">
        <v>1384</v>
      </c>
      <c r="G81" s="37" t="s">
        <v>1388</v>
      </c>
    </row>
    <row r="82" spans="1:7" ht="140" x14ac:dyDescent="0.25">
      <c r="A82" s="150"/>
      <c r="B82" s="37" t="s">
        <v>2179</v>
      </c>
      <c r="C82" s="37" t="s">
        <v>2183</v>
      </c>
      <c r="D82" s="74" t="s">
        <v>1237</v>
      </c>
      <c r="E82" s="37" t="s">
        <v>1194</v>
      </c>
      <c r="F82" s="37" t="s">
        <v>1385</v>
      </c>
      <c r="G82" s="37" t="s">
        <v>2218</v>
      </c>
    </row>
    <row r="83" spans="1:7" x14ac:dyDescent="0.25">
      <c r="A83" s="141" t="s">
        <v>1382</v>
      </c>
      <c r="B83" s="145" t="s">
        <v>57</v>
      </c>
      <c r="C83" s="160"/>
      <c r="D83" s="160"/>
      <c r="E83" s="160"/>
      <c r="F83" s="160"/>
      <c r="G83" s="160"/>
    </row>
    <row r="84" spans="1:7" x14ac:dyDescent="0.25">
      <c r="A84" s="160"/>
      <c r="B84" s="147" t="s">
        <v>58</v>
      </c>
      <c r="C84" s="160"/>
      <c r="D84" s="160"/>
      <c r="E84" s="160"/>
      <c r="F84" s="160"/>
      <c r="G84" s="160"/>
    </row>
    <row r="85" spans="1:7" x14ac:dyDescent="0.25">
      <c r="A85" s="160"/>
      <c r="B85" s="91" t="s">
        <v>46</v>
      </c>
      <c r="C85" s="147" t="s">
        <v>47</v>
      </c>
      <c r="D85" s="160"/>
      <c r="E85" s="160"/>
      <c r="F85" s="34" t="s">
        <v>48</v>
      </c>
      <c r="G85" s="34" t="s">
        <v>49</v>
      </c>
    </row>
    <row r="86" spans="1:7" x14ac:dyDescent="0.25">
      <c r="A86" s="160"/>
      <c r="B86" s="35" t="s">
        <v>1412</v>
      </c>
      <c r="C86" s="158" t="s">
        <v>1383</v>
      </c>
      <c r="D86" s="160"/>
      <c r="E86" s="160"/>
      <c r="F86" s="43" t="s">
        <v>1247</v>
      </c>
      <c r="G86" s="36" t="s">
        <v>1248</v>
      </c>
    </row>
    <row r="87" spans="1:7" x14ac:dyDescent="0.25">
      <c r="A87" s="160"/>
      <c r="B87" s="148" t="s">
        <v>60</v>
      </c>
      <c r="C87" s="160"/>
      <c r="D87" s="160"/>
      <c r="E87" s="160"/>
      <c r="F87" s="160"/>
      <c r="G87" s="160"/>
    </row>
    <row r="88" spans="1:7" x14ac:dyDescent="0.25">
      <c r="A88" s="160"/>
      <c r="B88" s="33" t="s">
        <v>46</v>
      </c>
      <c r="C88" s="33" t="s">
        <v>51</v>
      </c>
      <c r="D88" s="33" t="s">
        <v>19</v>
      </c>
      <c r="E88" s="33" t="s">
        <v>52</v>
      </c>
      <c r="F88" s="33" t="s">
        <v>53</v>
      </c>
      <c r="G88" s="33" t="s">
        <v>54</v>
      </c>
    </row>
    <row r="89" spans="1:7" ht="70" x14ac:dyDescent="0.25">
      <c r="A89" s="160"/>
      <c r="B89" s="37" t="s">
        <v>1412</v>
      </c>
      <c r="C89" s="37" t="s">
        <v>1383</v>
      </c>
      <c r="D89" s="37" t="s">
        <v>1247</v>
      </c>
      <c r="E89" s="37" t="s">
        <v>658</v>
      </c>
      <c r="F89" s="37" t="s">
        <v>1390</v>
      </c>
      <c r="G89" s="37" t="s">
        <v>1389</v>
      </c>
    </row>
    <row r="90" spans="1:7" x14ac:dyDescent="0.25">
      <c r="A90" s="141" t="s">
        <v>1399</v>
      </c>
      <c r="B90" s="145" t="s">
        <v>57</v>
      </c>
      <c r="C90" s="160"/>
      <c r="D90" s="160"/>
      <c r="E90" s="160"/>
      <c r="F90" s="160"/>
      <c r="G90" s="160"/>
    </row>
    <row r="91" spans="1:7" x14ac:dyDescent="0.25">
      <c r="A91" s="160"/>
      <c r="B91" s="147" t="s">
        <v>58</v>
      </c>
      <c r="C91" s="160"/>
      <c r="D91" s="160"/>
      <c r="E91" s="160"/>
      <c r="F91" s="160"/>
      <c r="G91" s="160"/>
    </row>
    <row r="92" spans="1:7" x14ac:dyDescent="0.25">
      <c r="A92" s="160"/>
      <c r="B92" s="91" t="s">
        <v>46</v>
      </c>
      <c r="C92" s="147" t="s">
        <v>47</v>
      </c>
      <c r="D92" s="160"/>
      <c r="E92" s="160"/>
      <c r="F92" s="34" t="s">
        <v>48</v>
      </c>
      <c r="G92" s="34" t="s">
        <v>49</v>
      </c>
    </row>
    <row r="93" spans="1:7" x14ac:dyDescent="0.25">
      <c r="A93" s="160"/>
      <c r="B93" s="35" t="s">
        <v>1412</v>
      </c>
      <c r="C93" s="158" t="s">
        <v>1259</v>
      </c>
      <c r="D93" s="160"/>
      <c r="E93" s="160"/>
      <c r="F93" s="43" t="s">
        <v>1264</v>
      </c>
      <c r="G93" s="36" t="s">
        <v>1189</v>
      </c>
    </row>
    <row r="94" spans="1:7" x14ac:dyDescent="0.25">
      <c r="A94" s="160"/>
      <c r="B94" s="148" t="s">
        <v>60</v>
      </c>
      <c r="C94" s="160"/>
      <c r="D94" s="160"/>
      <c r="E94" s="160"/>
      <c r="F94" s="160"/>
      <c r="G94" s="160"/>
    </row>
    <row r="95" spans="1:7" x14ac:dyDescent="0.25">
      <c r="A95" s="160"/>
      <c r="B95" s="33" t="s">
        <v>46</v>
      </c>
      <c r="C95" s="33" t="s">
        <v>51</v>
      </c>
      <c r="D95" s="33" t="s">
        <v>19</v>
      </c>
      <c r="E95" s="33" t="s">
        <v>52</v>
      </c>
      <c r="F95" s="33" t="s">
        <v>53</v>
      </c>
      <c r="G95" s="33" t="s">
        <v>54</v>
      </c>
    </row>
    <row r="96" spans="1:7" ht="210" x14ac:dyDescent="0.25">
      <c r="A96" s="160"/>
      <c r="B96" s="37" t="s">
        <v>1429</v>
      </c>
      <c r="C96" s="37" t="s">
        <v>1263</v>
      </c>
      <c r="D96" s="37" t="s">
        <v>1190</v>
      </c>
      <c r="E96" s="37" t="s">
        <v>1258</v>
      </c>
      <c r="F96" s="37" t="s">
        <v>1401</v>
      </c>
      <c r="G96" s="37" t="s">
        <v>1400</v>
      </c>
    </row>
    <row r="97" spans="1:7" ht="210" x14ac:dyDescent="0.25">
      <c r="A97" s="160"/>
      <c r="B97" s="37" t="s">
        <v>1428</v>
      </c>
      <c r="C97" s="37" t="s">
        <v>1263</v>
      </c>
      <c r="D97" s="37" t="s">
        <v>1207</v>
      </c>
      <c r="E97" s="37" t="s">
        <v>1258</v>
      </c>
      <c r="F97" s="37" t="s">
        <v>1402</v>
      </c>
      <c r="G97" s="37" t="s">
        <v>1400</v>
      </c>
    </row>
    <row r="98" spans="1:7" x14ac:dyDescent="0.25">
      <c r="A98" s="141" t="s">
        <v>1414</v>
      </c>
      <c r="B98" s="145" t="s">
        <v>57</v>
      </c>
      <c r="C98" s="160"/>
      <c r="D98" s="160"/>
      <c r="E98" s="160"/>
      <c r="F98" s="160"/>
      <c r="G98" s="160"/>
    </row>
    <row r="99" spans="1:7" x14ac:dyDescent="0.25">
      <c r="A99" s="160"/>
      <c r="B99" s="147" t="s">
        <v>58</v>
      </c>
      <c r="C99" s="160"/>
      <c r="D99" s="160"/>
      <c r="E99" s="160"/>
      <c r="F99" s="160"/>
      <c r="G99" s="160"/>
    </row>
    <row r="100" spans="1:7" x14ac:dyDescent="0.25">
      <c r="A100" s="160"/>
      <c r="B100" s="91" t="s">
        <v>46</v>
      </c>
      <c r="C100" s="147" t="s">
        <v>47</v>
      </c>
      <c r="D100" s="160"/>
      <c r="E100" s="160"/>
      <c r="F100" s="34" t="s">
        <v>48</v>
      </c>
      <c r="G100" s="34" t="s">
        <v>49</v>
      </c>
    </row>
    <row r="101" spans="1:7" x14ac:dyDescent="0.25">
      <c r="A101" s="160"/>
      <c r="B101" s="35" t="s">
        <v>1415</v>
      </c>
      <c r="C101" s="158" t="s">
        <v>1416</v>
      </c>
      <c r="D101" s="160"/>
      <c r="E101" s="160"/>
      <c r="F101" s="43" t="s">
        <v>1247</v>
      </c>
      <c r="G101" s="36" t="s">
        <v>1417</v>
      </c>
    </row>
    <row r="102" spans="1:7" x14ac:dyDescent="0.25">
      <c r="A102" s="160"/>
      <c r="B102" s="148" t="s">
        <v>60</v>
      </c>
      <c r="C102" s="160"/>
      <c r="D102" s="160"/>
      <c r="E102" s="160"/>
      <c r="F102" s="160"/>
      <c r="G102" s="160"/>
    </row>
    <row r="103" spans="1:7" x14ac:dyDescent="0.25">
      <c r="A103" s="160"/>
      <c r="B103" s="33" t="s">
        <v>46</v>
      </c>
      <c r="C103" s="33" t="s">
        <v>51</v>
      </c>
      <c r="D103" s="33" t="s">
        <v>19</v>
      </c>
      <c r="E103" s="33" t="s">
        <v>52</v>
      </c>
      <c r="F103" s="33" t="s">
        <v>53</v>
      </c>
      <c r="G103" s="33" t="s">
        <v>54</v>
      </c>
    </row>
    <row r="104" spans="1:7" ht="70" x14ac:dyDescent="0.25">
      <c r="A104" s="160"/>
      <c r="B104" s="37" t="s">
        <v>1413</v>
      </c>
      <c r="C104" s="37" t="s">
        <v>1419</v>
      </c>
      <c r="D104" s="37" t="s">
        <v>1418</v>
      </c>
      <c r="E104" s="37" t="s">
        <v>658</v>
      </c>
      <c r="F104" s="37" t="s">
        <v>1421</v>
      </c>
      <c r="G104" s="37" t="s">
        <v>1422</v>
      </c>
    </row>
    <row r="105" spans="1:7" ht="70" x14ac:dyDescent="0.25">
      <c r="A105" s="160"/>
      <c r="B105" s="37" t="s">
        <v>1433</v>
      </c>
      <c r="C105" s="37" t="s">
        <v>1420</v>
      </c>
      <c r="D105" s="37" t="s">
        <v>2414</v>
      </c>
      <c r="E105" s="37" t="s">
        <v>658</v>
      </c>
      <c r="F105" s="37" t="s">
        <v>1421</v>
      </c>
      <c r="G105" s="37" t="s">
        <v>1423</v>
      </c>
    </row>
    <row r="106" spans="1:7" x14ac:dyDescent="0.25">
      <c r="A106" s="141" t="s">
        <v>1432</v>
      </c>
      <c r="B106" s="145" t="s">
        <v>57</v>
      </c>
      <c r="C106" s="160"/>
      <c r="D106" s="160"/>
      <c r="E106" s="160"/>
      <c r="F106" s="160"/>
      <c r="G106" s="160"/>
    </row>
    <row r="107" spans="1:7" x14ac:dyDescent="0.25">
      <c r="A107" s="160"/>
      <c r="B107" s="147" t="s">
        <v>58</v>
      </c>
      <c r="C107" s="160"/>
      <c r="D107" s="160"/>
      <c r="E107" s="160"/>
      <c r="F107" s="160"/>
      <c r="G107" s="160"/>
    </row>
    <row r="108" spans="1:7" x14ac:dyDescent="0.25">
      <c r="A108" s="160"/>
      <c r="B108" s="102" t="s">
        <v>46</v>
      </c>
      <c r="C108" s="147" t="s">
        <v>47</v>
      </c>
      <c r="D108" s="160"/>
      <c r="E108" s="160"/>
      <c r="F108" s="34" t="s">
        <v>48</v>
      </c>
      <c r="G108" s="34" t="s">
        <v>49</v>
      </c>
    </row>
    <row r="109" spans="1:7" x14ac:dyDescent="0.25">
      <c r="A109" s="160"/>
      <c r="B109" s="35" t="s">
        <v>1434</v>
      </c>
      <c r="C109" s="158" t="s">
        <v>1312</v>
      </c>
      <c r="D109" s="160"/>
      <c r="E109" s="160"/>
      <c r="F109" s="43" t="s">
        <v>1311</v>
      </c>
      <c r="G109" s="36" t="s">
        <v>1311</v>
      </c>
    </row>
    <row r="110" spans="1:7" x14ac:dyDescent="0.25">
      <c r="A110" s="160"/>
      <c r="B110" s="148" t="s">
        <v>60</v>
      </c>
      <c r="C110" s="160"/>
      <c r="D110" s="160"/>
      <c r="E110" s="160"/>
      <c r="F110" s="160"/>
      <c r="G110" s="160"/>
    </row>
    <row r="111" spans="1:7" x14ac:dyDescent="0.25">
      <c r="A111" s="160"/>
      <c r="B111" s="33" t="s">
        <v>46</v>
      </c>
      <c r="C111" s="33" t="s">
        <v>51</v>
      </c>
      <c r="D111" s="33" t="s">
        <v>19</v>
      </c>
      <c r="E111" s="33" t="s">
        <v>52</v>
      </c>
      <c r="F111" s="33" t="s">
        <v>53</v>
      </c>
      <c r="G111" s="33" t="s">
        <v>54</v>
      </c>
    </row>
    <row r="112" spans="1:7" ht="56" x14ac:dyDescent="0.25">
      <c r="A112" s="160"/>
      <c r="B112" s="37" t="s">
        <v>1434</v>
      </c>
      <c r="C112" s="37" t="s">
        <v>1435</v>
      </c>
      <c r="D112" s="37" t="s">
        <v>1436</v>
      </c>
      <c r="E112" s="37" t="s">
        <v>360</v>
      </c>
      <c r="F112" s="37" t="s">
        <v>1437</v>
      </c>
      <c r="G112" s="37" t="s">
        <v>1313</v>
      </c>
    </row>
  </sheetData>
  <mergeCells count="94">
    <mergeCell ref="A106:A112"/>
    <mergeCell ref="B106:G106"/>
    <mergeCell ref="B107:G107"/>
    <mergeCell ref="C108:E108"/>
    <mergeCell ref="C109:E109"/>
    <mergeCell ref="B110:G110"/>
    <mergeCell ref="A98:A105"/>
    <mergeCell ref="B98:G98"/>
    <mergeCell ref="B99:G99"/>
    <mergeCell ref="C100:E100"/>
    <mergeCell ref="C101:E101"/>
    <mergeCell ref="B102:G102"/>
    <mergeCell ref="A90:A97"/>
    <mergeCell ref="B90:G90"/>
    <mergeCell ref="B91:G91"/>
    <mergeCell ref="C92:E92"/>
    <mergeCell ref="C93:E93"/>
    <mergeCell ref="B94:G94"/>
    <mergeCell ref="A83:A89"/>
    <mergeCell ref="B83:G83"/>
    <mergeCell ref="B84:G84"/>
    <mergeCell ref="C85:E85"/>
    <mergeCell ref="C86:E86"/>
    <mergeCell ref="B87:G87"/>
    <mergeCell ref="B44:G44"/>
    <mergeCell ref="A51:A66"/>
    <mergeCell ref="B51:G51"/>
    <mergeCell ref="B52:G52"/>
    <mergeCell ref="B53:B55"/>
    <mergeCell ref="C54:C55"/>
    <mergeCell ref="F54:F55"/>
    <mergeCell ref="G54:G55"/>
    <mergeCell ref="B56:G56"/>
    <mergeCell ref="B57:B58"/>
    <mergeCell ref="B59:G59"/>
    <mergeCell ref="C60:E60"/>
    <mergeCell ref="C61:E61"/>
    <mergeCell ref="C62:E62"/>
    <mergeCell ref="B63:G63"/>
    <mergeCell ref="A29:A50"/>
    <mergeCell ref="B29:G29"/>
    <mergeCell ref="B30:G30"/>
    <mergeCell ref="B31:B33"/>
    <mergeCell ref="C32:C33"/>
    <mergeCell ref="F32:F33"/>
    <mergeCell ref="G32:G33"/>
    <mergeCell ref="B34:G34"/>
    <mergeCell ref="B35:B36"/>
    <mergeCell ref="B37:G37"/>
    <mergeCell ref="C38:E38"/>
    <mergeCell ref="C39:E39"/>
    <mergeCell ref="C40:E40"/>
    <mergeCell ref="C41:E41"/>
    <mergeCell ref="C42:E42"/>
    <mergeCell ref="C43:E43"/>
    <mergeCell ref="A9:A28"/>
    <mergeCell ref="B9:G9"/>
    <mergeCell ref="B10:G10"/>
    <mergeCell ref="B11:B13"/>
    <mergeCell ref="C12:C13"/>
    <mergeCell ref="F12:F13"/>
    <mergeCell ref="G12:G13"/>
    <mergeCell ref="B14:G14"/>
    <mergeCell ref="B15:B16"/>
    <mergeCell ref="B17:G17"/>
    <mergeCell ref="C18:E18"/>
    <mergeCell ref="C19:E19"/>
    <mergeCell ref="C20:E20"/>
    <mergeCell ref="C21:E21"/>
    <mergeCell ref="C22:E22"/>
    <mergeCell ref="B23:G23"/>
    <mergeCell ref="A1:A8"/>
    <mergeCell ref="F1:G1"/>
    <mergeCell ref="F2:G2"/>
    <mergeCell ref="F8:G8"/>
    <mergeCell ref="F3:G3"/>
    <mergeCell ref="F4:G4"/>
    <mergeCell ref="F5:G5"/>
    <mergeCell ref="F6:G6"/>
    <mergeCell ref="F7:G7"/>
    <mergeCell ref="A67:A82"/>
    <mergeCell ref="B67:G67"/>
    <mergeCell ref="B68:G68"/>
    <mergeCell ref="B69:B71"/>
    <mergeCell ref="C70:C71"/>
    <mergeCell ref="F70:F71"/>
    <mergeCell ref="G70:G71"/>
    <mergeCell ref="B72:G72"/>
    <mergeCell ref="B73:B74"/>
    <mergeCell ref="B75:G75"/>
    <mergeCell ref="C76:E76"/>
    <mergeCell ref="C77:E77"/>
    <mergeCell ref="C78:E78"/>
    <mergeCell ref="B79:G79"/>
  </mergeCells>
  <phoneticPr fontId="1" type="noConversion"/>
  <dataValidations count="1">
    <dataValidation type="list" allowBlank="1" showInputMessage="1" showErrorMessage="1" sqref="C2:C8">
      <formula1>"流程图,状态机,等价类划分&amp;数据组合,直接分析"</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G130"/>
  <sheetViews>
    <sheetView topLeftCell="A50" workbookViewId="0">
      <selection activeCell="B48" sqref="B48:G49"/>
    </sheetView>
  </sheetViews>
  <sheetFormatPr defaultColWidth="9" defaultRowHeight="14" x14ac:dyDescent="0.25"/>
  <cols>
    <col min="1" max="1" width="15" style="46" customWidth="1"/>
    <col min="2" max="2" width="32.08984375" style="46" customWidth="1"/>
    <col min="3" max="3" width="23.453125" style="46" bestFit="1" customWidth="1"/>
    <col min="4" max="4" width="59.453125" style="46" customWidth="1"/>
    <col min="5" max="5" width="17.36328125" style="46" bestFit="1" customWidth="1"/>
    <col min="6" max="6" width="61.90625" style="46" customWidth="1"/>
    <col min="7" max="7" width="82.453125" style="46" customWidth="1"/>
    <col min="8" max="23" width="9" style="46" customWidth="1"/>
    <col min="24" max="16384" width="9" style="46"/>
  </cols>
  <sheetData>
    <row r="1" spans="1:7" x14ac:dyDescent="0.25">
      <c r="A1" s="169" t="s">
        <v>26</v>
      </c>
      <c r="B1" s="69" t="s">
        <v>15</v>
      </c>
      <c r="C1" s="69" t="s">
        <v>16</v>
      </c>
      <c r="D1" s="69" t="s">
        <v>17</v>
      </c>
      <c r="E1" s="69" t="s">
        <v>18</v>
      </c>
      <c r="F1" s="171" t="s">
        <v>19</v>
      </c>
      <c r="G1" s="130"/>
    </row>
    <row r="2" spans="1:7" ht="14.5" customHeight="1" x14ac:dyDescent="0.25">
      <c r="A2" s="149"/>
      <c r="B2" s="63" t="s">
        <v>272</v>
      </c>
      <c r="C2" s="63" t="s">
        <v>21</v>
      </c>
      <c r="D2" s="63"/>
      <c r="E2" s="105">
        <v>2</v>
      </c>
      <c r="F2" s="132" t="s">
        <v>237</v>
      </c>
      <c r="G2" s="132"/>
    </row>
    <row r="3" spans="1:7" ht="14.5" customHeight="1" x14ac:dyDescent="0.25">
      <c r="A3" s="150"/>
      <c r="B3" s="63" t="s">
        <v>273</v>
      </c>
      <c r="C3" s="63" t="s">
        <v>21</v>
      </c>
      <c r="D3" s="63"/>
      <c r="E3" s="105">
        <v>2</v>
      </c>
      <c r="F3" s="132" t="s">
        <v>237</v>
      </c>
      <c r="G3" s="132"/>
    </row>
    <row r="4" spans="1:7" ht="14.5" customHeight="1" x14ac:dyDescent="0.25">
      <c r="A4" s="150"/>
      <c r="B4" s="63" t="s">
        <v>274</v>
      </c>
      <c r="C4" s="63" t="s">
        <v>21</v>
      </c>
      <c r="D4" s="63"/>
      <c r="E4" s="105">
        <v>3</v>
      </c>
      <c r="F4" s="132" t="s">
        <v>237</v>
      </c>
      <c r="G4" s="132"/>
    </row>
    <row r="5" spans="1:7" ht="14.5" customHeight="1" x14ac:dyDescent="0.25">
      <c r="A5" s="150"/>
      <c r="B5" s="63" t="s">
        <v>275</v>
      </c>
      <c r="C5" s="63" t="s">
        <v>22</v>
      </c>
      <c r="D5" s="63"/>
      <c r="E5" s="105">
        <v>1</v>
      </c>
      <c r="F5" s="132" t="s">
        <v>237</v>
      </c>
      <c r="G5" s="132"/>
    </row>
    <row r="6" spans="1:7" ht="14.5" customHeight="1" x14ac:dyDescent="0.25">
      <c r="A6" s="150"/>
      <c r="B6" s="63" t="s">
        <v>275</v>
      </c>
      <c r="C6" s="63" t="s">
        <v>22</v>
      </c>
      <c r="D6" s="63"/>
      <c r="E6" s="105">
        <v>1</v>
      </c>
      <c r="F6" s="132" t="s">
        <v>237</v>
      </c>
      <c r="G6" s="132"/>
    </row>
    <row r="7" spans="1:7" ht="14.5" customHeight="1" x14ac:dyDescent="0.25">
      <c r="A7" s="150"/>
      <c r="B7" s="63" t="s">
        <v>1519</v>
      </c>
      <c r="C7" s="63" t="s">
        <v>22</v>
      </c>
      <c r="D7" s="63"/>
      <c r="E7" s="105">
        <v>2</v>
      </c>
      <c r="F7" s="132" t="s">
        <v>1520</v>
      </c>
      <c r="G7" s="132"/>
    </row>
    <row r="8" spans="1:7" ht="14.5" customHeight="1" x14ac:dyDescent="0.25">
      <c r="A8" s="150"/>
      <c r="B8" s="63" t="s">
        <v>1536</v>
      </c>
      <c r="C8" s="63" t="s">
        <v>22</v>
      </c>
      <c r="D8" s="63"/>
      <c r="E8" s="105">
        <v>3</v>
      </c>
      <c r="F8" s="132" t="s">
        <v>277</v>
      </c>
      <c r="G8" s="132"/>
    </row>
    <row r="9" spans="1:7" ht="14.5" customHeight="1" x14ac:dyDescent="0.25">
      <c r="A9" s="150"/>
      <c r="B9" s="63" t="s">
        <v>278</v>
      </c>
      <c r="C9" s="63" t="s">
        <v>22</v>
      </c>
      <c r="D9" s="63"/>
      <c r="E9" s="105">
        <v>3</v>
      </c>
      <c r="F9" s="132" t="s">
        <v>279</v>
      </c>
      <c r="G9" s="132"/>
    </row>
    <row r="10" spans="1:7" ht="14.5" customHeight="1" x14ac:dyDescent="0.25">
      <c r="A10" s="150"/>
      <c r="B10" s="63" t="s">
        <v>280</v>
      </c>
      <c r="C10" s="63" t="s">
        <v>22</v>
      </c>
      <c r="D10" s="63"/>
      <c r="E10" s="105">
        <v>5</v>
      </c>
      <c r="F10" s="132" t="s">
        <v>281</v>
      </c>
      <c r="G10" s="132"/>
    </row>
    <row r="11" spans="1:7" x14ac:dyDescent="0.25">
      <c r="A11" s="170"/>
      <c r="B11" s="70" t="s">
        <v>282</v>
      </c>
      <c r="C11" s="71" t="s">
        <v>22</v>
      </c>
      <c r="D11" s="71"/>
      <c r="E11" s="38">
        <v>2</v>
      </c>
      <c r="F11" s="140" t="s">
        <v>283</v>
      </c>
      <c r="G11" s="140"/>
    </row>
    <row r="12" spans="1:7" ht="14.15" customHeight="1" x14ac:dyDescent="0.25">
      <c r="A12" s="141" t="s">
        <v>2184</v>
      </c>
      <c r="B12" s="145" t="s">
        <v>27</v>
      </c>
      <c r="C12" s="146"/>
      <c r="D12" s="146"/>
      <c r="E12" s="146"/>
      <c r="F12" s="146"/>
      <c r="G12" s="134"/>
    </row>
    <row r="13" spans="1:7" x14ac:dyDescent="0.25">
      <c r="A13" s="150"/>
      <c r="B13" s="147" t="s">
        <v>28</v>
      </c>
      <c r="C13" s="146"/>
      <c r="D13" s="146"/>
      <c r="E13" s="146"/>
      <c r="F13" s="146"/>
      <c r="G13" s="134"/>
    </row>
    <row r="14" spans="1:7" x14ac:dyDescent="0.25">
      <c r="A14" s="150"/>
      <c r="B14" s="157" t="s">
        <v>29</v>
      </c>
      <c r="C14" s="33" t="s">
        <v>19</v>
      </c>
      <c r="D14" s="73" t="s">
        <v>30</v>
      </c>
      <c r="E14" s="33" t="s">
        <v>31</v>
      </c>
      <c r="F14" s="34" t="s">
        <v>32</v>
      </c>
      <c r="G14" s="34" t="s">
        <v>33</v>
      </c>
    </row>
    <row r="15" spans="1:7" x14ac:dyDescent="0.25">
      <c r="A15" s="150"/>
      <c r="B15" s="159"/>
      <c r="C15" s="141" t="s">
        <v>1188</v>
      </c>
      <c r="D15" s="75" t="s">
        <v>1186</v>
      </c>
      <c r="E15" s="75"/>
      <c r="F15" s="152" t="s">
        <v>966</v>
      </c>
      <c r="G15" s="152" t="s">
        <v>1189</v>
      </c>
    </row>
    <row r="16" spans="1:7" x14ac:dyDescent="0.25">
      <c r="A16" s="150"/>
      <c r="B16" s="159"/>
      <c r="C16" s="150"/>
      <c r="D16" s="72" t="s">
        <v>1187</v>
      </c>
      <c r="E16" s="61"/>
      <c r="F16" s="150"/>
      <c r="G16" s="150"/>
    </row>
    <row r="17" spans="1:7" x14ac:dyDescent="0.25">
      <c r="A17" s="150"/>
      <c r="B17" s="147" t="s">
        <v>38</v>
      </c>
      <c r="C17" s="146"/>
      <c r="D17" s="146"/>
      <c r="E17" s="146"/>
      <c r="F17" s="146"/>
      <c r="G17" s="134"/>
    </row>
    <row r="18" spans="1:7" x14ac:dyDescent="0.25">
      <c r="A18" s="150"/>
      <c r="B18" s="157" t="s">
        <v>39</v>
      </c>
      <c r="C18" s="33" t="s">
        <v>19</v>
      </c>
      <c r="D18" s="73" t="s">
        <v>40</v>
      </c>
      <c r="E18" s="33" t="s">
        <v>74</v>
      </c>
      <c r="F18" s="33" t="s">
        <v>75</v>
      </c>
      <c r="G18" s="33" t="s">
        <v>43</v>
      </c>
    </row>
    <row r="19" spans="1:7" x14ac:dyDescent="0.25">
      <c r="A19" s="150"/>
      <c r="B19" s="150"/>
      <c r="C19" s="101" t="s">
        <v>44</v>
      </c>
      <c r="D19" s="61"/>
      <c r="E19" s="61"/>
      <c r="F19" s="61"/>
      <c r="G19" s="61"/>
    </row>
    <row r="20" spans="1:7" x14ac:dyDescent="0.25">
      <c r="A20" s="150"/>
      <c r="B20" s="147" t="s">
        <v>79</v>
      </c>
      <c r="C20" s="146"/>
      <c r="D20" s="146"/>
      <c r="E20" s="146"/>
      <c r="F20" s="146"/>
      <c r="G20" s="134"/>
    </row>
    <row r="21" spans="1:7" x14ac:dyDescent="0.25">
      <c r="A21" s="150"/>
      <c r="B21" s="102" t="s">
        <v>46</v>
      </c>
      <c r="C21" s="147" t="s">
        <v>47</v>
      </c>
      <c r="D21" s="146"/>
      <c r="E21" s="134"/>
      <c r="F21" s="34" t="s">
        <v>48</v>
      </c>
      <c r="G21" s="34" t="s">
        <v>49</v>
      </c>
    </row>
    <row r="22" spans="1:7" x14ac:dyDescent="0.25">
      <c r="A22" s="150"/>
      <c r="B22" s="103" t="s">
        <v>2186</v>
      </c>
      <c r="C22" s="158" t="s">
        <v>2194</v>
      </c>
      <c r="D22" s="160"/>
      <c r="E22" s="160"/>
      <c r="F22" s="43" t="s">
        <v>1192</v>
      </c>
      <c r="G22" s="61" t="s">
        <v>1190</v>
      </c>
    </row>
    <row r="23" spans="1:7" x14ac:dyDescent="0.25">
      <c r="A23" s="150"/>
      <c r="B23" s="103" t="s">
        <v>2187</v>
      </c>
      <c r="C23" s="158" t="s">
        <v>2195</v>
      </c>
      <c r="D23" s="160"/>
      <c r="E23" s="160"/>
      <c r="F23" s="43" t="s">
        <v>1192</v>
      </c>
      <c r="G23" s="61" t="s">
        <v>1190</v>
      </c>
    </row>
    <row r="24" spans="1:7" x14ac:dyDescent="0.25">
      <c r="A24" s="150"/>
      <c r="B24" s="103" t="s">
        <v>2188</v>
      </c>
      <c r="C24" s="158" t="s">
        <v>2194</v>
      </c>
      <c r="D24" s="160"/>
      <c r="E24" s="160"/>
      <c r="F24" s="43" t="s">
        <v>1192</v>
      </c>
      <c r="G24" s="61" t="s">
        <v>1191</v>
      </c>
    </row>
    <row r="25" spans="1:7" x14ac:dyDescent="0.25">
      <c r="A25" s="150"/>
      <c r="B25" s="103" t="s">
        <v>2189</v>
      </c>
      <c r="C25" s="158" t="s">
        <v>2195</v>
      </c>
      <c r="D25" s="160"/>
      <c r="E25" s="160"/>
      <c r="F25" s="43" t="s">
        <v>1192</v>
      </c>
      <c r="G25" s="61" t="s">
        <v>1191</v>
      </c>
    </row>
    <row r="26" spans="1:7" x14ac:dyDescent="0.25">
      <c r="A26" s="150"/>
      <c r="B26" s="148" t="s">
        <v>82</v>
      </c>
      <c r="C26" s="146"/>
      <c r="D26" s="146"/>
      <c r="E26" s="146"/>
      <c r="F26" s="146"/>
      <c r="G26" s="134"/>
    </row>
    <row r="27" spans="1:7" x14ac:dyDescent="0.25">
      <c r="A27" s="150"/>
      <c r="B27" s="33" t="s">
        <v>46</v>
      </c>
      <c r="C27" s="33" t="s">
        <v>51</v>
      </c>
      <c r="D27" s="73" t="s">
        <v>19</v>
      </c>
      <c r="E27" s="33" t="s">
        <v>52</v>
      </c>
      <c r="F27" s="33" t="s">
        <v>53</v>
      </c>
      <c r="G27" s="33" t="s">
        <v>54</v>
      </c>
    </row>
    <row r="28" spans="1:7" ht="84" x14ac:dyDescent="0.25">
      <c r="A28" s="150"/>
      <c r="B28" s="37" t="s">
        <v>2186</v>
      </c>
      <c r="C28" s="37" t="s">
        <v>2194</v>
      </c>
      <c r="D28" s="74" t="s">
        <v>1190</v>
      </c>
      <c r="E28" s="37" t="s">
        <v>1195</v>
      </c>
      <c r="F28" s="37" t="s">
        <v>1442</v>
      </c>
      <c r="G28" s="37" t="s">
        <v>1467</v>
      </c>
    </row>
    <row r="29" spans="1:7" ht="112" x14ac:dyDescent="0.25">
      <c r="A29" s="150"/>
      <c r="B29" s="37" t="s">
        <v>2187</v>
      </c>
      <c r="C29" s="37" t="s">
        <v>2195</v>
      </c>
      <c r="D29" s="74" t="s">
        <v>1190</v>
      </c>
      <c r="E29" s="37" t="s">
        <v>1194</v>
      </c>
      <c r="F29" s="37" t="s">
        <v>1443</v>
      </c>
      <c r="G29" s="37" t="s">
        <v>1468</v>
      </c>
    </row>
    <row r="30" spans="1:7" ht="112" x14ac:dyDescent="0.25">
      <c r="A30" s="150"/>
      <c r="B30" s="37" t="s">
        <v>2188</v>
      </c>
      <c r="C30" s="37" t="s">
        <v>2194</v>
      </c>
      <c r="D30" s="74" t="s">
        <v>1206</v>
      </c>
      <c r="E30" s="37" t="s">
        <v>1195</v>
      </c>
      <c r="F30" s="37" t="s">
        <v>1444</v>
      </c>
      <c r="G30" s="37" t="s">
        <v>1467</v>
      </c>
    </row>
    <row r="31" spans="1:7" ht="112" x14ac:dyDescent="0.25">
      <c r="A31" s="150"/>
      <c r="B31" s="37" t="s">
        <v>2189</v>
      </c>
      <c r="C31" s="37" t="s">
        <v>2195</v>
      </c>
      <c r="D31" s="74" t="s">
        <v>1191</v>
      </c>
      <c r="E31" s="37" t="s">
        <v>1194</v>
      </c>
      <c r="F31" s="37" t="s">
        <v>1445</v>
      </c>
      <c r="G31" s="37" t="s">
        <v>1467</v>
      </c>
    </row>
    <row r="32" spans="1:7" x14ac:dyDescent="0.25">
      <c r="A32" s="141" t="s">
        <v>2185</v>
      </c>
      <c r="B32" s="145" t="s">
        <v>27</v>
      </c>
      <c r="C32" s="146"/>
      <c r="D32" s="146"/>
      <c r="E32" s="146"/>
      <c r="F32" s="146"/>
      <c r="G32" s="134"/>
    </row>
    <row r="33" spans="1:7" x14ac:dyDescent="0.25">
      <c r="A33" s="150"/>
      <c r="B33" s="147" t="s">
        <v>28</v>
      </c>
      <c r="C33" s="146"/>
      <c r="D33" s="146"/>
      <c r="E33" s="146"/>
      <c r="F33" s="146"/>
      <c r="G33" s="134"/>
    </row>
    <row r="34" spans="1:7" x14ac:dyDescent="0.25">
      <c r="A34" s="150"/>
      <c r="B34" s="157" t="s">
        <v>29</v>
      </c>
      <c r="C34" s="33" t="s">
        <v>19</v>
      </c>
      <c r="D34" s="73" t="s">
        <v>30</v>
      </c>
      <c r="E34" s="33" t="s">
        <v>31</v>
      </c>
      <c r="F34" s="34" t="s">
        <v>32</v>
      </c>
      <c r="G34" s="34" t="s">
        <v>33</v>
      </c>
    </row>
    <row r="35" spans="1:7" x14ac:dyDescent="0.25">
      <c r="A35" s="150"/>
      <c r="B35" s="159"/>
      <c r="C35" s="141" t="s">
        <v>1188</v>
      </c>
      <c r="D35" s="75" t="s">
        <v>1186</v>
      </c>
      <c r="E35" s="75"/>
      <c r="F35" s="152" t="s">
        <v>966</v>
      </c>
      <c r="G35" s="152" t="s">
        <v>1189</v>
      </c>
    </row>
    <row r="36" spans="1:7" x14ac:dyDescent="0.25">
      <c r="A36" s="150"/>
      <c r="B36" s="159"/>
      <c r="C36" s="150"/>
      <c r="D36" s="72" t="s">
        <v>1187</v>
      </c>
      <c r="E36" s="61"/>
      <c r="F36" s="150"/>
      <c r="G36" s="150"/>
    </row>
    <row r="37" spans="1:7" x14ac:dyDescent="0.25">
      <c r="A37" s="150"/>
      <c r="B37" s="147" t="s">
        <v>38</v>
      </c>
      <c r="C37" s="146"/>
      <c r="D37" s="146"/>
      <c r="E37" s="146"/>
      <c r="F37" s="146"/>
      <c r="G37" s="134"/>
    </row>
    <row r="38" spans="1:7" x14ac:dyDescent="0.25">
      <c r="A38" s="150"/>
      <c r="B38" s="157" t="s">
        <v>39</v>
      </c>
      <c r="C38" s="33" t="s">
        <v>19</v>
      </c>
      <c r="D38" s="73" t="s">
        <v>40</v>
      </c>
      <c r="E38" s="33" t="s">
        <v>74</v>
      </c>
      <c r="F38" s="33" t="s">
        <v>75</v>
      </c>
      <c r="G38" s="33" t="s">
        <v>43</v>
      </c>
    </row>
    <row r="39" spans="1:7" x14ac:dyDescent="0.25">
      <c r="A39" s="150"/>
      <c r="B39" s="150"/>
      <c r="C39" s="106" t="s">
        <v>44</v>
      </c>
      <c r="D39" s="61"/>
      <c r="E39" s="61"/>
      <c r="F39" s="61"/>
      <c r="G39" s="61"/>
    </row>
    <row r="40" spans="1:7" x14ac:dyDescent="0.25">
      <c r="A40" s="150"/>
      <c r="B40" s="147" t="s">
        <v>79</v>
      </c>
      <c r="C40" s="146"/>
      <c r="D40" s="146"/>
      <c r="E40" s="146"/>
      <c r="F40" s="146"/>
      <c r="G40" s="134"/>
    </row>
    <row r="41" spans="1:7" x14ac:dyDescent="0.25">
      <c r="A41" s="150"/>
      <c r="B41" s="107" t="s">
        <v>46</v>
      </c>
      <c r="C41" s="147" t="s">
        <v>47</v>
      </c>
      <c r="D41" s="146"/>
      <c r="E41" s="134"/>
      <c r="F41" s="34" t="s">
        <v>48</v>
      </c>
      <c r="G41" s="34" t="s">
        <v>49</v>
      </c>
    </row>
    <row r="42" spans="1:7" x14ac:dyDescent="0.25">
      <c r="A42" s="150"/>
      <c r="B42" s="108" t="s">
        <v>2190</v>
      </c>
      <c r="C42" s="158" t="s">
        <v>2196</v>
      </c>
      <c r="D42" s="160"/>
      <c r="E42" s="160"/>
      <c r="F42" s="43" t="s">
        <v>1188</v>
      </c>
      <c r="G42" s="61" t="s">
        <v>1190</v>
      </c>
    </row>
    <row r="43" spans="1:7" x14ac:dyDescent="0.25">
      <c r="A43" s="150"/>
      <c r="B43" s="108" t="s">
        <v>2191</v>
      </c>
      <c r="C43" s="158" t="s">
        <v>2197</v>
      </c>
      <c r="D43" s="160"/>
      <c r="E43" s="160"/>
      <c r="F43" s="43" t="s">
        <v>1188</v>
      </c>
      <c r="G43" s="61" t="s">
        <v>1190</v>
      </c>
    </row>
    <row r="44" spans="1:7" x14ac:dyDescent="0.25">
      <c r="A44" s="150"/>
      <c r="B44" s="108" t="s">
        <v>2192</v>
      </c>
      <c r="C44" s="158" t="s">
        <v>2196</v>
      </c>
      <c r="D44" s="160"/>
      <c r="E44" s="160"/>
      <c r="F44" s="43" t="s">
        <v>1188</v>
      </c>
      <c r="G44" s="61" t="s">
        <v>1191</v>
      </c>
    </row>
    <row r="45" spans="1:7" x14ac:dyDescent="0.25">
      <c r="A45" s="150"/>
      <c r="B45" s="108" t="s">
        <v>2193</v>
      </c>
      <c r="C45" s="158" t="s">
        <v>2197</v>
      </c>
      <c r="D45" s="160"/>
      <c r="E45" s="160"/>
      <c r="F45" s="43" t="s">
        <v>1188</v>
      </c>
      <c r="G45" s="61" t="s">
        <v>1191</v>
      </c>
    </row>
    <row r="46" spans="1:7" x14ac:dyDescent="0.25">
      <c r="A46" s="150"/>
      <c r="B46" s="148" t="s">
        <v>82</v>
      </c>
      <c r="C46" s="146"/>
      <c r="D46" s="146"/>
      <c r="E46" s="146"/>
      <c r="F46" s="146"/>
      <c r="G46" s="134"/>
    </row>
    <row r="47" spans="1:7" x14ac:dyDescent="0.25">
      <c r="A47" s="150"/>
      <c r="B47" s="33" t="s">
        <v>46</v>
      </c>
      <c r="C47" s="33" t="s">
        <v>51</v>
      </c>
      <c r="D47" s="73" t="s">
        <v>19</v>
      </c>
      <c r="E47" s="33" t="s">
        <v>52</v>
      </c>
      <c r="F47" s="33" t="s">
        <v>53</v>
      </c>
      <c r="G47" s="33" t="s">
        <v>54</v>
      </c>
    </row>
    <row r="48" spans="1:7" ht="84" x14ac:dyDescent="0.25">
      <c r="A48" s="150"/>
      <c r="B48" s="37" t="s">
        <v>2190</v>
      </c>
      <c r="C48" s="37" t="s">
        <v>2196</v>
      </c>
      <c r="D48" s="74" t="s">
        <v>1190</v>
      </c>
      <c r="E48" s="37" t="s">
        <v>1195</v>
      </c>
      <c r="F48" s="37" t="s">
        <v>1442</v>
      </c>
      <c r="G48" s="37" t="s">
        <v>1467</v>
      </c>
    </row>
    <row r="49" spans="1:7" ht="112" x14ac:dyDescent="0.25">
      <c r="A49" s="150"/>
      <c r="B49" s="37" t="s">
        <v>2192</v>
      </c>
      <c r="C49" s="37" t="s">
        <v>2196</v>
      </c>
      <c r="D49" s="74" t="s">
        <v>1191</v>
      </c>
      <c r="E49" s="37" t="s">
        <v>1195</v>
      </c>
      <c r="F49" s="37" t="s">
        <v>1444</v>
      </c>
      <c r="G49" s="37" t="s">
        <v>1467</v>
      </c>
    </row>
    <row r="50" spans="1:7" x14ac:dyDescent="0.25">
      <c r="A50" s="141" t="s">
        <v>1446</v>
      </c>
      <c r="B50" s="145" t="s">
        <v>27</v>
      </c>
      <c r="C50" s="146"/>
      <c r="D50" s="146"/>
      <c r="E50" s="146"/>
      <c r="F50" s="146"/>
      <c r="G50" s="134"/>
    </row>
    <row r="51" spans="1:7" x14ac:dyDescent="0.25">
      <c r="A51" s="150"/>
      <c r="B51" s="147" t="s">
        <v>28</v>
      </c>
      <c r="C51" s="146"/>
      <c r="D51" s="146"/>
      <c r="E51" s="146"/>
      <c r="F51" s="146"/>
      <c r="G51" s="134"/>
    </row>
    <row r="52" spans="1:7" x14ac:dyDescent="0.25">
      <c r="A52" s="150"/>
      <c r="B52" s="157" t="s">
        <v>29</v>
      </c>
      <c r="C52" s="33" t="s">
        <v>19</v>
      </c>
      <c r="D52" s="73" t="s">
        <v>30</v>
      </c>
      <c r="E52" s="33" t="s">
        <v>31</v>
      </c>
      <c r="F52" s="34" t="s">
        <v>32</v>
      </c>
      <c r="G52" s="34" t="s">
        <v>33</v>
      </c>
    </row>
    <row r="53" spans="1:7" x14ac:dyDescent="0.25">
      <c r="A53" s="150"/>
      <c r="B53" s="159"/>
      <c r="C53" s="141" t="s">
        <v>1188</v>
      </c>
      <c r="D53" s="75" t="s">
        <v>1186</v>
      </c>
      <c r="E53" s="75"/>
      <c r="F53" s="152" t="s">
        <v>966</v>
      </c>
      <c r="G53" s="152" t="s">
        <v>1189</v>
      </c>
    </row>
    <row r="54" spans="1:7" x14ac:dyDescent="0.25">
      <c r="A54" s="150"/>
      <c r="B54" s="159"/>
      <c r="C54" s="150"/>
      <c r="D54" s="72" t="s">
        <v>1187</v>
      </c>
      <c r="E54" s="61"/>
      <c r="F54" s="150"/>
      <c r="G54" s="150"/>
    </row>
    <row r="55" spans="1:7" x14ac:dyDescent="0.25">
      <c r="A55" s="150"/>
      <c r="B55" s="147" t="s">
        <v>38</v>
      </c>
      <c r="C55" s="146"/>
      <c r="D55" s="146"/>
      <c r="E55" s="146"/>
      <c r="F55" s="146"/>
      <c r="G55" s="134"/>
    </row>
    <row r="56" spans="1:7" x14ac:dyDescent="0.25">
      <c r="A56" s="150"/>
      <c r="B56" s="157" t="s">
        <v>39</v>
      </c>
      <c r="C56" s="33" t="s">
        <v>19</v>
      </c>
      <c r="D56" s="73" t="s">
        <v>40</v>
      </c>
      <c r="E56" s="33" t="s">
        <v>74</v>
      </c>
      <c r="F56" s="33" t="s">
        <v>75</v>
      </c>
      <c r="G56" s="33" t="s">
        <v>43</v>
      </c>
    </row>
    <row r="57" spans="1:7" x14ac:dyDescent="0.25">
      <c r="A57" s="150"/>
      <c r="B57" s="150"/>
      <c r="C57" s="101" t="s">
        <v>44</v>
      </c>
      <c r="D57" s="61"/>
      <c r="E57" s="61"/>
      <c r="F57" s="61"/>
      <c r="G57" s="61"/>
    </row>
    <row r="58" spans="1:7" x14ac:dyDescent="0.25">
      <c r="A58" s="150"/>
      <c r="B58" s="147" t="s">
        <v>79</v>
      </c>
      <c r="C58" s="146"/>
      <c r="D58" s="146"/>
      <c r="E58" s="146"/>
      <c r="F58" s="146"/>
      <c r="G58" s="134"/>
    </row>
    <row r="59" spans="1:7" x14ac:dyDescent="0.25">
      <c r="A59" s="150"/>
      <c r="B59" s="102" t="s">
        <v>46</v>
      </c>
      <c r="C59" s="147" t="s">
        <v>47</v>
      </c>
      <c r="D59" s="146"/>
      <c r="E59" s="134"/>
      <c r="F59" s="34" t="s">
        <v>48</v>
      </c>
      <c r="G59" s="34" t="s">
        <v>49</v>
      </c>
    </row>
    <row r="60" spans="1:7" x14ac:dyDescent="0.25">
      <c r="A60" s="150"/>
      <c r="B60" s="103" t="s">
        <v>1509</v>
      </c>
      <c r="C60" s="158" t="s">
        <v>1447</v>
      </c>
      <c r="D60" s="160"/>
      <c r="E60" s="160"/>
      <c r="F60" s="43" t="s">
        <v>1192</v>
      </c>
      <c r="G60" s="61" t="s">
        <v>1190</v>
      </c>
    </row>
    <row r="61" spans="1:7" x14ac:dyDescent="0.25">
      <c r="A61" s="150"/>
      <c r="B61" s="103" t="s">
        <v>1510</v>
      </c>
      <c r="C61" s="158" t="s">
        <v>1448</v>
      </c>
      <c r="D61" s="160"/>
      <c r="E61" s="160"/>
      <c r="F61" s="43" t="s">
        <v>1192</v>
      </c>
      <c r="G61" s="61" t="s">
        <v>1190</v>
      </c>
    </row>
    <row r="62" spans="1:7" x14ac:dyDescent="0.25">
      <c r="A62" s="150"/>
      <c r="B62" s="103" t="s">
        <v>1511</v>
      </c>
      <c r="C62" s="158" t="s">
        <v>1447</v>
      </c>
      <c r="D62" s="160"/>
      <c r="E62" s="160"/>
      <c r="F62" s="43" t="s">
        <v>1192</v>
      </c>
      <c r="G62" s="61" t="s">
        <v>1191</v>
      </c>
    </row>
    <row r="63" spans="1:7" x14ac:dyDescent="0.25">
      <c r="A63" s="150"/>
      <c r="B63" s="103" t="s">
        <v>1512</v>
      </c>
      <c r="C63" s="158" t="s">
        <v>1448</v>
      </c>
      <c r="D63" s="160"/>
      <c r="E63" s="160"/>
      <c r="F63" s="43" t="s">
        <v>1192</v>
      </c>
      <c r="G63" s="61" t="s">
        <v>1191</v>
      </c>
    </row>
    <row r="64" spans="1:7" x14ac:dyDescent="0.25">
      <c r="A64" s="150"/>
      <c r="B64" s="103" t="s">
        <v>1513</v>
      </c>
      <c r="C64" s="158" t="s">
        <v>1220</v>
      </c>
      <c r="D64" s="160"/>
      <c r="E64" s="160"/>
      <c r="F64" s="43" t="s">
        <v>1192</v>
      </c>
      <c r="G64" s="61" t="s">
        <v>1191</v>
      </c>
    </row>
    <row r="65" spans="1:7" x14ac:dyDescent="0.25">
      <c r="A65" s="150"/>
      <c r="B65" s="148" t="s">
        <v>82</v>
      </c>
      <c r="C65" s="146"/>
      <c r="D65" s="146"/>
      <c r="E65" s="146"/>
      <c r="F65" s="146"/>
      <c r="G65" s="134"/>
    </row>
    <row r="66" spans="1:7" x14ac:dyDescent="0.25">
      <c r="A66" s="150"/>
      <c r="B66" s="33" t="s">
        <v>46</v>
      </c>
      <c r="C66" s="33" t="s">
        <v>51</v>
      </c>
      <c r="D66" s="73" t="s">
        <v>19</v>
      </c>
      <c r="E66" s="33" t="s">
        <v>52</v>
      </c>
      <c r="F66" s="33" t="s">
        <v>53</v>
      </c>
      <c r="G66" s="33" t="s">
        <v>54</v>
      </c>
    </row>
    <row r="67" spans="1:7" ht="84" x14ac:dyDescent="0.25">
      <c r="A67" s="150"/>
      <c r="B67" s="37" t="s">
        <v>1509</v>
      </c>
      <c r="C67" s="37" t="s">
        <v>1447</v>
      </c>
      <c r="D67" s="74" t="s">
        <v>1190</v>
      </c>
      <c r="E67" s="37" t="s">
        <v>1195</v>
      </c>
      <c r="F67" s="37" t="s">
        <v>1449</v>
      </c>
      <c r="G67" s="37" t="s">
        <v>1469</v>
      </c>
    </row>
    <row r="68" spans="1:7" ht="112" x14ac:dyDescent="0.25">
      <c r="A68" s="150"/>
      <c r="B68" s="37" t="s">
        <v>1510</v>
      </c>
      <c r="C68" s="37" t="s">
        <v>1448</v>
      </c>
      <c r="D68" s="74" t="s">
        <v>1190</v>
      </c>
      <c r="E68" s="37" t="s">
        <v>1194</v>
      </c>
      <c r="F68" s="37" t="s">
        <v>1450</v>
      </c>
      <c r="G68" s="37" t="s">
        <v>1470</v>
      </c>
    </row>
    <row r="69" spans="1:7" ht="126" x14ac:dyDescent="0.25">
      <c r="A69" s="150"/>
      <c r="B69" s="37" t="s">
        <v>1511</v>
      </c>
      <c r="C69" s="37" t="s">
        <v>1447</v>
      </c>
      <c r="D69" s="74" t="s">
        <v>1206</v>
      </c>
      <c r="E69" s="37" t="s">
        <v>1195</v>
      </c>
      <c r="F69" s="37" t="s">
        <v>1451</v>
      </c>
      <c r="G69" s="37" t="s">
        <v>1467</v>
      </c>
    </row>
    <row r="70" spans="1:7" ht="112" x14ac:dyDescent="0.25">
      <c r="A70" s="150"/>
      <c r="B70" s="37" t="s">
        <v>1512</v>
      </c>
      <c r="C70" s="37" t="s">
        <v>1448</v>
      </c>
      <c r="D70" s="74" t="s">
        <v>1191</v>
      </c>
      <c r="E70" s="37" t="s">
        <v>1194</v>
      </c>
      <c r="F70" s="37" t="s">
        <v>1452</v>
      </c>
      <c r="G70" s="37" t="s">
        <v>1467</v>
      </c>
    </row>
    <row r="71" spans="1:7" ht="126" x14ac:dyDescent="0.25">
      <c r="A71" s="150"/>
      <c r="B71" s="37" t="s">
        <v>1513</v>
      </c>
      <c r="C71" s="37" t="s">
        <v>1229</v>
      </c>
      <c r="D71" s="74" t="s">
        <v>1221</v>
      </c>
      <c r="E71" s="37" t="s">
        <v>1222</v>
      </c>
      <c r="F71" s="37" t="s">
        <v>1453</v>
      </c>
      <c r="G71" s="37" t="s">
        <v>1454</v>
      </c>
    </row>
    <row r="72" spans="1:7" x14ac:dyDescent="0.25">
      <c r="A72" s="141" t="s">
        <v>1455</v>
      </c>
      <c r="B72" s="145" t="s">
        <v>27</v>
      </c>
      <c r="C72" s="146"/>
      <c r="D72" s="146"/>
      <c r="E72" s="146"/>
      <c r="F72" s="146"/>
      <c r="G72" s="134"/>
    </row>
    <row r="73" spans="1:7" x14ac:dyDescent="0.25">
      <c r="A73" s="150"/>
      <c r="B73" s="147" t="s">
        <v>28</v>
      </c>
      <c r="C73" s="146"/>
      <c r="D73" s="146"/>
      <c r="E73" s="146"/>
      <c r="F73" s="146"/>
      <c r="G73" s="134"/>
    </row>
    <row r="74" spans="1:7" x14ac:dyDescent="0.25">
      <c r="A74" s="150"/>
      <c r="B74" s="157" t="s">
        <v>29</v>
      </c>
      <c r="C74" s="33" t="s">
        <v>19</v>
      </c>
      <c r="D74" s="73" t="s">
        <v>30</v>
      </c>
      <c r="E74" s="33" t="s">
        <v>31</v>
      </c>
      <c r="F74" s="34" t="s">
        <v>32</v>
      </c>
      <c r="G74" s="34" t="s">
        <v>33</v>
      </c>
    </row>
    <row r="75" spans="1:7" x14ac:dyDescent="0.25">
      <c r="A75" s="150"/>
      <c r="B75" s="159"/>
      <c r="C75" s="141" t="s">
        <v>1188</v>
      </c>
      <c r="D75" s="75" t="s">
        <v>1186</v>
      </c>
      <c r="E75" s="75"/>
      <c r="F75" s="152" t="s">
        <v>966</v>
      </c>
      <c r="G75" s="152" t="s">
        <v>1189</v>
      </c>
    </row>
    <row r="76" spans="1:7" x14ac:dyDescent="0.25">
      <c r="A76" s="150"/>
      <c r="B76" s="159"/>
      <c r="C76" s="150"/>
      <c r="D76" s="72" t="s">
        <v>1187</v>
      </c>
      <c r="E76" s="61"/>
      <c r="F76" s="150"/>
      <c r="G76" s="150"/>
    </row>
    <row r="77" spans="1:7" x14ac:dyDescent="0.25">
      <c r="A77" s="150"/>
      <c r="B77" s="147" t="s">
        <v>38</v>
      </c>
      <c r="C77" s="146"/>
      <c r="D77" s="146"/>
      <c r="E77" s="146"/>
      <c r="F77" s="146"/>
      <c r="G77" s="134"/>
    </row>
    <row r="78" spans="1:7" x14ac:dyDescent="0.25">
      <c r="A78" s="150"/>
      <c r="B78" s="157" t="s">
        <v>39</v>
      </c>
      <c r="C78" s="33" t="s">
        <v>19</v>
      </c>
      <c r="D78" s="73" t="s">
        <v>40</v>
      </c>
      <c r="E78" s="33" t="s">
        <v>74</v>
      </c>
      <c r="F78" s="33" t="s">
        <v>75</v>
      </c>
      <c r="G78" s="33" t="s">
        <v>43</v>
      </c>
    </row>
    <row r="79" spans="1:7" x14ac:dyDescent="0.25">
      <c r="A79" s="150"/>
      <c r="B79" s="150"/>
      <c r="C79" s="101" t="s">
        <v>44</v>
      </c>
      <c r="D79" s="61"/>
      <c r="E79" s="61"/>
      <c r="F79" s="61"/>
      <c r="G79" s="61"/>
    </row>
    <row r="80" spans="1:7" x14ac:dyDescent="0.25">
      <c r="A80" s="150"/>
      <c r="B80" s="147" t="s">
        <v>79</v>
      </c>
      <c r="C80" s="146"/>
      <c r="D80" s="146"/>
      <c r="E80" s="146"/>
      <c r="F80" s="146"/>
      <c r="G80" s="134"/>
    </row>
    <row r="81" spans="1:7" x14ac:dyDescent="0.25">
      <c r="A81" s="150"/>
      <c r="B81" s="102" t="s">
        <v>46</v>
      </c>
      <c r="C81" s="147" t="s">
        <v>47</v>
      </c>
      <c r="D81" s="146"/>
      <c r="E81" s="134"/>
      <c r="F81" s="34" t="s">
        <v>48</v>
      </c>
      <c r="G81" s="34" t="s">
        <v>49</v>
      </c>
    </row>
    <row r="82" spans="1:7" x14ac:dyDescent="0.25">
      <c r="A82" s="150"/>
      <c r="B82" s="103" t="s">
        <v>1514</v>
      </c>
      <c r="C82" s="158" t="s">
        <v>1456</v>
      </c>
      <c r="D82" s="160"/>
      <c r="E82" s="160"/>
      <c r="F82" s="43" t="s">
        <v>1192</v>
      </c>
      <c r="G82" s="61" t="s">
        <v>1236</v>
      </c>
    </row>
    <row r="83" spans="1:7" x14ac:dyDescent="0.25">
      <c r="A83" s="150"/>
      <c r="B83" s="103" t="s">
        <v>1515</v>
      </c>
      <c r="C83" s="158" t="s">
        <v>1457</v>
      </c>
      <c r="D83" s="160"/>
      <c r="E83" s="160"/>
      <c r="F83" s="43" t="s">
        <v>1192</v>
      </c>
      <c r="G83" s="61" t="s">
        <v>1237</v>
      </c>
    </row>
    <row r="84" spans="1:7" x14ac:dyDescent="0.25">
      <c r="A84" s="150"/>
      <c r="B84" s="148" t="s">
        <v>82</v>
      </c>
      <c r="C84" s="146"/>
      <c r="D84" s="146"/>
      <c r="E84" s="146"/>
      <c r="F84" s="146"/>
      <c r="G84" s="134"/>
    </row>
    <row r="85" spans="1:7" x14ac:dyDescent="0.25">
      <c r="A85" s="150"/>
      <c r="B85" s="33" t="s">
        <v>46</v>
      </c>
      <c r="C85" s="33" t="s">
        <v>51</v>
      </c>
      <c r="D85" s="73" t="s">
        <v>19</v>
      </c>
      <c r="E85" s="33" t="s">
        <v>52</v>
      </c>
      <c r="F85" s="33" t="s">
        <v>53</v>
      </c>
      <c r="G85" s="33" t="s">
        <v>54</v>
      </c>
    </row>
    <row r="86" spans="1:7" ht="168" x14ac:dyDescent="0.25">
      <c r="A86" s="150"/>
      <c r="B86" s="37" t="s">
        <v>1514</v>
      </c>
      <c r="C86" s="37" t="s">
        <v>1456</v>
      </c>
      <c r="D86" s="74" t="s">
        <v>1236</v>
      </c>
      <c r="E86" s="37" t="s">
        <v>1230</v>
      </c>
      <c r="F86" s="37" t="s">
        <v>1458</v>
      </c>
      <c r="G86" s="37" t="s">
        <v>1388</v>
      </c>
    </row>
    <row r="87" spans="1:7" ht="140" x14ac:dyDescent="0.25">
      <c r="A87" s="150"/>
      <c r="B87" s="37" t="s">
        <v>1515</v>
      </c>
      <c r="C87" s="37" t="s">
        <v>1457</v>
      </c>
      <c r="D87" s="74" t="s">
        <v>1237</v>
      </c>
      <c r="E87" s="37" t="s">
        <v>1194</v>
      </c>
      <c r="F87" s="37" t="s">
        <v>1459</v>
      </c>
      <c r="G87" s="37" t="s">
        <v>1388</v>
      </c>
    </row>
    <row r="88" spans="1:7" x14ac:dyDescent="0.25">
      <c r="A88" s="141" t="s">
        <v>1460</v>
      </c>
      <c r="B88" s="145" t="s">
        <v>57</v>
      </c>
      <c r="C88" s="160"/>
      <c r="D88" s="160"/>
      <c r="E88" s="160"/>
      <c r="F88" s="160"/>
      <c r="G88" s="160"/>
    </row>
    <row r="89" spans="1:7" x14ac:dyDescent="0.25">
      <c r="A89" s="160"/>
      <c r="B89" s="147" t="s">
        <v>58</v>
      </c>
      <c r="C89" s="160"/>
      <c r="D89" s="160"/>
      <c r="E89" s="160"/>
      <c r="F89" s="160"/>
      <c r="G89" s="160"/>
    </row>
    <row r="90" spans="1:7" x14ac:dyDescent="0.25">
      <c r="A90" s="160"/>
      <c r="B90" s="102" t="s">
        <v>46</v>
      </c>
      <c r="C90" s="147" t="s">
        <v>47</v>
      </c>
      <c r="D90" s="160"/>
      <c r="E90" s="160"/>
      <c r="F90" s="34" t="s">
        <v>48</v>
      </c>
      <c r="G90" s="34" t="s">
        <v>49</v>
      </c>
    </row>
    <row r="91" spans="1:7" x14ac:dyDescent="0.25">
      <c r="A91" s="160"/>
      <c r="B91" s="35" t="s">
        <v>1516</v>
      </c>
      <c r="C91" s="158" t="s">
        <v>1461</v>
      </c>
      <c r="D91" s="160"/>
      <c r="E91" s="160"/>
      <c r="F91" s="43" t="s">
        <v>1247</v>
      </c>
      <c r="G91" s="36" t="s">
        <v>1247</v>
      </c>
    </row>
    <row r="92" spans="1:7" x14ac:dyDescent="0.25">
      <c r="A92" s="160"/>
      <c r="B92" s="148" t="s">
        <v>60</v>
      </c>
      <c r="C92" s="160"/>
      <c r="D92" s="160"/>
      <c r="E92" s="160"/>
      <c r="F92" s="160"/>
      <c r="G92" s="160"/>
    </row>
    <row r="93" spans="1:7" x14ac:dyDescent="0.25">
      <c r="A93" s="160"/>
      <c r="B93" s="33" t="s">
        <v>46</v>
      </c>
      <c r="C93" s="33" t="s">
        <v>51</v>
      </c>
      <c r="D93" s="33" t="s">
        <v>19</v>
      </c>
      <c r="E93" s="33" t="s">
        <v>52</v>
      </c>
      <c r="F93" s="33" t="s">
        <v>53</v>
      </c>
      <c r="G93" s="33" t="s">
        <v>54</v>
      </c>
    </row>
    <row r="94" spans="1:7" ht="17.149999999999999" customHeight="1" x14ac:dyDescent="0.25">
      <c r="A94" s="160"/>
      <c r="B94" s="37" t="s">
        <v>1516</v>
      </c>
      <c r="C94" s="37" t="s">
        <v>1461</v>
      </c>
      <c r="D94" s="37" t="s">
        <v>1247</v>
      </c>
      <c r="E94" s="37" t="s">
        <v>360</v>
      </c>
      <c r="F94" s="37" t="s">
        <v>1462</v>
      </c>
      <c r="G94" s="37" t="s">
        <v>1389</v>
      </c>
    </row>
    <row r="95" spans="1:7" x14ac:dyDescent="0.25">
      <c r="A95" s="141" t="s">
        <v>1463</v>
      </c>
      <c r="B95" s="145" t="s">
        <v>57</v>
      </c>
      <c r="C95" s="160"/>
      <c r="D95" s="160"/>
      <c r="E95" s="160"/>
      <c r="F95" s="160"/>
      <c r="G95" s="160"/>
    </row>
    <row r="96" spans="1:7" x14ac:dyDescent="0.25">
      <c r="A96" s="160"/>
      <c r="B96" s="147" t="s">
        <v>58</v>
      </c>
      <c r="C96" s="160"/>
      <c r="D96" s="160"/>
      <c r="E96" s="160"/>
      <c r="F96" s="160"/>
      <c r="G96" s="160"/>
    </row>
    <row r="97" spans="1:7" x14ac:dyDescent="0.25">
      <c r="A97" s="160"/>
      <c r="B97" s="102" t="s">
        <v>46</v>
      </c>
      <c r="C97" s="147" t="s">
        <v>47</v>
      </c>
      <c r="D97" s="160"/>
      <c r="E97" s="160"/>
      <c r="F97" s="34" t="s">
        <v>48</v>
      </c>
      <c r="G97" s="34" t="s">
        <v>49</v>
      </c>
    </row>
    <row r="98" spans="1:7" x14ac:dyDescent="0.25">
      <c r="A98" s="160"/>
      <c r="B98" s="35" t="s">
        <v>1516</v>
      </c>
      <c r="C98" s="158" t="s">
        <v>1259</v>
      </c>
      <c r="D98" s="160"/>
      <c r="E98" s="160"/>
      <c r="F98" s="43" t="s">
        <v>1188</v>
      </c>
      <c r="G98" s="36" t="s">
        <v>1189</v>
      </c>
    </row>
    <row r="99" spans="1:7" x14ac:dyDescent="0.25">
      <c r="A99" s="160"/>
      <c r="B99" s="148" t="s">
        <v>60</v>
      </c>
      <c r="C99" s="160"/>
      <c r="D99" s="160"/>
      <c r="E99" s="160"/>
      <c r="F99" s="160"/>
      <c r="G99" s="160"/>
    </row>
    <row r="100" spans="1:7" x14ac:dyDescent="0.25">
      <c r="A100" s="160"/>
      <c r="B100" s="33" t="s">
        <v>46</v>
      </c>
      <c r="C100" s="33" t="s">
        <v>51</v>
      </c>
      <c r="D100" s="33" t="s">
        <v>19</v>
      </c>
      <c r="E100" s="33" t="s">
        <v>52</v>
      </c>
      <c r="F100" s="33" t="s">
        <v>53</v>
      </c>
      <c r="G100" s="33" t="s">
        <v>54</v>
      </c>
    </row>
    <row r="101" spans="1:7" ht="15.65" customHeight="1" x14ac:dyDescent="0.25">
      <c r="A101" s="160"/>
      <c r="B101" s="37" t="s">
        <v>1517</v>
      </c>
      <c r="C101" s="37" t="s">
        <v>1263</v>
      </c>
      <c r="D101" s="37" t="s">
        <v>1190</v>
      </c>
      <c r="E101" s="37" t="s">
        <v>1258</v>
      </c>
      <c r="F101" s="37" t="s">
        <v>1464</v>
      </c>
      <c r="G101" s="37" t="s">
        <v>1465</v>
      </c>
    </row>
    <row r="102" spans="1:7" ht="15.65" customHeight="1" x14ac:dyDescent="0.25">
      <c r="A102" s="160"/>
      <c r="B102" s="37" t="s">
        <v>1518</v>
      </c>
      <c r="C102" s="37" t="s">
        <v>1263</v>
      </c>
      <c r="D102" s="37" t="s">
        <v>1191</v>
      </c>
      <c r="E102" s="37" t="s">
        <v>1258</v>
      </c>
      <c r="F102" s="37" t="s">
        <v>1466</v>
      </c>
      <c r="G102" s="37" t="s">
        <v>1465</v>
      </c>
    </row>
    <row r="103" spans="1:7" x14ac:dyDescent="0.25">
      <c r="A103" s="141" t="s">
        <v>1460</v>
      </c>
      <c r="B103" s="145" t="s">
        <v>57</v>
      </c>
      <c r="C103" s="160"/>
      <c r="D103" s="160"/>
      <c r="E103" s="160"/>
      <c r="F103" s="160"/>
      <c r="G103" s="160"/>
    </row>
    <row r="104" spans="1:7" x14ac:dyDescent="0.25">
      <c r="A104" s="160"/>
      <c r="B104" s="147" t="s">
        <v>58</v>
      </c>
      <c r="C104" s="160"/>
      <c r="D104" s="160"/>
      <c r="E104" s="160"/>
      <c r="F104" s="160"/>
      <c r="G104" s="160"/>
    </row>
    <row r="105" spans="1:7" x14ac:dyDescent="0.25">
      <c r="A105" s="160"/>
      <c r="B105" s="102" t="s">
        <v>46</v>
      </c>
      <c r="C105" s="147" t="s">
        <v>47</v>
      </c>
      <c r="D105" s="160"/>
      <c r="E105" s="160"/>
      <c r="F105" s="34" t="s">
        <v>48</v>
      </c>
      <c r="G105" s="34" t="s">
        <v>49</v>
      </c>
    </row>
    <row r="106" spans="1:7" x14ac:dyDescent="0.25">
      <c r="A106" s="160"/>
      <c r="B106" s="35" t="s">
        <v>1521</v>
      </c>
      <c r="C106" s="158" t="s">
        <v>1526</v>
      </c>
      <c r="D106" s="160"/>
      <c r="E106" s="160"/>
      <c r="F106" s="43" t="s">
        <v>1523</v>
      </c>
      <c r="G106" s="36" t="s">
        <v>1524</v>
      </c>
    </row>
    <row r="107" spans="1:7" x14ac:dyDescent="0.25">
      <c r="A107" s="160"/>
      <c r="B107" s="148" t="s">
        <v>60</v>
      </c>
      <c r="C107" s="160"/>
      <c r="D107" s="160"/>
      <c r="E107" s="160"/>
      <c r="F107" s="160"/>
      <c r="G107" s="160"/>
    </row>
    <row r="108" spans="1:7" x14ac:dyDescent="0.25">
      <c r="A108" s="160"/>
      <c r="B108" s="33" t="s">
        <v>46</v>
      </c>
      <c r="C108" s="33" t="s">
        <v>51</v>
      </c>
      <c r="D108" s="33" t="s">
        <v>19</v>
      </c>
      <c r="E108" s="33" t="s">
        <v>52</v>
      </c>
      <c r="F108" s="33" t="s">
        <v>53</v>
      </c>
      <c r="G108" s="33" t="s">
        <v>54</v>
      </c>
    </row>
    <row r="109" spans="1:7" ht="112" x14ac:dyDescent="0.25">
      <c r="A109" s="160"/>
      <c r="B109" s="37" t="s">
        <v>1522</v>
      </c>
      <c r="C109" s="37" t="s">
        <v>1527</v>
      </c>
      <c r="D109" s="37" t="s">
        <v>1525</v>
      </c>
      <c r="E109" s="37" t="s">
        <v>360</v>
      </c>
      <c r="F109" s="37" t="s">
        <v>1529</v>
      </c>
      <c r="G109" s="37" t="s">
        <v>1528</v>
      </c>
    </row>
    <row r="110" spans="1:7" x14ac:dyDescent="0.25">
      <c r="A110" s="141" t="s">
        <v>1537</v>
      </c>
      <c r="B110" s="145" t="s">
        <v>57</v>
      </c>
      <c r="C110" s="160"/>
      <c r="D110" s="160"/>
      <c r="E110" s="160"/>
      <c r="F110" s="160"/>
      <c r="G110" s="160"/>
    </row>
    <row r="111" spans="1:7" x14ac:dyDescent="0.25">
      <c r="A111" s="160"/>
      <c r="B111" s="147" t="s">
        <v>58</v>
      </c>
      <c r="C111" s="160"/>
      <c r="D111" s="160"/>
      <c r="E111" s="160"/>
      <c r="F111" s="160"/>
      <c r="G111" s="160"/>
    </row>
    <row r="112" spans="1:7" x14ac:dyDescent="0.25">
      <c r="A112" s="160"/>
      <c r="B112" s="102" t="s">
        <v>46</v>
      </c>
      <c r="C112" s="147" t="s">
        <v>47</v>
      </c>
      <c r="D112" s="160"/>
      <c r="E112" s="160"/>
      <c r="F112" s="34" t="s">
        <v>48</v>
      </c>
      <c r="G112" s="34" t="s">
        <v>49</v>
      </c>
    </row>
    <row r="113" spans="1:7" x14ac:dyDescent="0.25">
      <c r="A113" s="160"/>
      <c r="B113" s="35" t="s">
        <v>1538</v>
      </c>
      <c r="C113" s="158" t="s">
        <v>1543</v>
      </c>
      <c r="D113" s="160"/>
      <c r="E113" s="160"/>
      <c r="F113" s="43" t="s">
        <v>1539</v>
      </c>
      <c r="G113" s="36" t="s">
        <v>1540</v>
      </c>
    </row>
    <row r="114" spans="1:7" x14ac:dyDescent="0.25">
      <c r="A114" s="160"/>
      <c r="B114" s="148" t="s">
        <v>60</v>
      </c>
      <c r="C114" s="160"/>
      <c r="D114" s="160"/>
      <c r="E114" s="160"/>
      <c r="F114" s="160"/>
      <c r="G114" s="160"/>
    </row>
    <row r="115" spans="1:7" x14ac:dyDescent="0.25">
      <c r="A115" s="160"/>
      <c r="B115" s="33" t="s">
        <v>46</v>
      </c>
      <c r="C115" s="33" t="s">
        <v>51</v>
      </c>
      <c r="D115" s="33" t="s">
        <v>19</v>
      </c>
      <c r="E115" s="33" t="s">
        <v>52</v>
      </c>
      <c r="F115" s="33" t="s">
        <v>53</v>
      </c>
      <c r="G115" s="33" t="s">
        <v>54</v>
      </c>
    </row>
    <row r="116" spans="1:7" ht="112" x14ac:dyDescent="0.25">
      <c r="A116" s="160"/>
      <c r="B116" s="37" t="s">
        <v>1542</v>
      </c>
      <c r="C116" s="37" t="s">
        <v>1544</v>
      </c>
      <c r="D116" s="37" t="s">
        <v>1541</v>
      </c>
      <c r="E116" s="37" t="s">
        <v>360</v>
      </c>
      <c r="F116" s="37" t="s">
        <v>1545</v>
      </c>
      <c r="G116" s="37" t="s">
        <v>1546</v>
      </c>
    </row>
    <row r="117" spans="1:7" x14ac:dyDescent="0.25">
      <c r="A117" s="141" t="s">
        <v>1547</v>
      </c>
      <c r="B117" s="145" t="s">
        <v>57</v>
      </c>
      <c r="C117" s="160"/>
      <c r="D117" s="160"/>
      <c r="E117" s="160"/>
      <c r="F117" s="160"/>
      <c r="G117" s="160"/>
    </row>
    <row r="118" spans="1:7" x14ac:dyDescent="0.25">
      <c r="A118" s="160"/>
      <c r="B118" s="147" t="s">
        <v>58</v>
      </c>
      <c r="C118" s="160"/>
      <c r="D118" s="160"/>
      <c r="E118" s="160"/>
      <c r="F118" s="160"/>
      <c r="G118" s="160"/>
    </row>
    <row r="119" spans="1:7" x14ac:dyDescent="0.25">
      <c r="A119" s="160"/>
      <c r="B119" s="102" t="s">
        <v>46</v>
      </c>
      <c r="C119" s="147" t="s">
        <v>47</v>
      </c>
      <c r="D119" s="160"/>
      <c r="E119" s="160"/>
      <c r="F119" s="34" t="s">
        <v>48</v>
      </c>
      <c r="G119" s="34" t="s">
        <v>49</v>
      </c>
    </row>
    <row r="120" spans="1:7" x14ac:dyDescent="0.25">
      <c r="A120" s="160"/>
      <c r="B120" s="35" t="s">
        <v>1292</v>
      </c>
      <c r="C120" s="158" t="s">
        <v>1280</v>
      </c>
      <c r="D120" s="160"/>
      <c r="E120" s="160"/>
      <c r="F120" s="43" t="s">
        <v>1281</v>
      </c>
      <c r="G120" s="36" t="s">
        <v>1281</v>
      </c>
    </row>
    <row r="121" spans="1:7" x14ac:dyDescent="0.25">
      <c r="A121" s="160"/>
      <c r="B121" s="148" t="s">
        <v>60</v>
      </c>
      <c r="C121" s="160"/>
      <c r="D121" s="160"/>
      <c r="E121" s="160"/>
      <c r="F121" s="160"/>
      <c r="G121" s="160"/>
    </row>
    <row r="122" spans="1:7" x14ac:dyDescent="0.25">
      <c r="A122" s="160"/>
      <c r="B122" s="33" t="s">
        <v>46</v>
      </c>
      <c r="C122" s="33" t="s">
        <v>51</v>
      </c>
      <c r="D122" s="33" t="s">
        <v>19</v>
      </c>
      <c r="E122" s="33" t="s">
        <v>52</v>
      </c>
      <c r="F122" s="33" t="s">
        <v>53</v>
      </c>
      <c r="G122" s="33" t="s">
        <v>54</v>
      </c>
    </row>
    <row r="123" spans="1:7" ht="70" x14ac:dyDescent="0.25">
      <c r="A123" s="160"/>
      <c r="B123" s="37" t="s">
        <v>1549</v>
      </c>
      <c r="C123" s="37" t="s">
        <v>1551</v>
      </c>
      <c r="D123" s="37" t="s">
        <v>1281</v>
      </c>
      <c r="E123" s="37" t="s">
        <v>360</v>
      </c>
      <c r="F123" s="37" t="s">
        <v>1553</v>
      </c>
      <c r="G123" s="37" t="s">
        <v>1554</v>
      </c>
    </row>
    <row r="124" spans="1:7" x14ac:dyDescent="0.25">
      <c r="A124" s="141" t="s">
        <v>1548</v>
      </c>
      <c r="B124" s="145" t="s">
        <v>57</v>
      </c>
      <c r="C124" s="160"/>
      <c r="D124" s="160"/>
      <c r="E124" s="160"/>
      <c r="F124" s="160"/>
      <c r="G124" s="160"/>
    </row>
    <row r="125" spans="1:7" x14ac:dyDescent="0.25">
      <c r="A125" s="160"/>
      <c r="B125" s="147" t="s">
        <v>58</v>
      </c>
      <c r="C125" s="160"/>
      <c r="D125" s="160"/>
      <c r="E125" s="160"/>
      <c r="F125" s="160"/>
      <c r="G125" s="160"/>
    </row>
    <row r="126" spans="1:7" x14ac:dyDescent="0.25">
      <c r="A126" s="160"/>
      <c r="B126" s="102" t="s">
        <v>46</v>
      </c>
      <c r="C126" s="147" t="s">
        <v>47</v>
      </c>
      <c r="D126" s="160"/>
      <c r="E126" s="160"/>
      <c r="F126" s="34" t="s">
        <v>48</v>
      </c>
      <c r="G126" s="34" t="s">
        <v>49</v>
      </c>
    </row>
    <row r="127" spans="1:7" x14ac:dyDescent="0.25">
      <c r="A127" s="160"/>
      <c r="B127" s="35" t="s">
        <v>1290</v>
      </c>
      <c r="C127" s="158" t="s">
        <v>1286</v>
      </c>
      <c r="D127" s="160"/>
      <c r="E127" s="160"/>
      <c r="F127" s="43" t="s">
        <v>386</v>
      </c>
      <c r="G127" s="36" t="s">
        <v>1288</v>
      </c>
    </row>
    <row r="128" spans="1:7" x14ac:dyDescent="0.25">
      <c r="A128" s="160"/>
      <c r="B128" s="148" t="s">
        <v>60</v>
      </c>
      <c r="C128" s="160"/>
      <c r="D128" s="160"/>
      <c r="E128" s="160"/>
      <c r="F128" s="160"/>
      <c r="G128" s="160"/>
    </row>
    <row r="129" spans="1:7" x14ac:dyDescent="0.25">
      <c r="A129" s="160"/>
      <c r="B129" s="33" t="s">
        <v>46</v>
      </c>
      <c r="C129" s="33" t="s">
        <v>51</v>
      </c>
      <c r="D129" s="33" t="s">
        <v>19</v>
      </c>
      <c r="E129" s="33" t="s">
        <v>52</v>
      </c>
      <c r="F129" s="33" t="s">
        <v>53</v>
      </c>
      <c r="G129" s="33" t="s">
        <v>54</v>
      </c>
    </row>
    <row r="130" spans="1:7" ht="56" x14ac:dyDescent="0.25">
      <c r="A130" s="160"/>
      <c r="B130" s="37" t="s">
        <v>1550</v>
      </c>
      <c r="C130" s="37" t="s">
        <v>1552</v>
      </c>
      <c r="D130" s="37" t="s">
        <v>1288</v>
      </c>
      <c r="E130" s="37" t="s">
        <v>360</v>
      </c>
      <c r="F130" s="37" t="s">
        <v>1556</v>
      </c>
      <c r="G130" s="37" t="s">
        <v>1555</v>
      </c>
    </row>
  </sheetData>
  <mergeCells count="111">
    <mergeCell ref="A117:A123"/>
    <mergeCell ref="B117:G117"/>
    <mergeCell ref="B118:G118"/>
    <mergeCell ref="C119:E119"/>
    <mergeCell ref="C120:E120"/>
    <mergeCell ref="B121:G121"/>
    <mergeCell ref="A124:A130"/>
    <mergeCell ref="B124:G124"/>
    <mergeCell ref="B125:G125"/>
    <mergeCell ref="C126:E126"/>
    <mergeCell ref="C127:E127"/>
    <mergeCell ref="B128:G128"/>
    <mergeCell ref="A103:A109"/>
    <mergeCell ref="B103:G103"/>
    <mergeCell ref="B104:G104"/>
    <mergeCell ref="C105:E105"/>
    <mergeCell ref="C106:E106"/>
    <mergeCell ref="B107:G107"/>
    <mergeCell ref="A110:A116"/>
    <mergeCell ref="B110:G110"/>
    <mergeCell ref="B111:G111"/>
    <mergeCell ref="C112:E112"/>
    <mergeCell ref="C113:E113"/>
    <mergeCell ref="B114:G114"/>
    <mergeCell ref="A88:A94"/>
    <mergeCell ref="B88:G88"/>
    <mergeCell ref="B89:G89"/>
    <mergeCell ref="C90:E90"/>
    <mergeCell ref="C91:E91"/>
    <mergeCell ref="B92:G92"/>
    <mergeCell ref="A95:A102"/>
    <mergeCell ref="B95:G95"/>
    <mergeCell ref="B96:G96"/>
    <mergeCell ref="C97:E97"/>
    <mergeCell ref="C98:E98"/>
    <mergeCell ref="B99:G99"/>
    <mergeCell ref="B65:G65"/>
    <mergeCell ref="A72:A87"/>
    <mergeCell ref="B72:G72"/>
    <mergeCell ref="B73:G73"/>
    <mergeCell ref="B74:B76"/>
    <mergeCell ref="C75:C76"/>
    <mergeCell ref="F75:F76"/>
    <mergeCell ref="G75:G76"/>
    <mergeCell ref="B77:G77"/>
    <mergeCell ref="B78:B79"/>
    <mergeCell ref="B80:G80"/>
    <mergeCell ref="C81:E81"/>
    <mergeCell ref="C82:E82"/>
    <mergeCell ref="C83:E83"/>
    <mergeCell ref="B84:G84"/>
    <mergeCell ref="A50:A71"/>
    <mergeCell ref="C61:E61"/>
    <mergeCell ref="C62:E62"/>
    <mergeCell ref="C63:E63"/>
    <mergeCell ref="C64:E64"/>
    <mergeCell ref="B55:G55"/>
    <mergeCell ref="B56:B57"/>
    <mergeCell ref="B58:G58"/>
    <mergeCell ref="C59:E59"/>
    <mergeCell ref="A12:A31"/>
    <mergeCell ref="B12:G12"/>
    <mergeCell ref="B13:G13"/>
    <mergeCell ref="B14:B16"/>
    <mergeCell ref="C15:C16"/>
    <mergeCell ref="F15:F16"/>
    <mergeCell ref="G15:G16"/>
    <mergeCell ref="B17:G17"/>
    <mergeCell ref="B18:B19"/>
    <mergeCell ref="B20:G20"/>
    <mergeCell ref="C21:E21"/>
    <mergeCell ref="C22:E22"/>
    <mergeCell ref="C60:E60"/>
    <mergeCell ref="B50:G50"/>
    <mergeCell ref="B51:G51"/>
    <mergeCell ref="B52:B54"/>
    <mergeCell ref="C23:E23"/>
    <mergeCell ref="C24:E24"/>
    <mergeCell ref="C25:E25"/>
    <mergeCell ref="B26:G26"/>
    <mergeCell ref="C53:C54"/>
    <mergeCell ref="F53:F54"/>
    <mergeCell ref="G53:G54"/>
    <mergeCell ref="A1:A11"/>
    <mergeCell ref="F1:G1"/>
    <mergeCell ref="F2:G2"/>
    <mergeCell ref="F11:G11"/>
    <mergeCell ref="F3:G3"/>
    <mergeCell ref="F4:G4"/>
    <mergeCell ref="F5:G5"/>
    <mergeCell ref="F6:G6"/>
    <mergeCell ref="F8:G8"/>
    <mergeCell ref="F9:G9"/>
    <mergeCell ref="F10:G10"/>
    <mergeCell ref="F7:G7"/>
    <mergeCell ref="A32:A49"/>
    <mergeCell ref="B32:G32"/>
    <mergeCell ref="B33:G33"/>
    <mergeCell ref="B34:B36"/>
    <mergeCell ref="C35:C36"/>
    <mergeCell ref="F35:F36"/>
    <mergeCell ref="G35:G36"/>
    <mergeCell ref="B37:G37"/>
    <mergeCell ref="B38:B39"/>
    <mergeCell ref="B40:G40"/>
    <mergeCell ref="C41:E41"/>
    <mergeCell ref="C42:E42"/>
    <mergeCell ref="C43:E43"/>
    <mergeCell ref="C44:E44"/>
    <mergeCell ref="C45:E45"/>
    <mergeCell ref="B46:G46"/>
  </mergeCells>
  <phoneticPr fontId="1" type="noConversion"/>
  <dataValidations count="1">
    <dataValidation type="list" allowBlank="1" showInputMessage="1" showErrorMessage="1" sqref="C2:C11">
      <formula1>"流程图,状态机,等价类划分&amp;数据组合,直接分析"</formula1>
    </dataValidation>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G106"/>
  <sheetViews>
    <sheetView topLeftCell="A54" workbookViewId="0">
      <selection activeCell="D68" sqref="D68"/>
    </sheetView>
  </sheetViews>
  <sheetFormatPr defaultColWidth="9" defaultRowHeight="14" x14ac:dyDescent="0.25"/>
  <cols>
    <col min="1" max="1" width="15" style="46" customWidth="1"/>
    <col min="2" max="2" width="32.08984375" style="46" customWidth="1"/>
    <col min="3" max="3" width="23.453125" style="46" bestFit="1" customWidth="1"/>
    <col min="4" max="4" width="59.453125" style="46" customWidth="1"/>
    <col min="5" max="5" width="17.36328125" style="46" bestFit="1" customWidth="1"/>
    <col min="6" max="6" width="61.90625" style="46" customWidth="1"/>
    <col min="7" max="7" width="82.453125" style="46" customWidth="1"/>
    <col min="8" max="23" width="9" style="46" customWidth="1"/>
    <col min="24" max="16384" width="9" style="46"/>
  </cols>
  <sheetData>
    <row r="1" spans="1:7" x14ac:dyDescent="0.25">
      <c r="A1" s="162" t="s">
        <v>26</v>
      </c>
      <c r="B1" s="104" t="s">
        <v>15</v>
      </c>
      <c r="C1" s="104" t="s">
        <v>16</v>
      </c>
      <c r="D1" s="104" t="s">
        <v>17</v>
      </c>
      <c r="E1" s="104" t="s">
        <v>18</v>
      </c>
      <c r="F1" s="156" t="s">
        <v>19</v>
      </c>
      <c r="G1" s="160"/>
    </row>
    <row r="2" spans="1:7" ht="14.5" customHeight="1" x14ac:dyDescent="0.25">
      <c r="A2" s="160"/>
      <c r="B2" s="63" t="s">
        <v>285</v>
      </c>
      <c r="C2" s="63" t="s">
        <v>21</v>
      </c>
      <c r="D2" s="63"/>
      <c r="E2" s="105">
        <v>2</v>
      </c>
      <c r="F2" s="132" t="s">
        <v>237</v>
      </c>
      <c r="G2" s="132"/>
    </row>
    <row r="3" spans="1:7" ht="14.5" customHeight="1" x14ac:dyDescent="0.25">
      <c r="A3" s="160"/>
      <c r="B3" s="63" t="s">
        <v>286</v>
      </c>
      <c r="C3" s="63" t="s">
        <v>21</v>
      </c>
      <c r="D3" s="63"/>
      <c r="E3" s="105">
        <v>2</v>
      </c>
      <c r="F3" s="132" t="s">
        <v>237</v>
      </c>
      <c r="G3" s="132"/>
    </row>
    <row r="4" spans="1:7" ht="14.5" customHeight="1" x14ac:dyDescent="0.25">
      <c r="A4" s="160"/>
      <c r="B4" s="63" t="s">
        <v>287</v>
      </c>
      <c r="C4" s="63" t="s">
        <v>21</v>
      </c>
      <c r="D4" s="63"/>
      <c r="E4" s="105">
        <v>2</v>
      </c>
      <c r="F4" s="132" t="s">
        <v>237</v>
      </c>
      <c r="G4" s="132"/>
    </row>
    <row r="5" spans="1:7" ht="14.5" customHeight="1" x14ac:dyDescent="0.25">
      <c r="A5" s="160"/>
      <c r="B5" s="63" t="s">
        <v>288</v>
      </c>
      <c r="C5" s="63" t="s">
        <v>22</v>
      </c>
      <c r="D5" s="63"/>
      <c r="E5" s="105">
        <v>1</v>
      </c>
      <c r="F5" s="132" t="s">
        <v>237</v>
      </c>
      <c r="G5" s="132"/>
    </row>
    <row r="6" spans="1:7" ht="14.5" customHeight="1" x14ac:dyDescent="0.25">
      <c r="A6" s="160"/>
      <c r="B6" s="63" t="s">
        <v>288</v>
      </c>
      <c r="C6" s="63" t="s">
        <v>22</v>
      </c>
      <c r="D6" s="63"/>
      <c r="E6" s="105">
        <v>1</v>
      </c>
      <c r="F6" s="132" t="s">
        <v>237</v>
      </c>
      <c r="G6" s="132"/>
    </row>
    <row r="7" spans="1:7" x14ac:dyDescent="0.25">
      <c r="A7" s="141" t="s">
        <v>1471</v>
      </c>
      <c r="B7" s="145" t="s">
        <v>27</v>
      </c>
      <c r="C7" s="146"/>
      <c r="D7" s="146"/>
      <c r="E7" s="146"/>
      <c r="F7" s="146"/>
      <c r="G7" s="134"/>
    </row>
    <row r="8" spans="1:7" x14ac:dyDescent="0.25">
      <c r="A8" s="150"/>
      <c r="B8" s="147" t="s">
        <v>28</v>
      </c>
      <c r="C8" s="146"/>
      <c r="D8" s="146"/>
      <c r="E8" s="146"/>
      <c r="F8" s="146"/>
      <c r="G8" s="134"/>
    </row>
    <row r="9" spans="1:7" x14ac:dyDescent="0.25">
      <c r="A9" s="150"/>
      <c r="B9" s="157" t="s">
        <v>29</v>
      </c>
      <c r="C9" s="33" t="s">
        <v>19</v>
      </c>
      <c r="D9" s="73" t="s">
        <v>30</v>
      </c>
      <c r="E9" s="33" t="s">
        <v>31</v>
      </c>
      <c r="F9" s="34" t="s">
        <v>32</v>
      </c>
      <c r="G9" s="34" t="s">
        <v>33</v>
      </c>
    </row>
    <row r="10" spans="1:7" x14ac:dyDescent="0.25">
      <c r="A10" s="150"/>
      <c r="B10" s="159"/>
      <c r="C10" s="141" t="s">
        <v>1188</v>
      </c>
      <c r="D10" s="75" t="s">
        <v>1186</v>
      </c>
      <c r="E10" s="75"/>
      <c r="F10" s="152" t="s">
        <v>966</v>
      </c>
      <c r="G10" s="152" t="s">
        <v>1189</v>
      </c>
    </row>
    <row r="11" spans="1:7" x14ac:dyDescent="0.25">
      <c r="A11" s="150"/>
      <c r="B11" s="159"/>
      <c r="C11" s="150"/>
      <c r="D11" s="72" t="s">
        <v>1187</v>
      </c>
      <c r="E11" s="61"/>
      <c r="F11" s="150"/>
      <c r="G11" s="150"/>
    </row>
    <row r="12" spans="1:7" x14ac:dyDescent="0.25">
      <c r="A12" s="150"/>
      <c r="B12" s="147" t="s">
        <v>38</v>
      </c>
      <c r="C12" s="146"/>
      <c r="D12" s="146"/>
      <c r="E12" s="146"/>
      <c r="F12" s="146"/>
      <c r="G12" s="134"/>
    </row>
    <row r="13" spans="1:7" x14ac:dyDescent="0.25">
      <c r="A13" s="150"/>
      <c r="B13" s="157" t="s">
        <v>39</v>
      </c>
      <c r="C13" s="33" t="s">
        <v>19</v>
      </c>
      <c r="D13" s="73" t="s">
        <v>40</v>
      </c>
      <c r="E13" s="33" t="s">
        <v>74</v>
      </c>
      <c r="F13" s="33" t="s">
        <v>75</v>
      </c>
      <c r="G13" s="33" t="s">
        <v>43</v>
      </c>
    </row>
    <row r="14" spans="1:7" x14ac:dyDescent="0.25">
      <c r="A14" s="150"/>
      <c r="B14" s="150"/>
      <c r="C14" s="101" t="s">
        <v>44</v>
      </c>
      <c r="D14" s="61"/>
      <c r="E14" s="61"/>
      <c r="F14" s="61"/>
      <c r="G14" s="61"/>
    </row>
    <row r="15" spans="1:7" x14ac:dyDescent="0.25">
      <c r="A15" s="150"/>
      <c r="B15" s="147" t="s">
        <v>79</v>
      </c>
      <c r="C15" s="146"/>
      <c r="D15" s="146"/>
      <c r="E15" s="146"/>
      <c r="F15" s="146"/>
      <c r="G15" s="134"/>
    </row>
    <row r="16" spans="1:7" x14ac:dyDescent="0.25">
      <c r="A16" s="150"/>
      <c r="B16" s="102" t="s">
        <v>46</v>
      </c>
      <c r="C16" s="147" t="s">
        <v>47</v>
      </c>
      <c r="D16" s="146"/>
      <c r="E16" s="134"/>
      <c r="F16" s="34" t="s">
        <v>48</v>
      </c>
      <c r="G16" s="34" t="s">
        <v>49</v>
      </c>
    </row>
    <row r="17" spans="1:7" x14ac:dyDescent="0.25">
      <c r="A17" s="150"/>
      <c r="B17" s="103" t="s">
        <v>1500</v>
      </c>
      <c r="C17" s="158" t="s">
        <v>1472</v>
      </c>
      <c r="D17" s="160"/>
      <c r="E17" s="160"/>
      <c r="F17" s="43" t="s">
        <v>1192</v>
      </c>
      <c r="G17" s="61" t="s">
        <v>1190</v>
      </c>
    </row>
    <row r="18" spans="1:7" x14ac:dyDescent="0.25">
      <c r="A18" s="150"/>
      <c r="B18" s="103" t="s">
        <v>1501</v>
      </c>
      <c r="C18" s="158" t="s">
        <v>1473</v>
      </c>
      <c r="D18" s="160"/>
      <c r="E18" s="160"/>
      <c r="F18" s="43" t="s">
        <v>1192</v>
      </c>
      <c r="G18" s="61" t="s">
        <v>1190</v>
      </c>
    </row>
    <row r="19" spans="1:7" x14ac:dyDescent="0.25">
      <c r="A19" s="150"/>
      <c r="B19" s="103" t="s">
        <v>1502</v>
      </c>
      <c r="C19" s="158" t="s">
        <v>1472</v>
      </c>
      <c r="D19" s="160"/>
      <c r="E19" s="160"/>
      <c r="F19" s="43" t="s">
        <v>1192</v>
      </c>
      <c r="G19" s="61" t="s">
        <v>1191</v>
      </c>
    </row>
    <row r="20" spans="1:7" x14ac:dyDescent="0.25">
      <c r="A20" s="150"/>
      <c r="B20" s="103" t="s">
        <v>1503</v>
      </c>
      <c r="C20" s="158" t="s">
        <v>1473</v>
      </c>
      <c r="D20" s="160"/>
      <c r="E20" s="160"/>
      <c r="F20" s="43" t="s">
        <v>1192</v>
      </c>
      <c r="G20" s="61" t="s">
        <v>1191</v>
      </c>
    </row>
    <row r="21" spans="1:7" x14ac:dyDescent="0.25">
      <c r="A21" s="150"/>
      <c r="B21" s="148" t="s">
        <v>82</v>
      </c>
      <c r="C21" s="146"/>
      <c r="D21" s="146"/>
      <c r="E21" s="146"/>
      <c r="F21" s="146"/>
      <c r="G21" s="134"/>
    </row>
    <row r="22" spans="1:7" x14ac:dyDescent="0.25">
      <c r="A22" s="150"/>
      <c r="B22" s="33" t="s">
        <v>46</v>
      </c>
      <c r="C22" s="33" t="s">
        <v>51</v>
      </c>
      <c r="D22" s="73" t="s">
        <v>19</v>
      </c>
      <c r="E22" s="33" t="s">
        <v>52</v>
      </c>
      <c r="F22" s="33" t="s">
        <v>53</v>
      </c>
      <c r="G22" s="33" t="s">
        <v>54</v>
      </c>
    </row>
    <row r="23" spans="1:7" ht="84" x14ac:dyDescent="0.25">
      <c r="A23" s="150"/>
      <c r="B23" s="37" t="s">
        <v>2200</v>
      </c>
      <c r="C23" s="37" t="s">
        <v>1472</v>
      </c>
      <c r="D23" s="74" t="s">
        <v>1190</v>
      </c>
      <c r="E23" s="37" t="s">
        <v>1195</v>
      </c>
      <c r="F23" s="37" t="s">
        <v>1474</v>
      </c>
      <c r="G23" s="37" t="s">
        <v>1496</v>
      </c>
    </row>
    <row r="24" spans="1:7" ht="112" x14ac:dyDescent="0.25">
      <c r="A24" s="150"/>
      <c r="B24" s="37" t="s">
        <v>1501</v>
      </c>
      <c r="C24" s="37" t="s">
        <v>1473</v>
      </c>
      <c r="D24" s="74" t="s">
        <v>1190</v>
      </c>
      <c r="E24" s="37" t="s">
        <v>1194</v>
      </c>
      <c r="F24" s="37" t="s">
        <v>1475</v>
      </c>
      <c r="G24" s="37" t="s">
        <v>1497</v>
      </c>
    </row>
    <row r="25" spans="1:7" ht="112" x14ac:dyDescent="0.25">
      <c r="A25" s="150"/>
      <c r="B25" s="37" t="s">
        <v>1502</v>
      </c>
      <c r="C25" s="37" t="s">
        <v>1472</v>
      </c>
      <c r="D25" s="74" t="s">
        <v>1206</v>
      </c>
      <c r="E25" s="37" t="s">
        <v>1195</v>
      </c>
      <c r="F25" s="37" t="s">
        <v>1476</v>
      </c>
      <c r="G25" s="37" t="s">
        <v>1496</v>
      </c>
    </row>
    <row r="26" spans="1:7" ht="112" x14ac:dyDescent="0.25">
      <c r="A26" s="150"/>
      <c r="B26" s="37" t="s">
        <v>1503</v>
      </c>
      <c r="C26" s="37" t="s">
        <v>1473</v>
      </c>
      <c r="D26" s="74" t="s">
        <v>1191</v>
      </c>
      <c r="E26" s="37" t="s">
        <v>1194</v>
      </c>
      <c r="F26" s="37" t="s">
        <v>1477</v>
      </c>
      <c r="G26" s="37" t="s">
        <v>1496</v>
      </c>
    </row>
    <row r="27" spans="1:7" x14ac:dyDescent="0.25">
      <c r="A27" s="141" t="s">
        <v>2198</v>
      </c>
      <c r="B27" s="145" t="s">
        <v>27</v>
      </c>
      <c r="C27" s="146"/>
      <c r="D27" s="146"/>
      <c r="E27" s="146"/>
      <c r="F27" s="146"/>
      <c r="G27" s="134"/>
    </row>
    <row r="28" spans="1:7" x14ac:dyDescent="0.25">
      <c r="A28" s="150"/>
      <c r="B28" s="147" t="s">
        <v>28</v>
      </c>
      <c r="C28" s="146"/>
      <c r="D28" s="146"/>
      <c r="E28" s="146"/>
      <c r="F28" s="146"/>
      <c r="G28" s="134"/>
    </row>
    <row r="29" spans="1:7" x14ac:dyDescent="0.25">
      <c r="A29" s="150"/>
      <c r="B29" s="157" t="s">
        <v>29</v>
      </c>
      <c r="C29" s="33" t="s">
        <v>19</v>
      </c>
      <c r="D29" s="73" t="s">
        <v>30</v>
      </c>
      <c r="E29" s="33" t="s">
        <v>31</v>
      </c>
      <c r="F29" s="34" t="s">
        <v>32</v>
      </c>
      <c r="G29" s="34" t="s">
        <v>33</v>
      </c>
    </row>
    <row r="30" spans="1:7" x14ac:dyDescent="0.25">
      <c r="A30" s="150"/>
      <c r="B30" s="159"/>
      <c r="C30" s="141" t="s">
        <v>1188</v>
      </c>
      <c r="D30" s="75" t="s">
        <v>1186</v>
      </c>
      <c r="E30" s="75"/>
      <c r="F30" s="152" t="s">
        <v>966</v>
      </c>
      <c r="G30" s="152" t="s">
        <v>1189</v>
      </c>
    </row>
    <row r="31" spans="1:7" x14ac:dyDescent="0.25">
      <c r="A31" s="150"/>
      <c r="B31" s="159"/>
      <c r="C31" s="150"/>
      <c r="D31" s="72" t="s">
        <v>1187</v>
      </c>
      <c r="E31" s="61"/>
      <c r="F31" s="150"/>
      <c r="G31" s="150"/>
    </row>
    <row r="32" spans="1:7" x14ac:dyDescent="0.25">
      <c r="A32" s="150"/>
      <c r="B32" s="147" t="s">
        <v>38</v>
      </c>
      <c r="C32" s="146"/>
      <c r="D32" s="146"/>
      <c r="E32" s="146"/>
      <c r="F32" s="146"/>
      <c r="G32" s="134"/>
    </row>
    <row r="33" spans="1:7" x14ac:dyDescent="0.25">
      <c r="A33" s="150"/>
      <c r="B33" s="157" t="s">
        <v>39</v>
      </c>
      <c r="C33" s="33" t="s">
        <v>19</v>
      </c>
      <c r="D33" s="73" t="s">
        <v>40</v>
      </c>
      <c r="E33" s="33" t="s">
        <v>74</v>
      </c>
      <c r="F33" s="33" t="s">
        <v>75</v>
      </c>
      <c r="G33" s="33" t="s">
        <v>43</v>
      </c>
    </row>
    <row r="34" spans="1:7" x14ac:dyDescent="0.25">
      <c r="A34" s="150"/>
      <c r="B34" s="150"/>
      <c r="C34" s="101" t="s">
        <v>44</v>
      </c>
      <c r="D34" s="61"/>
      <c r="E34" s="61"/>
      <c r="F34" s="61"/>
      <c r="G34" s="61"/>
    </row>
    <row r="35" spans="1:7" x14ac:dyDescent="0.25">
      <c r="A35" s="150"/>
      <c r="B35" s="147" t="s">
        <v>79</v>
      </c>
      <c r="C35" s="146"/>
      <c r="D35" s="146"/>
      <c r="E35" s="146"/>
      <c r="F35" s="146"/>
      <c r="G35" s="134"/>
    </row>
    <row r="36" spans="1:7" x14ac:dyDescent="0.25">
      <c r="A36" s="150"/>
      <c r="B36" s="102" t="s">
        <v>46</v>
      </c>
      <c r="C36" s="147" t="s">
        <v>47</v>
      </c>
      <c r="D36" s="146"/>
      <c r="E36" s="134"/>
      <c r="F36" s="34" t="s">
        <v>48</v>
      </c>
      <c r="G36" s="34" t="s">
        <v>49</v>
      </c>
    </row>
    <row r="37" spans="1:7" x14ac:dyDescent="0.25">
      <c r="A37" s="150"/>
      <c r="B37" s="103" t="s">
        <v>2201</v>
      </c>
      <c r="C37" s="158" t="s">
        <v>2211</v>
      </c>
      <c r="D37" s="160"/>
      <c r="E37" s="160"/>
      <c r="F37" s="43" t="s">
        <v>1192</v>
      </c>
      <c r="G37" s="61" t="s">
        <v>1190</v>
      </c>
    </row>
    <row r="38" spans="1:7" x14ac:dyDescent="0.25">
      <c r="A38" s="150"/>
      <c r="B38" s="103" t="s">
        <v>2202</v>
      </c>
      <c r="C38" s="158" t="s">
        <v>2212</v>
      </c>
      <c r="D38" s="160"/>
      <c r="E38" s="160"/>
      <c r="F38" s="43" t="s">
        <v>1192</v>
      </c>
      <c r="G38" s="61" t="s">
        <v>1190</v>
      </c>
    </row>
    <row r="39" spans="1:7" x14ac:dyDescent="0.25">
      <c r="A39" s="150"/>
      <c r="B39" s="103" t="s">
        <v>2203</v>
      </c>
      <c r="C39" s="158" t="s">
        <v>2211</v>
      </c>
      <c r="D39" s="160"/>
      <c r="E39" s="160"/>
      <c r="F39" s="43" t="s">
        <v>1192</v>
      </c>
      <c r="G39" s="61" t="s">
        <v>1191</v>
      </c>
    </row>
    <row r="40" spans="1:7" x14ac:dyDescent="0.25">
      <c r="A40" s="150"/>
      <c r="B40" s="103" t="s">
        <v>2204</v>
      </c>
      <c r="C40" s="158" t="s">
        <v>2212</v>
      </c>
      <c r="D40" s="160"/>
      <c r="E40" s="160"/>
      <c r="F40" s="43" t="s">
        <v>1192</v>
      </c>
      <c r="G40" s="61" t="s">
        <v>1191</v>
      </c>
    </row>
    <row r="41" spans="1:7" x14ac:dyDescent="0.25">
      <c r="A41" s="150"/>
      <c r="B41" s="103" t="s">
        <v>2205</v>
      </c>
      <c r="C41" s="158" t="s">
        <v>2167</v>
      </c>
      <c r="D41" s="160"/>
      <c r="E41" s="160"/>
      <c r="F41" s="43" t="s">
        <v>1192</v>
      </c>
      <c r="G41" s="61" t="s">
        <v>1191</v>
      </c>
    </row>
    <row r="42" spans="1:7" x14ac:dyDescent="0.25">
      <c r="A42" s="150"/>
      <c r="B42" s="148" t="s">
        <v>82</v>
      </c>
      <c r="C42" s="146"/>
      <c r="D42" s="146"/>
      <c r="E42" s="146"/>
      <c r="F42" s="146"/>
      <c r="G42" s="134"/>
    </row>
    <row r="43" spans="1:7" x14ac:dyDescent="0.25">
      <c r="A43" s="150"/>
      <c r="B43" s="33" t="s">
        <v>46</v>
      </c>
      <c r="C43" s="33" t="s">
        <v>51</v>
      </c>
      <c r="D43" s="73" t="s">
        <v>19</v>
      </c>
      <c r="E43" s="33" t="s">
        <v>52</v>
      </c>
      <c r="F43" s="33" t="s">
        <v>53</v>
      </c>
      <c r="G43" s="33" t="s">
        <v>54</v>
      </c>
    </row>
    <row r="44" spans="1:7" ht="84" x14ac:dyDescent="0.25">
      <c r="A44" s="150"/>
      <c r="B44" s="37" t="s">
        <v>2201</v>
      </c>
      <c r="C44" s="37" t="s">
        <v>2211</v>
      </c>
      <c r="D44" s="74" t="s">
        <v>1190</v>
      </c>
      <c r="E44" s="37" t="s">
        <v>1195</v>
      </c>
      <c r="F44" s="37" t="s">
        <v>1478</v>
      </c>
      <c r="G44" s="37" t="s">
        <v>1498</v>
      </c>
    </row>
    <row r="45" spans="1:7" ht="112" x14ac:dyDescent="0.25">
      <c r="A45" s="150"/>
      <c r="B45" s="37" t="s">
        <v>2202</v>
      </c>
      <c r="C45" s="37" t="s">
        <v>2212</v>
      </c>
      <c r="D45" s="74" t="s">
        <v>1190</v>
      </c>
      <c r="E45" s="37" t="s">
        <v>1194</v>
      </c>
      <c r="F45" s="37" t="s">
        <v>1479</v>
      </c>
      <c r="G45" s="37" t="s">
        <v>1499</v>
      </c>
    </row>
    <row r="46" spans="1:7" ht="126" x14ac:dyDescent="0.25">
      <c r="A46" s="150"/>
      <c r="B46" s="37" t="s">
        <v>2203</v>
      </c>
      <c r="C46" s="37" t="s">
        <v>2211</v>
      </c>
      <c r="D46" s="74" t="s">
        <v>1206</v>
      </c>
      <c r="E46" s="37" t="s">
        <v>1195</v>
      </c>
      <c r="F46" s="37" t="s">
        <v>1480</v>
      </c>
      <c r="G46" s="37" t="s">
        <v>1496</v>
      </c>
    </row>
    <row r="47" spans="1:7" ht="112" x14ac:dyDescent="0.25">
      <c r="A47" s="150"/>
      <c r="B47" s="37" t="s">
        <v>2204</v>
      </c>
      <c r="C47" s="37" t="s">
        <v>2212</v>
      </c>
      <c r="D47" s="74" t="s">
        <v>1191</v>
      </c>
      <c r="E47" s="37" t="s">
        <v>1194</v>
      </c>
      <c r="F47" s="37" t="s">
        <v>1481</v>
      </c>
      <c r="G47" s="37" t="s">
        <v>1496</v>
      </c>
    </row>
    <row r="48" spans="1:7" ht="126" x14ac:dyDescent="0.25">
      <c r="A48" s="150"/>
      <c r="B48" s="37" t="s">
        <v>2205</v>
      </c>
      <c r="C48" s="37" t="s">
        <v>2168</v>
      </c>
      <c r="D48" s="74" t="s">
        <v>1221</v>
      </c>
      <c r="E48" s="37" t="s">
        <v>1222</v>
      </c>
      <c r="F48" s="37" t="s">
        <v>1482</v>
      </c>
      <c r="G48" s="37" t="s">
        <v>1483</v>
      </c>
    </row>
    <row r="49" spans="1:7" x14ac:dyDescent="0.25">
      <c r="A49" s="141" t="s">
        <v>2199</v>
      </c>
      <c r="B49" s="145" t="s">
        <v>27</v>
      </c>
      <c r="C49" s="146"/>
      <c r="D49" s="146"/>
      <c r="E49" s="146"/>
      <c r="F49" s="146"/>
      <c r="G49" s="134"/>
    </row>
    <row r="50" spans="1:7" x14ac:dyDescent="0.25">
      <c r="A50" s="150"/>
      <c r="B50" s="147" t="s">
        <v>28</v>
      </c>
      <c r="C50" s="146"/>
      <c r="D50" s="146"/>
      <c r="E50" s="146"/>
      <c r="F50" s="146"/>
      <c r="G50" s="134"/>
    </row>
    <row r="51" spans="1:7" x14ac:dyDescent="0.25">
      <c r="A51" s="150"/>
      <c r="B51" s="157" t="s">
        <v>29</v>
      </c>
      <c r="C51" s="33" t="s">
        <v>19</v>
      </c>
      <c r="D51" s="73" t="s">
        <v>30</v>
      </c>
      <c r="E51" s="33" t="s">
        <v>31</v>
      </c>
      <c r="F51" s="34" t="s">
        <v>32</v>
      </c>
      <c r="G51" s="34" t="s">
        <v>33</v>
      </c>
    </row>
    <row r="52" spans="1:7" x14ac:dyDescent="0.25">
      <c r="A52" s="150"/>
      <c r="B52" s="159"/>
      <c r="C52" s="141" t="s">
        <v>1188</v>
      </c>
      <c r="D52" s="75" t="s">
        <v>1186</v>
      </c>
      <c r="E52" s="75"/>
      <c r="F52" s="152" t="s">
        <v>966</v>
      </c>
      <c r="G52" s="152" t="s">
        <v>1189</v>
      </c>
    </row>
    <row r="53" spans="1:7" x14ac:dyDescent="0.25">
      <c r="A53" s="150"/>
      <c r="B53" s="159"/>
      <c r="C53" s="150"/>
      <c r="D53" s="72" t="s">
        <v>1187</v>
      </c>
      <c r="E53" s="61"/>
      <c r="F53" s="150"/>
      <c r="G53" s="150"/>
    </row>
    <row r="54" spans="1:7" x14ac:dyDescent="0.25">
      <c r="A54" s="150"/>
      <c r="B54" s="147" t="s">
        <v>38</v>
      </c>
      <c r="C54" s="146"/>
      <c r="D54" s="146"/>
      <c r="E54" s="146"/>
      <c r="F54" s="146"/>
      <c r="G54" s="134"/>
    </row>
    <row r="55" spans="1:7" x14ac:dyDescent="0.25">
      <c r="A55" s="150"/>
      <c r="B55" s="157" t="s">
        <v>39</v>
      </c>
      <c r="C55" s="33" t="s">
        <v>19</v>
      </c>
      <c r="D55" s="73" t="s">
        <v>40</v>
      </c>
      <c r="E55" s="33" t="s">
        <v>74</v>
      </c>
      <c r="F55" s="33" t="s">
        <v>75</v>
      </c>
      <c r="G55" s="33" t="s">
        <v>43</v>
      </c>
    </row>
    <row r="56" spans="1:7" x14ac:dyDescent="0.25">
      <c r="A56" s="150"/>
      <c r="B56" s="150"/>
      <c r="C56" s="106" t="s">
        <v>44</v>
      </c>
      <c r="D56" s="61"/>
      <c r="E56" s="61"/>
      <c r="F56" s="61"/>
      <c r="G56" s="61"/>
    </row>
    <row r="57" spans="1:7" x14ac:dyDescent="0.25">
      <c r="A57" s="150"/>
      <c r="B57" s="147" t="s">
        <v>79</v>
      </c>
      <c r="C57" s="146"/>
      <c r="D57" s="146"/>
      <c r="E57" s="146"/>
      <c r="F57" s="146"/>
      <c r="G57" s="134"/>
    </row>
    <row r="58" spans="1:7" x14ac:dyDescent="0.25">
      <c r="A58" s="150"/>
      <c r="B58" s="107" t="s">
        <v>46</v>
      </c>
      <c r="C58" s="147" t="s">
        <v>47</v>
      </c>
      <c r="D58" s="146"/>
      <c r="E58" s="134"/>
      <c r="F58" s="34" t="s">
        <v>48</v>
      </c>
      <c r="G58" s="34" t="s">
        <v>49</v>
      </c>
    </row>
    <row r="59" spans="1:7" x14ac:dyDescent="0.25">
      <c r="A59" s="150"/>
      <c r="B59" s="108" t="s">
        <v>2206</v>
      </c>
      <c r="C59" s="158" t="s">
        <v>2213</v>
      </c>
      <c r="D59" s="160"/>
      <c r="E59" s="160"/>
      <c r="F59" s="43" t="s">
        <v>1188</v>
      </c>
      <c r="G59" s="61" t="s">
        <v>1190</v>
      </c>
    </row>
    <row r="60" spans="1:7" x14ac:dyDescent="0.25">
      <c r="A60" s="150"/>
      <c r="B60" s="108" t="s">
        <v>2207</v>
      </c>
      <c r="C60" s="158" t="s">
        <v>2214</v>
      </c>
      <c r="D60" s="160"/>
      <c r="E60" s="160"/>
      <c r="F60" s="43" t="s">
        <v>1188</v>
      </c>
      <c r="G60" s="61" t="s">
        <v>1190</v>
      </c>
    </row>
    <row r="61" spans="1:7" x14ac:dyDescent="0.25">
      <c r="A61" s="150"/>
      <c r="B61" s="108" t="s">
        <v>2208</v>
      </c>
      <c r="C61" s="158" t="s">
        <v>2213</v>
      </c>
      <c r="D61" s="160"/>
      <c r="E61" s="160"/>
      <c r="F61" s="43" t="s">
        <v>1188</v>
      </c>
      <c r="G61" s="61" t="s">
        <v>1191</v>
      </c>
    </row>
    <row r="62" spans="1:7" x14ac:dyDescent="0.25">
      <c r="A62" s="150"/>
      <c r="B62" s="108" t="s">
        <v>2209</v>
      </c>
      <c r="C62" s="158" t="s">
        <v>2214</v>
      </c>
      <c r="D62" s="160"/>
      <c r="E62" s="160"/>
      <c r="F62" s="43" t="s">
        <v>1188</v>
      </c>
      <c r="G62" s="61" t="s">
        <v>1191</v>
      </c>
    </row>
    <row r="63" spans="1:7" x14ac:dyDescent="0.25">
      <c r="A63" s="150"/>
      <c r="B63" s="108" t="s">
        <v>2210</v>
      </c>
      <c r="C63" s="158" t="s">
        <v>2171</v>
      </c>
      <c r="D63" s="160"/>
      <c r="E63" s="160"/>
      <c r="F63" s="43" t="s">
        <v>1188</v>
      </c>
      <c r="G63" s="61" t="s">
        <v>1191</v>
      </c>
    </row>
    <row r="64" spans="1:7" x14ac:dyDescent="0.25">
      <c r="A64" s="150"/>
      <c r="B64" s="148" t="s">
        <v>82</v>
      </c>
      <c r="C64" s="146"/>
      <c r="D64" s="146"/>
      <c r="E64" s="146"/>
      <c r="F64" s="146"/>
      <c r="G64" s="134"/>
    </row>
    <row r="65" spans="1:7" x14ac:dyDescent="0.25">
      <c r="A65" s="150"/>
      <c r="B65" s="33" t="s">
        <v>46</v>
      </c>
      <c r="C65" s="33" t="s">
        <v>51</v>
      </c>
      <c r="D65" s="73" t="s">
        <v>19</v>
      </c>
      <c r="E65" s="33" t="s">
        <v>52</v>
      </c>
      <c r="F65" s="33" t="s">
        <v>53</v>
      </c>
      <c r="G65" s="33" t="s">
        <v>54</v>
      </c>
    </row>
    <row r="66" spans="1:7" ht="84" x14ac:dyDescent="0.25">
      <c r="A66" s="150"/>
      <c r="B66" s="37" t="s">
        <v>2206</v>
      </c>
      <c r="C66" s="37" t="s">
        <v>2213</v>
      </c>
      <c r="D66" s="74" t="s">
        <v>1190</v>
      </c>
      <c r="E66" s="37" t="s">
        <v>1195</v>
      </c>
      <c r="F66" s="37" t="s">
        <v>1478</v>
      </c>
      <c r="G66" s="37" t="s">
        <v>1498</v>
      </c>
    </row>
    <row r="67" spans="1:7" ht="126" x14ac:dyDescent="0.25">
      <c r="A67" s="150"/>
      <c r="B67" s="37" t="s">
        <v>2208</v>
      </c>
      <c r="C67" s="37" t="s">
        <v>2213</v>
      </c>
      <c r="D67" s="74" t="s">
        <v>1191</v>
      </c>
      <c r="E67" s="37" t="s">
        <v>1195</v>
      </c>
      <c r="F67" s="37" t="s">
        <v>1480</v>
      </c>
      <c r="G67" s="37" t="s">
        <v>1496</v>
      </c>
    </row>
    <row r="68" spans="1:7" ht="126" x14ac:dyDescent="0.25">
      <c r="A68" s="150"/>
      <c r="B68" s="37" t="s">
        <v>2210</v>
      </c>
      <c r="C68" s="37" t="s">
        <v>2172</v>
      </c>
      <c r="D68" s="74" t="s">
        <v>1221</v>
      </c>
      <c r="E68" s="37" t="s">
        <v>1222</v>
      </c>
      <c r="F68" s="37" t="s">
        <v>1482</v>
      </c>
      <c r="G68" s="37" t="s">
        <v>1483</v>
      </c>
    </row>
    <row r="69" spans="1:7" x14ac:dyDescent="0.25">
      <c r="A69" s="141" t="s">
        <v>1484</v>
      </c>
      <c r="B69" s="145" t="s">
        <v>27</v>
      </c>
      <c r="C69" s="146"/>
      <c r="D69" s="146"/>
      <c r="E69" s="146"/>
      <c r="F69" s="146"/>
      <c r="G69" s="134"/>
    </row>
    <row r="70" spans="1:7" x14ac:dyDescent="0.25">
      <c r="A70" s="150"/>
      <c r="B70" s="147" t="s">
        <v>28</v>
      </c>
      <c r="C70" s="146"/>
      <c r="D70" s="146"/>
      <c r="E70" s="146"/>
      <c r="F70" s="146"/>
      <c r="G70" s="134"/>
    </row>
    <row r="71" spans="1:7" x14ac:dyDescent="0.25">
      <c r="A71" s="150"/>
      <c r="B71" s="157" t="s">
        <v>29</v>
      </c>
      <c r="C71" s="33" t="s">
        <v>19</v>
      </c>
      <c r="D71" s="73" t="s">
        <v>30</v>
      </c>
      <c r="E71" s="33" t="s">
        <v>31</v>
      </c>
      <c r="F71" s="34" t="s">
        <v>32</v>
      </c>
      <c r="G71" s="34" t="s">
        <v>33</v>
      </c>
    </row>
    <row r="72" spans="1:7" x14ac:dyDescent="0.25">
      <c r="A72" s="150"/>
      <c r="B72" s="159"/>
      <c r="C72" s="141" t="s">
        <v>1188</v>
      </c>
      <c r="D72" s="75" t="s">
        <v>1186</v>
      </c>
      <c r="E72" s="75"/>
      <c r="F72" s="152" t="s">
        <v>966</v>
      </c>
      <c r="G72" s="152" t="s">
        <v>1189</v>
      </c>
    </row>
    <row r="73" spans="1:7" x14ac:dyDescent="0.25">
      <c r="A73" s="150"/>
      <c r="B73" s="159"/>
      <c r="C73" s="150"/>
      <c r="D73" s="72" t="s">
        <v>1187</v>
      </c>
      <c r="E73" s="61"/>
      <c r="F73" s="150"/>
      <c r="G73" s="150"/>
    </row>
    <row r="74" spans="1:7" x14ac:dyDescent="0.25">
      <c r="A74" s="150"/>
      <c r="B74" s="147" t="s">
        <v>38</v>
      </c>
      <c r="C74" s="146"/>
      <c r="D74" s="146"/>
      <c r="E74" s="146"/>
      <c r="F74" s="146"/>
      <c r="G74" s="134"/>
    </row>
    <row r="75" spans="1:7" x14ac:dyDescent="0.25">
      <c r="A75" s="150"/>
      <c r="B75" s="157" t="s">
        <v>39</v>
      </c>
      <c r="C75" s="33" t="s">
        <v>19</v>
      </c>
      <c r="D75" s="73" t="s">
        <v>40</v>
      </c>
      <c r="E75" s="33" t="s">
        <v>74</v>
      </c>
      <c r="F75" s="33" t="s">
        <v>75</v>
      </c>
      <c r="G75" s="33" t="s">
        <v>43</v>
      </c>
    </row>
    <row r="76" spans="1:7" x14ac:dyDescent="0.25">
      <c r="A76" s="150"/>
      <c r="B76" s="150"/>
      <c r="C76" s="101" t="s">
        <v>44</v>
      </c>
      <c r="D76" s="61"/>
      <c r="E76" s="61"/>
      <c r="F76" s="61"/>
      <c r="G76" s="61"/>
    </row>
    <row r="77" spans="1:7" x14ac:dyDescent="0.25">
      <c r="A77" s="150"/>
      <c r="B77" s="147" t="s">
        <v>79</v>
      </c>
      <c r="C77" s="146"/>
      <c r="D77" s="146"/>
      <c r="E77" s="146"/>
      <c r="F77" s="146"/>
      <c r="G77" s="134"/>
    </row>
    <row r="78" spans="1:7" x14ac:dyDescent="0.25">
      <c r="A78" s="150"/>
      <c r="B78" s="102" t="s">
        <v>46</v>
      </c>
      <c r="C78" s="147" t="s">
        <v>47</v>
      </c>
      <c r="D78" s="146"/>
      <c r="E78" s="134"/>
      <c r="F78" s="34" t="s">
        <v>48</v>
      </c>
      <c r="G78" s="34" t="s">
        <v>49</v>
      </c>
    </row>
    <row r="79" spans="1:7" x14ac:dyDescent="0.25">
      <c r="A79" s="150"/>
      <c r="B79" s="103" t="s">
        <v>1504</v>
      </c>
      <c r="C79" s="158" t="s">
        <v>1485</v>
      </c>
      <c r="D79" s="160"/>
      <c r="E79" s="160"/>
      <c r="F79" s="43" t="s">
        <v>1192</v>
      </c>
      <c r="G79" s="61" t="s">
        <v>1236</v>
      </c>
    </row>
    <row r="80" spans="1:7" x14ac:dyDescent="0.25">
      <c r="A80" s="150"/>
      <c r="B80" s="103" t="s">
        <v>1505</v>
      </c>
      <c r="C80" s="158" t="s">
        <v>1486</v>
      </c>
      <c r="D80" s="160"/>
      <c r="E80" s="160"/>
      <c r="F80" s="43" t="s">
        <v>1192</v>
      </c>
      <c r="G80" s="61" t="s">
        <v>1237</v>
      </c>
    </row>
    <row r="81" spans="1:7" x14ac:dyDescent="0.25">
      <c r="A81" s="150"/>
      <c r="B81" s="148" t="s">
        <v>82</v>
      </c>
      <c r="C81" s="146"/>
      <c r="D81" s="146"/>
      <c r="E81" s="146"/>
      <c r="F81" s="146"/>
      <c r="G81" s="134"/>
    </row>
    <row r="82" spans="1:7" x14ac:dyDescent="0.25">
      <c r="A82" s="150"/>
      <c r="B82" s="33" t="s">
        <v>46</v>
      </c>
      <c r="C82" s="33" t="s">
        <v>51</v>
      </c>
      <c r="D82" s="73" t="s">
        <v>19</v>
      </c>
      <c r="E82" s="33" t="s">
        <v>52</v>
      </c>
      <c r="F82" s="33" t="s">
        <v>53</v>
      </c>
      <c r="G82" s="33" t="s">
        <v>54</v>
      </c>
    </row>
    <row r="83" spans="1:7" ht="168" x14ac:dyDescent="0.25">
      <c r="A83" s="150"/>
      <c r="B83" s="37" t="s">
        <v>1504</v>
      </c>
      <c r="C83" s="37" t="s">
        <v>1485</v>
      </c>
      <c r="D83" s="74" t="s">
        <v>1236</v>
      </c>
      <c r="E83" s="37" t="s">
        <v>1230</v>
      </c>
      <c r="F83" s="37" t="s">
        <v>1487</v>
      </c>
      <c r="G83" s="37" t="s">
        <v>1388</v>
      </c>
    </row>
    <row r="84" spans="1:7" ht="140" x14ac:dyDescent="0.25">
      <c r="A84" s="150"/>
      <c r="B84" s="37" t="s">
        <v>1505</v>
      </c>
      <c r="C84" s="37" t="s">
        <v>1486</v>
      </c>
      <c r="D84" s="74" t="s">
        <v>1237</v>
      </c>
      <c r="E84" s="37" t="s">
        <v>1194</v>
      </c>
      <c r="F84" s="37" t="s">
        <v>1488</v>
      </c>
      <c r="G84" s="37" t="s">
        <v>1388</v>
      </c>
    </row>
    <row r="85" spans="1:7" x14ac:dyDescent="0.25">
      <c r="A85" s="141" t="s">
        <v>1489</v>
      </c>
      <c r="B85" s="145" t="s">
        <v>57</v>
      </c>
      <c r="C85" s="160"/>
      <c r="D85" s="160"/>
      <c r="E85" s="160"/>
      <c r="F85" s="160"/>
      <c r="G85" s="160"/>
    </row>
    <row r="86" spans="1:7" x14ac:dyDescent="0.25">
      <c r="A86" s="160"/>
      <c r="B86" s="147" t="s">
        <v>58</v>
      </c>
      <c r="C86" s="160"/>
      <c r="D86" s="160"/>
      <c r="E86" s="160"/>
      <c r="F86" s="160"/>
      <c r="G86" s="160"/>
    </row>
    <row r="87" spans="1:7" x14ac:dyDescent="0.25">
      <c r="A87" s="160"/>
      <c r="B87" s="102" t="s">
        <v>46</v>
      </c>
      <c r="C87" s="147" t="s">
        <v>47</v>
      </c>
      <c r="D87" s="160"/>
      <c r="E87" s="160"/>
      <c r="F87" s="34" t="s">
        <v>48</v>
      </c>
      <c r="G87" s="34" t="s">
        <v>49</v>
      </c>
    </row>
    <row r="88" spans="1:7" x14ac:dyDescent="0.25">
      <c r="A88" s="160"/>
      <c r="B88" s="35" t="s">
        <v>1506</v>
      </c>
      <c r="C88" s="158" t="s">
        <v>1490</v>
      </c>
      <c r="D88" s="160"/>
      <c r="E88" s="160"/>
      <c r="F88" s="43" t="s">
        <v>1247</v>
      </c>
      <c r="G88" s="36" t="s">
        <v>1247</v>
      </c>
    </row>
    <row r="89" spans="1:7" x14ac:dyDescent="0.25">
      <c r="A89" s="160"/>
      <c r="B89" s="148" t="s">
        <v>60</v>
      </c>
      <c r="C89" s="160"/>
      <c r="D89" s="160"/>
      <c r="E89" s="160"/>
      <c r="F89" s="160"/>
      <c r="G89" s="160"/>
    </row>
    <row r="90" spans="1:7" x14ac:dyDescent="0.25">
      <c r="A90" s="160"/>
      <c r="B90" s="33" t="s">
        <v>46</v>
      </c>
      <c r="C90" s="33" t="s">
        <v>51</v>
      </c>
      <c r="D90" s="33" t="s">
        <v>19</v>
      </c>
      <c r="E90" s="33" t="s">
        <v>52</v>
      </c>
      <c r="F90" s="33" t="s">
        <v>53</v>
      </c>
      <c r="G90" s="33" t="s">
        <v>54</v>
      </c>
    </row>
    <row r="91" spans="1:7" ht="70" x14ac:dyDescent="0.25">
      <c r="A91" s="160"/>
      <c r="B91" s="37" t="s">
        <v>1506</v>
      </c>
      <c r="C91" s="37" t="s">
        <v>1490</v>
      </c>
      <c r="D91" s="37" t="s">
        <v>1247</v>
      </c>
      <c r="E91" s="37" t="s">
        <v>360</v>
      </c>
      <c r="F91" s="37" t="s">
        <v>1491</v>
      </c>
      <c r="G91" s="37" t="s">
        <v>1389</v>
      </c>
    </row>
    <row r="92" spans="1:7" x14ac:dyDescent="0.25">
      <c r="A92" s="141" t="s">
        <v>1492</v>
      </c>
      <c r="B92" s="145" t="s">
        <v>57</v>
      </c>
      <c r="C92" s="160"/>
      <c r="D92" s="160"/>
      <c r="E92" s="160"/>
      <c r="F92" s="160"/>
      <c r="G92" s="160"/>
    </row>
    <row r="93" spans="1:7" x14ac:dyDescent="0.25">
      <c r="A93" s="160"/>
      <c r="B93" s="147" t="s">
        <v>58</v>
      </c>
      <c r="C93" s="160"/>
      <c r="D93" s="160"/>
      <c r="E93" s="160"/>
      <c r="F93" s="160"/>
      <c r="G93" s="160"/>
    </row>
    <row r="94" spans="1:7" x14ac:dyDescent="0.25">
      <c r="A94" s="160"/>
      <c r="B94" s="102" t="s">
        <v>46</v>
      </c>
      <c r="C94" s="147" t="s">
        <v>47</v>
      </c>
      <c r="D94" s="160"/>
      <c r="E94" s="160"/>
      <c r="F94" s="34" t="s">
        <v>48</v>
      </c>
      <c r="G94" s="34" t="s">
        <v>49</v>
      </c>
    </row>
    <row r="95" spans="1:7" x14ac:dyDescent="0.25">
      <c r="A95" s="160"/>
      <c r="B95" s="35" t="s">
        <v>1506</v>
      </c>
      <c r="C95" s="158" t="s">
        <v>1259</v>
      </c>
      <c r="D95" s="160"/>
      <c r="E95" s="160"/>
      <c r="F95" s="43" t="s">
        <v>1188</v>
      </c>
      <c r="G95" s="36" t="s">
        <v>1189</v>
      </c>
    </row>
    <row r="96" spans="1:7" x14ac:dyDescent="0.25">
      <c r="A96" s="160"/>
      <c r="B96" s="148" t="s">
        <v>60</v>
      </c>
      <c r="C96" s="160"/>
      <c r="D96" s="160"/>
      <c r="E96" s="160"/>
      <c r="F96" s="160"/>
      <c r="G96" s="160"/>
    </row>
    <row r="97" spans="1:7" x14ac:dyDescent="0.25">
      <c r="A97" s="160"/>
      <c r="B97" s="33" t="s">
        <v>46</v>
      </c>
      <c r="C97" s="33" t="s">
        <v>51</v>
      </c>
      <c r="D97" s="33" t="s">
        <v>19</v>
      </c>
      <c r="E97" s="33" t="s">
        <v>52</v>
      </c>
      <c r="F97" s="33" t="s">
        <v>53</v>
      </c>
      <c r="G97" s="33" t="s">
        <v>54</v>
      </c>
    </row>
    <row r="98" spans="1:7" ht="224" x14ac:dyDescent="0.25">
      <c r="A98" s="160"/>
      <c r="B98" s="37" t="s">
        <v>1507</v>
      </c>
      <c r="C98" s="37" t="s">
        <v>1263</v>
      </c>
      <c r="D98" s="37" t="s">
        <v>1190</v>
      </c>
      <c r="E98" s="37" t="s">
        <v>1258</v>
      </c>
      <c r="F98" s="37" t="s">
        <v>1493</v>
      </c>
      <c r="G98" s="37" t="s">
        <v>1494</v>
      </c>
    </row>
    <row r="99" spans="1:7" ht="224" x14ac:dyDescent="0.25">
      <c r="A99" s="160"/>
      <c r="B99" s="37" t="s">
        <v>1508</v>
      </c>
      <c r="C99" s="37" t="s">
        <v>1263</v>
      </c>
      <c r="D99" s="37" t="s">
        <v>1191</v>
      </c>
      <c r="E99" s="37" t="s">
        <v>1258</v>
      </c>
      <c r="F99" s="37" t="s">
        <v>1495</v>
      </c>
      <c r="G99" s="37" t="s">
        <v>1494</v>
      </c>
    </row>
    <row r="100" spans="1:7" x14ac:dyDescent="0.25">
      <c r="A100" s="141" t="s">
        <v>1530</v>
      </c>
      <c r="B100" s="145" t="s">
        <v>57</v>
      </c>
      <c r="C100" s="160"/>
      <c r="D100" s="160"/>
      <c r="E100" s="160"/>
      <c r="F100" s="160"/>
      <c r="G100" s="160"/>
    </row>
    <row r="101" spans="1:7" x14ac:dyDescent="0.25">
      <c r="A101" s="160"/>
      <c r="B101" s="147" t="s">
        <v>58</v>
      </c>
      <c r="C101" s="160"/>
      <c r="D101" s="160"/>
      <c r="E101" s="160"/>
      <c r="F101" s="160"/>
      <c r="G101" s="160"/>
    </row>
    <row r="102" spans="1:7" x14ac:dyDescent="0.25">
      <c r="A102" s="160"/>
      <c r="B102" s="102" t="s">
        <v>46</v>
      </c>
      <c r="C102" s="147" t="s">
        <v>47</v>
      </c>
      <c r="D102" s="160"/>
      <c r="E102" s="160"/>
      <c r="F102" s="34" t="s">
        <v>48</v>
      </c>
      <c r="G102" s="34" t="s">
        <v>49</v>
      </c>
    </row>
    <row r="103" spans="1:7" x14ac:dyDescent="0.25">
      <c r="A103" s="160"/>
      <c r="B103" s="35" t="s">
        <v>1521</v>
      </c>
      <c r="C103" s="158" t="s">
        <v>1531</v>
      </c>
      <c r="D103" s="160"/>
      <c r="E103" s="160"/>
      <c r="F103" s="43" t="s">
        <v>1523</v>
      </c>
      <c r="G103" s="36" t="s">
        <v>1524</v>
      </c>
    </row>
    <row r="104" spans="1:7" x14ac:dyDescent="0.25">
      <c r="A104" s="160"/>
      <c r="B104" s="148" t="s">
        <v>60</v>
      </c>
      <c r="C104" s="160"/>
      <c r="D104" s="160"/>
      <c r="E104" s="160"/>
      <c r="F104" s="160"/>
      <c r="G104" s="160"/>
    </row>
    <row r="105" spans="1:7" x14ac:dyDescent="0.25">
      <c r="A105" s="160"/>
      <c r="B105" s="33" t="s">
        <v>46</v>
      </c>
      <c r="C105" s="33" t="s">
        <v>51</v>
      </c>
      <c r="D105" s="33" t="s">
        <v>19</v>
      </c>
      <c r="E105" s="33" t="s">
        <v>52</v>
      </c>
      <c r="F105" s="33" t="s">
        <v>53</v>
      </c>
      <c r="G105" s="33" t="s">
        <v>54</v>
      </c>
    </row>
    <row r="106" spans="1:7" ht="112" x14ac:dyDescent="0.25">
      <c r="A106" s="160"/>
      <c r="B106" s="37" t="s">
        <v>1532</v>
      </c>
      <c r="C106" s="37" t="s">
        <v>1533</v>
      </c>
      <c r="D106" s="37" t="s">
        <v>1525</v>
      </c>
      <c r="E106" s="37" t="s">
        <v>360</v>
      </c>
      <c r="F106" s="37" t="s">
        <v>1534</v>
      </c>
      <c r="G106" s="37" t="s">
        <v>1535</v>
      </c>
    </row>
  </sheetData>
  <mergeCells count="89">
    <mergeCell ref="A100:A106"/>
    <mergeCell ref="B100:G100"/>
    <mergeCell ref="B101:G101"/>
    <mergeCell ref="C102:E102"/>
    <mergeCell ref="C103:E103"/>
    <mergeCell ref="B104:G104"/>
    <mergeCell ref="A92:A99"/>
    <mergeCell ref="B92:G92"/>
    <mergeCell ref="B93:G93"/>
    <mergeCell ref="C94:E94"/>
    <mergeCell ref="C95:E95"/>
    <mergeCell ref="B96:G96"/>
    <mergeCell ref="A27:A48"/>
    <mergeCell ref="A85:A91"/>
    <mergeCell ref="B85:G85"/>
    <mergeCell ref="B86:G86"/>
    <mergeCell ref="C87:E87"/>
    <mergeCell ref="C88:E88"/>
    <mergeCell ref="B89:G89"/>
    <mergeCell ref="A69:A84"/>
    <mergeCell ref="B69:G69"/>
    <mergeCell ref="B70:G70"/>
    <mergeCell ref="B71:B73"/>
    <mergeCell ref="C72:C73"/>
    <mergeCell ref="F72:F73"/>
    <mergeCell ref="G72:G73"/>
    <mergeCell ref="B74:G74"/>
    <mergeCell ref="B75:B76"/>
    <mergeCell ref="B77:G77"/>
    <mergeCell ref="C78:E78"/>
    <mergeCell ref="C79:E79"/>
    <mergeCell ref="C80:E80"/>
    <mergeCell ref="B81:G81"/>
    <mergeCell ref="B29:B31"/>
    <mergeCell ref="C30:C31"/>
    <mergeCell ref="F30:F31"/>
    <mergeCell ref="G30:G31"/>
    <mergeCell ref="B42:G42"/>
    <mergeCell ref="A7:A26"/>
    <mergeCell ref="B7:G7"/>
    <mergeCell ref="B8:G8"/>
    <mergeCell ref="B9:B11"/>
    <mergeCell ref="C10:C11"/>
    <mergeCell ref="F10:F11"/>
    <mergeCell ref="G10:G11"/>
    <mergeCell ref="B12:G12"/>
    <mergeCell ref="B13:B14"/>
    <mergeCell ref="B15:G15"/>
    <mergeCell ref="C16:E16"/>
    <mergeCell ref="C17:E17"/>
    <mergeCell ref="A1:A6"/>
    <mergeCell ref="F1:G1"/>
    <mergeCell ref="F2:G2"/>
    <mergeCell ref="F3:G3"/>
    <mergeCell ref="F4:G4"/>
    <mergeCell ref="F5:G5"/>
    <mergeCell ref="F6:G6"/>
    <mergeCell ref="C63:E63"/>
    <mergeCell ref="C18:E18"/>
    <mergeCell ref="C19:E19"/>
    <mergeCell ref="C20:E20"/>
    <mergeCell ref="B21:G21"/>
    <mergeCell ref="C38:E38"/>
    <mergeCell ref="C39:E39"/>
    <mergeCell ref="C40:E40"/>
    <mergeCell ref="C41:E41"/>
    <mergeCell ref="B32:G32"/>
    <mergeCell ref="B33:B34"/>
    <mergeCell ref="B35:G35"/>
    <mergeCell ref="C36:E36"/>
    <mergeCell ref="C37:E37"/>
    <mergeCell ref="B27:G27"/>
    <mergeCell ref="B28:G28"/>
    <mergeCell ref="B64:G64"/>
    <mergeCell ref="A49:A68"/>
    <mergeCell ref="B49:G49"/>
    <mergeCell ref="B50:G50"/>
    <mergeCell ref="B51:B53"/>
    <mergeCell ref="C52:C53"/>
    <mergeCell ref="F52:F53"/>
    <mergeCell ref="G52:G53"/>
    <mergeCell ref="B54:G54"/>
    <mergeCell ref="B55:B56"/>
    <mergeCell ref="B57:G57"/>
    <mergeCell ref="C58:E58"/>
    <mergeCell ref="C59:E59"/>
    <mergeCell ref="C60:E60"/>
    <mergeCell ref="C61:E61"/>
    <mergeCell ref="C62:E62"/>
  </mergeCells>
  <phoneticPr fontId="1" type="noConversion"/>
  <dataValidations count="1">
    <dataValidation type="list" allowBlank="1" showInputMessage="1" showErrorMessage="1" sqref="C2:C6">
      <formula1>"流程图,状态机,等价类划分&amp;数据组合,直接分析"</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G17"/>
  <sheetViews>
    <sheetView zoomScaleNormal="100" workbookViewId="0">
      <selection activeCell="G24" sqref="G24"/>
    </sheetView>
  </sheetViews>
  <sheetFormatPr defaultColWidth="9" defaultRowHeight="14" x14ac:dyDescent="0.25"/>
  <cols>
    <col min="1" max="1" width="15" style="46" customWidth="1"/>
    <col min="2" max="2" width="32.08984375" style="46" customWidth="1"/>
    <col min="3" max="3" width="23.453125" style="46" bestFit="1" customWidth="1"/>
    <col min="4" max="4" width="59.453125" style="46" customWidth="1"/>
    <col min="5" max="5" width="17.36328125" style="46" bestFit="1" customWidth="1"/>
    <col min="6" max="6" width="61.90625" style="46" customWidth="1"/>
    <col min="7" max="7" width="82.453125" style="46" customWidth="1"/>
    <col min="8" max="23" width="9" style="46" customWidth="1"/>
    <col min="24" max="16384" width="9" style="46"/>
  </cols>
  <sheetData>
    <row r="1" spans="1:7" x14ac:dyDescent="0.25">
      <c r="A1" s="169" t="s">
        <v>26</v>
      </c>
      <c r="B1" s="69" t="s">
        <v>15</v>
      </c>
      <c r="C1" s="69" t="s">
        <v>16</v>
      </c>
      <c r="D1" s="69" t="s">
        <v>17</v>
      </c>
      <c r="E1" s="69" t="s">
        <v>18</v>
      </c>
      <c r="F1" s="171" t="s">
        <v>19</v>
      </c>
      <c r="G1" s="130"/>
    </row>
    <row r="2" spans="1:7" ht="14.5" customHeight="1" x14ac:dyDescent="0.25">
      <c r="A2" s="149"/>
      <c r="B2" s="63" t="s">
        <v>1557</v>
      </c>
      <c r="C2" s="63" t="s">
        <v>22</v>
      </c>
      <c r="D2" s="63"/>
      <c r="E2" s="105">
        <v>3</v>
      </c>
      <c r="F2" s="132" t="s">
        <v>290</v>
      </c>
      <c r="G2" s="132"/>
    </row>
    <row r="3" spans="1:7" x14ac:dyDescent="0.25">
      <c r="A3" s="141" t="s">
        <v>116</v>
      </c>
      <c r="B3" s="145" t="s">
        <v>57</v>
      </c>
      <c r="C3" s="146"/>
      <c r="D3" s="146"/>
      <c r="E3" s="146"/>
      <c r="F3" s="146"/>
      <c r="G3" s="134"/>
    </row>
    <row r="4" spans="1:7" x14ac:dyDescent="0.25">
      <c r="A4" s="150"/>
      <c r="B4" s="147" t="s">
        <v>58</v>
      </c>
      <c r="C4" s="146"/>
      <c r="D4" s="146"/>
      <c r="E4" s="146"/>
      <c r="F4" s="146"/>
      <c r="G4" s="134"/>
    </row>
    <row r="5" spans="1:7" x14ac:dyDescent="0.25">
      <c r="A5" s="150"/>
      <c r="B5" s="102" t="s">
        <v>46</v>
      </c>
      <c r="C5" s="147" t="s">
        <v>47</v>
      </c>
      <c r="D5" s="146"/>
      <c r="E5" s="134"/>
      <c r="F5" s="34" t="s">
        <v>48</v>
      </c>
      <c r="G5" s="34" t="s">
        <v>49</v>
      </c>
    </row>
    <row r="6" spans="1:7" x14ac:dyDescent="0.25">
      <c r="A6" s="150"/>
      <c r="B6" s="35" t="s">
        <v>1559</v>
      </c>
      <c r="C6" s="158" t="s">
        <v>1560</v>
      </c>
      <c r="D6" s="146"/>
      <c r="E6" s="134"/>
      <c r="F6" s="43" t="s">
        <v>1561</v>
      </c>
      <c r="G6" s="36" t="s">
        <v>1562</v>
      </c>
    </row>
    <row r="7" spans="1:7" x14ac:dyDescent="0.25">
      <c r="A7" s="150"/>
      <c r="B7" s="148" t="s">
        <v>60</v>
      </c>
      <c r="C7" s="146"/>
      <c r="D7" s="146"/>
      <c r="E7" s="146"/>
      <c r="F7" s="146"/>
      <c r="G7" s="134"/>
    </row>
    <row r="8" spans="1:7" x14ac:dyDescent="0.25">
      <c r="A8" s="150"/>
      <c r="B8" s="33" t="s">
        <v>46</v>
      </c>
      <c r="C8" s="33" t="s">
        <v>51</v>
      </c>
      <c r="D8" s="33" t="s">
        <v>19</v>
      </c>
      <c r="E8" s="33" t="s">
        <v>52</v>
      </c>
      <c r="F8" s="33" t="s">
        <v>53</v>
      </c>
      <c r="G8" s="33" t="s">
        <v>54</v>
      </c>
    </row>
    <row r="9" spans="1:7" ht="126" x14ac:dyDescent="0.25">
      <c r="A9" s="151"/>
      <c r="B9" s="37" t="s">
        <v>1559</v>
      </c>
      <c r="C9" s="37" t="s">
        <v>1560</v>
      </c>
      <c r="D9" s="37" t="s">
        <v>1565</v>
      </c>
      <c r="E9" s="37" t="s">
        <v>1558</v>
      </c>
      <c r="F9" s="37" t="s">
        <v>1564</v>
      </c>
      <c r="G9" s="37" t="s">
        <v>1563</v>
      </c>
    </row>
    <row r="10" spans="1:7" x14ac:dyDescent="0.25">
      <c r="A10" s="141" t="s">
        <v>2215</v>
      </c>
      <c r="B10" s="145" t="s">
        <v>57</v>
      </c>
      <c r="C10" s="146"/>
      <c r="D10" s="146"/>
      <c r="E10" s="146"/>
      <c r="F10" s="146"/>
      <c r="G10" s="134"/>
    </row>
    <row r="11" spans="1:7" x14ac:dyDescent="0.25">
      <c r="A11" s="143"/>
      <c r="B11" s="147" t="s">
        <v>58</v>
      </c>
      <c r="C11" s="146"/>
      <c r="D11" s="146"/>
      <c r="E11" s="146"/>
      <c r="F11" s="146"/>
      <c r="G11" s="134"/>
    </row>
    <row r="12" spans="1:7" x14ac:dyDescent="0.25">
      <c r="A12" s="143"/>
      <c r="B12" s="107" t="s">
        <v>46</v>
      </c>
      <c r="C12" s="147" t="s">
        <v>47</v>
      </c>
      <c r="D12" s="146"/>
      <c r="E12" s="134"/>
      <c r="F12" s="34" t="s">
        <v>48</v>
      </c>
      <c r="G12" s="34" t="s">
        <v>49</v>
      </c>
    </row>
    <row r="13" spans="1:7" x14ac:dyDescent="0.25">
      <c r="A13" s="143"/>
      <c r="B13" s="35" t="s">
        <v>2216</v>
      </c>
      <c r="C13" s="158" t="s">
        <v>1560</v>
      </c>
      <c r="D13" s="146"/>
      <c r="E13" s="134"/>
      <c r="F13" s="43" t="s">
        <v>1561</v>
      </c>
      <c r="G13" s="36" t="s">
        <v>1561</v>
      </c>
    </row>
    <row r="14" spans="1:7" x14ac:dyDescent="0.25">
      <c r="A14" s="143"/>
      <c r="B14" s="148" t="s">
        <v>60</v>
      </c>
      <c r="C14" s="146"/>
      <c r="D14" s="146"/>
      <c r="E14" s="146"/>
      <c r="F14" s="146"/>
      <c r="G14" s="134"/>
    </row>
    <row r="15" spans="1:7" x14ac:dyDescent="0.25">
      <c r="A15" s="143"/>
      <c r="B15" s="33" t="s">
        <v>46</v>
      </c>
      <c r="C15" s="33" t="s">
        <v>51</v>
      </c>
      <c r="D15" s="33" t="s">
        <v>19</v>
      </c>
      <c r="E15" s="33" t="s">
        <v>52</v>
      </c>
      <c r="F15" s="33" t="s">
        <v>53</v>
      </c>
      <c r="G15" s="33" t="s">
        <v>54</v>
      </c>
    </row>
    <row r="16" spans="1:7" ht="42" x14ac:dyDescent="0.25">
      <c r="A16" s="143"/>
      <c r="B16" s="37" t="s">
        <v>2391</v>
      </c>
      <c r="C16" s="37" t="s">
        <v>2392</v>
      </c>
      <c r="D16" s="37" t="s">
        <v>2393</v>
      </c>
      <c r="E16" s="37" t="s">
        <v>1558</v>
      </c>
      <c r="F16" s="37" t="s">
        <v>2394</v>
      </c>
      <c r="G16" s="37" t="s">
        <v>2217</v>
      </c>
    </row>
    <row r="17" spans="1:7" ht="42" x14ac:dyDescent="0.25">
      <c r="A17" s="143"/>
      <c r="B17" s="37" t="s">
        <v>2395</v>
      </c>
      <c r="C17" s="37" t="s">
        <v>2392</v>
      </c>
      <c r="D17" s="37" t="s">
        <v>2396</v>
      </c>
      <c r="E17" s="37" t="s">
        <v>1558</v>
      </c>
      <c r="F17" s="37" t="s">
        <v>2394</v>
      </c>
      <c r="G17" s="37" t="s">
        <v>2217</v>
      </c>
    </row>
  </sheetData>
  <mergeCells count="15">
    <mergeCell ref="F1:G1"/>
    <mergeCell ref="F2:G2"/>
    <mergeCell ref="A1:A2"/>
    <mergeCell ref="A3:A9"/>
    <mergeCell ref="B3:G3"/>
    <mergeCell ref="B4:G4"/>
    <mergeCell ref="C5:E5"/>
    <mergeCell ref="C6:E6"/>
    <mergeCell ref="B7:G7"/>
    <mergeCell ref="A10:A17"/>
    <mergeCell ref="B10:G10"/>
    <mergeCell ref="B11:G11"/>
    <mergeCell ref="C12:E12"/>
    <mergeCell ref="C13:E13"/>
    <mergeCell ref="B14:G14"/>
  </mergeCells>
  <phoneticPr fontId="1" type="noConversion"/>
  <dataValidations count="1">
    <dataValidation type="list" allowBlank="1" showInputMessage="1" showErrorMessage="1" sqref="C2">
      <formula1>"流程图,状态机,等价类划分&amp;数据组合,直接分析"</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G52"/>
  <sheetViews>
    <sheetView workbookViewId="0">
      <pane xSplit="1" ySplit="8" topLeftCell="B30" activePane="bottomRight" state="frozen"/>
      <selection pane="topRight" activeCell="B1" sqref="B1"/>
      <selection pane="bottomLeft" activeCell="A9" sqref="A9"/>
      <selection pane="bottomRight" activeCell="D45" sqref="D45"/>
    </sheetView>
  </sheetViews>
  <sheetFormatPr defaultColWidth="9" defaultRowHeight="14" x14ac:dyDescent="0.25"/>
  <cols>
    <col min="1" max="1" width="15" style="46" customWidth="1"/>
    <col min="2" max="2" width="32.08984375" style="46" customWidth="1"/>
    <col min="3" max="3" width="23.453125" style="46" bestFit="1" customWidth="1"/>
    <col min="4" max="4" width="59.453125" style="46" customWidth="1"/>
    <col min="5" max="5" width="17.36328125" style="46" bestFit="1" customWidth="1"/>
    <col min="6" max="6" width="61.90625" style="46" customWidth="1"/>
    <col min="7" max="7" width="82.453125" style="46" customWidth="1"/>
    <col min="8" max="23" width="9" style="46" customWidth="1"/>
    <col min="24" max="16384" width="9" style="46"/>
  </cols>
  <sheetData>
    <row r="1" spans="1:7" x14ac:dyDescent="0.25">
      <c r="A1" s="162" t="s">
        <v>26</v>
      </c>
      <c r="B1" s="104" t="s">
        <v>15</v>
      </c>
      <c r="C1" s="104" t="s">
        <v>16</v>
      </c>
      <c r="D1" s="104" t="s">
        <v>17</v>
      </c>
      <c r="E1" s="104" t="s">
        <v>18</v>
      </c>
      <c r="F1" s="156" t="s">
        <v>19</v>
      </c>
      <c r="G1" s="160"/>
    </row>
    <row r="2" spans="1:7" ht="14.5" customHeight="1" x14ac:dyDescent="0.25">
      <c r="A2" s="160"/>
      <c r="B2" s="63" t="s">
        <v>1567</v>
      </c>
      <c r="C2" s="63" t="s">
        <v>22</v>
      </c>
      <c r="D2" s="63"/>
      <c r="E2" s="105">
        <v>7</v>
      </c>
      <c r="F2" s="132" t="s">
        <v>1572</v>
      </c>
      <c r="G2" s="132"/>
    </row>
    <row r="3" spans="1:7" ht="14.5" customHeight="1" x14ac:dyDescent="0.25">
      <c r="A3" s="160"/>
      <c r="B3" s="63" t="s">
        <v>1577</v>
      </c>
      <c r="C3" s="63" t="s">
        <v>22</v>
      </c>
      <c r="D3" s="63"/>
      <c r="E3" s="105">
        <v>2</v>
      </c>
      <c r="F3" s="132" t="s">
        <v>294</v>
      </c>
      <c r="G3" s="132"/>
    </row>
    <row r="4" spans="1:7" ht="14.5" customHeight="1" x14ac:dyDescent="0.25">
      <c r="A4" s="160"/>
      <c r="B4" s="63" t="s">
        <v>1589</v>
      </c>
      <c r="C4" s="63" t="s">
        <v>22</v>
      </c>
      <c r="D4" s="63"/>
      <c r="E4" s="105">
        <v>3</v>
      </c>
      <c r="F4" s="132" t="s">
        <v>296</v>
      </c>
      <c r="G4" s="132"/>
    </row>
    <row r="5" spans="1:7" ht="14.5" customHeight="1" x14ac:dyDescent="0.25">
      <c r="A5" s="160"/>
      <c r="B5" s="63" t="s">
        <v>1588</v>
      </c>
      <c r="C5" s="63" t="s">
        <v>22</v>
      </c>
      <c r="D5" s="63"/>
      <c r="E5" s="105">
        <v>4</v>
      </c>
      <c r="F5" s="132" t="s">
        <v>298</v>
      </c>
      <c r="G5" s="132"/>
    </row>
    <row r="6" spans="1:7" ht="14.5" customHeight="1" x14ac:dyDescent="0.25">
      <c r="A6" s="160"/>
      <c r="B6" s="63" t="s">
        <v>1621</v>
      </c>
      <c r="C6" s="63" t="s">
        <v>22</v>
      </c>
      <c r="D6" s="63"/>
      <c r="E6" s="105">
        <v>2</v>
      </c>
      <c r="F6" s="132" t="s">
        <v>1569</v>
      </c>
      <c r="G6" s="132"/>
    </row>
    <row r="7" spans="1:7" ht="14.5" customHeight="1" x14ac:dyDescent="0.25">
      <c r="A7" s="160"/>
      <c r="B7" s="63" t="s">
        <v>1623</v>
      </c>
      <c r="C7" s="63" t="s">
        <v>22</v>
      </c>
      <c r="D7" s="63"/>
      <c r="E7" s="105">
        <v>2</v>
      </c>
      <c r="F7" s="132" t="s">
        <v>300</v>
      </c>
      <c r="G7" s="132"/>
    </row>
    <row r="8" spans="1:7" ht="14.5" customHeight="1" x14ac:dyDescent="0.25">
      <c r="A8" s="160"/>
      <c r="B8" s="70" t="s">
        <v>301</v>
      </c>
      <c r="C8" s="71" t="s">
        <v>22</v>
      </c>
      <c r="D8" s="71"/>
      <c r="E8" s="38">
        <v>4</v>
      </c>
      <c r="F8" s="140" t="s">
        <v>1566</v>
      </c>
      <c r="G8" s="140"/>
    </row>
    <row r="9" spans="1:7" x14ac:dyDescent="0.25">
      <c r="A9" s="141" t="s">
        <v>1568</v>
      </c>
      <c r="B9" s="145" t="s">
        <v>57</v>
      </c>
      <c r="C9" s="160"/>
      <c r="D9" s="160"/>
      <c r="E9" s="160"/>
      <c r="F9" s="160"/>
      <c r="G9" s="160"/>
    </row>
    <row r="10" spans="1:7" x14ac:dyDescent="0.25">
      <c r="A10" s="160"/>
      <c r="B10" s="147" t="s">
        <v>58</v>
      </c>
      <c r="C10" s="160"/>
      <c r="D10" s="160"/>
      <c r="E10" s="160"/>
      <c r="F10" s="160"/>
      <c r="G10" s="160"/>
    </row>
    <row r="11" spans="1:7" x14ac:dyDescent="0.25">
      <c r="A11" s="160"/>
      <c r="B11" s="102" t="s">
        <v>46</v>
      </c>
      <c r="C11" s="147" t="s">
        <v>47</v>
      </c>
      <c r="D11" s="160"/>
      <c r="E11" s="160"/>
      <c r="F11" s="34" t="s">
        <v>48</v>
      </c>
      <c r="G11" s="34" t="s">
        <v>49</v>
      </c>
    </row>
    <row r="12" spans="1:7" ht="42" x14ac:dyDescent="0.25">
      <c r="A12" s="160"/>
      <c r="B12" s="35" t="s">
        <v>1570</v>
      </c>
      <c r="C12" s="158" t="s">
        <v>1573</v>
      </c>
      <c r="D12" s="160"/>
      <c r="E12" s="160"/>
      <c r="F12" s="43" t="s">
        <v>1571</v>
      </c>
      <c r="G12" s="36" t="s">
        <v>1583</v>
      </c>
    </row>
    <row r="13" spans="1:7" x14ac:dyDescent="0.25">
      <c r="A13" s="160"/>
      <c r="B13" s="148" t="s">
        <v>60</v>
      </c>
      <c r="C13" s="160"/>
      <c r="D13" s="160"/>
      <c r="E13" s="160"/>
      <c r="F13" s="160"/>
      <c r="G13" s="160"/>
    </row>
    <row r="14" spans="1:7" x14ac:dyDescent="0.25">
      <c r="A14" s="160"/>
      <c r="B14" s="33" t="s">
        <v>46</v>
      </c>
      <c r="C14" s="33" t="s">
        <v>51</v>
      </c>
      <c r="D14" s="33" t="s">
        <v>19</v>
      </c>
      <c r="E14" s="33" t="s">
        <v>52</v>
      </c>
      <c r="F14" s="33" t="s">
        <v>53</v>
      </c>
      <c r="G14" s="33" t="s">
        <v>54</v>
      </c>
    </row>
    <row r="15" spans="1:7" ht="56" x14ac:dyDescent="0.25">
      <c r="A15" s="160"/>
      <c r="B15" s="37" t="s">
        <v>1585</v>
      </c>
      <c r="C15" s="37" t="s">
        <v>1574</v>
      </c>
      <c r="D15" s="37" t="s">
        <v>1584</v>
      </c>
      <c r="E15" s="37" t="s">
        <v>360</v>
      </c>
      <c r="F15" s="37" t="s">
        <v>1576</v>
      </c>
      <c r="G15" s="37" t="s">
        <v>1575</v>
      </c>
    </row>
    <row r="16" spans="1:7" x14ac:dyDescent="0.25">
      <c r="A16" s="141" t="s">
        <v>1578</v>
      </c>
      <c r="B16" s="145" t="s">
        <v>57</v>
      </c>
      <c r="C16" s="146"/>
      <c r="D16" s="146"/>
      <c r="E16" s="146"/>
      <c r="F16" s="146"/>
      <c r="G16" s="134"/>
    </row>
    <row r="17" spans="1:7" x14ac:dyDescent="0.25">
      <c r="A17" s="150"/>
      <c r="B17" s="147" t="s">
        <v>58</v>
      </c>
      <c r="C17" s="146"/>
      <c r="D17" s="146"/>
      <c r="E17" s="146"/>
      <c r="F17" s="146"/>
      <c r="G17" s="134"/>
    </row>
    <row r="18" spans="1:7" x14ac:dyDescent="0.25">
      <c r="A18" s="150"/>
      <c r="B18" s="102" t="s">
        <v>46</v>
      </c>
      <c r="C18" s="147" t="s">
        <v>47</v>
      </c>
      <c r="D18" s="146"/>
      <c r="E18" s="134"/>
      <c r="F18" s="34" t="s">
        <v>48</v>
      </c>
      <c r="G18" s="34" t="s">
        <v>49</v>
      </c>
    </row>
    <row r="19" spans="1:7" x14ac:dyDescent="0.25">
      <c r="A19" s="150"/>
      <c r="B19" s="35" t="s">
        <v>1587</v>
      </c>
      <c r="C19" s="158" t="s">
        <v>2061</v>
      </c>
      <c r="D19" s="146"/>
      <c r="E19" s="134"/>
      <c r="F19" s="43" t="s">
        <v>1580</v>
      </c>
      <c r="G19" s="36" t="s">
        <v>1581</v>
      </c>
    </row>
    <row r="20" spans="1:7" x14ac:dyDescent="0.25">
      <c r="A20" s="150"/>
      <c r="B20" s="148" t="s">
        <v>60</v>
      </c>
      <c r="C20" s="146"/>
      <c r="D20" s="146"/>
      <c r="E20" s="146"/>
      <c r="F20" s="146"/>
      <c r="G20" s="134"/>
    </row>
    <row r="21" spans="1:7" x14ac:dyDescent="0.25">
      <c r="A21" s="150"/>
      <c r="B21" s="33" t="s">
        <v>46</v>
      </c>
      <c r="C21" s="33" t="s">
        <v>51</v>
      </c>
      <c r="D21" s="33" t="s">
        <v>19</v>
      </c>
      <c r="E21" s="33" t="s">
        <v>52</v>
      </c>
      <c r="F21" s="33" t="s">
        <v>53</v>
      </c>
      <c r="G21" s="33" t="s">
        <v>54</v>
      </c>
    </row>
    <row r="22" spans="1:7" ht="112" x14ac:dyDescent="0.25">
      <c r="A22" s="151"/>
      <c r="B22" s="37" t="s">
        <v>1586</v>
      </c>
      <c r="C22" s="37" t="s">
        <v>2062</v>
      </c>
      <c r="D22" s="37" t="s">
        <v>1582</v>
      </c>
      <c r="E22" s="37" t="s">
        <v>783</v>
      </c>
      <c r="F22" s="37" t="s">
        <v>1579</v>
      </c>
      <c r="G22" s="37" t="s">
        <v>1630</v>
      </c>
    </row>
    <row r="23" spans="1:7" x14ac:dyDescent="0.25">
      <c r="A23" s="141" t="s">
        <v>1590</v>
      </c>
      <c r="B23" s="145" t="s">
        <v>57</v>
      </c>
      <c r="C23" s="160"/>
      <c r="D23" s="160"/>
      <c r="E23" s="160"/>
      <c r="F23" s="160"/>
      <c r="G23" s="160"/>
    </row>
    <row r="24" spans="1:7" x14ac:dyDescent="0.25">
      <c r="A24" s="160"/>
      <c r="B24" s="147" t="s">
        <v>58</v>
      </c>
      <c r="C24" s="160"/>
      <c r="D24" s="160"/>
      <c r="E24" s="160"/>
      <c r="F24" s="160"/>
      <c r="G24" s="160"/>
    </row>
    <row r="25" spans="1:7" x14ac:dyDescent="0.25">
      <c r="A25" s="160"/>
      <c r="B25" s="102" t="s">
        <v>46</v>
      </c>
      <c r="C25" s="147" t="s">
        <v>47</v>
      </c>
      <c r="D25" s="160"/>
      <c r="E25" s="160"/>
      <c r="F25" s="34" t="s">
        <v>48</v>
      </c>
      <c r="G25" s="34" t="s">
        <v>49</v>
      </c>
    </row>
    <row r="26" spans="1:7" x14ac:dyDescent="0.25">
      <c r="A26" s="160"/>
      <c r="B26" s="35" t="s">
        <v>1593</v>
      </c>
      <c r="C26" s="158" t="s">
        <v>1598</v>
      </c>
      <c r="D26" s="160"/>
      <c r="E26" s="160"/>
      <c r="F26" s="43" t="s">
        <v>1591</v>
      </c>
      <c r="G26" s="36" t="s">
        <v>1601</v>
      </c>
    </row>
    <row r="27" spans="1:7" x14ac:dyDescent="0.25">
      <c r="A27" s="160"/>
      <c r="B27" s="35" t="s">
        <v>1595</v>
      </c>
      <c r="C27" s="158" t="s">
        <v>1600</v>
      </c>
      <c r="D27" s="160"/>
      <c r="E27" s="160"/>
      <c r="F27" s="43" t="s">
        <v>1591</v>
      </c>
      <c r="G27" s="36" t="s">
        <v>1597</v>
      </c>
    </row>
    <row r="28" spans="1:7" x14ac:dyDescent="0.25">
      <c r="A28" s="160"/>
      <c r="B28" s="148" t="s">
        <v>60</v>
      </c>
      <c r="C28" s="160"/>
      <c r="D28" s="160"/>
      <c r="E28" s="160"/>
      <c r="F28" s="160"/>
      <c r="G28" s="160"/>
    </row>
    <row r="29" spans="1:7" x14ac:dyDescent="0.25">
      <c r="A29" s="160"/>
      <c r="B29" s="33" t="s">
        <v>46</v>
      </c>
      <c r="C29" s="33" t="s">
        <v>51</v>
      </c>
      <c r="D29" s="33" t="s">
        <v>19</v>
      </c>
      <c r="E29" s="33" t="s">
        <v>52</v>
      </c>
      <c r="F29" s="33" t="s">
        <v>53</v>
      </c>
      <c r="G29" s="33" t="s">
        <v>54</v>
      </c>
    </row>
    <row r="30" spans="1:7" ht="98" x14ac:dyDescent="0.25">
      <c r="A30" s="160"/>
      <c r="B30" s="35" t="s">
        <v>1592</v>
      </c>
      <c r="C30" s="37" t="s">
        <v>1599</v>
      </c>
      <c r="D30" s="37" t="s">
        <v>1601</v>
      </c>
      <c r="E30" s="37" t="s">
        <v>360</v>
      </c>
      <c r="F30" s="37" t="s">
        <v>2402</v>
      </c>
      <c r="G30" s="37" t="s">
        <v>2401</v>
      </c>
    </row>
    <row r="31" spans="1:7" ht="112" x14ac:dyDescent="0.25">
      <c r="A31" s="160"/>
      <c r="B31" s="35" t="s">
        <v>1594</v>
      </c>
      <c r="C31" s="37" t="s">
        <v>1596</v>
      </c>
      <c r="D31" s="37" t="s">
        <v>1602</v>
      </c>
      <c r="E31" s="37" t="s">
        <v>360</v>
      </c>
      <c r="F31" s="37" t="s">
        <v>1604</v>
      </c>
      <c r="G31" s="37" t="s">
        <v>1603</v>
      </c>
    </row>
    <row r="32" spans="1:7" x14ac:dyDescent="0.25">
      <c r="A32" s="141" t="s">
        <v>1613</v>
      </c>
      <c r="B32" s="145" t="s">
        <v>57</v>
      </c>
      <c r="C32" s="146"/>
      <c r="D32" s="146"/>
      <c r="E32" s="146"/>
      <c r="F32" s="146"/>
      <c r="G32" s="134"/>
    </row>
    <row r="33" spans="1:7" x14ac:dyDescent="0.25">
      <c r="A33" s="150"/>
      <c r="B33" s="147" t="s">
        <v>58</v>
      </c>
      <c r="C33" s="146"/>
      <c r="D33" s="146"/>
      <c r="E33" s="146"/>
      <c r="F33" s="146"/>
      <c r="G33" s="134"/>
    </row>
    <row r="34" spans="1:7" x14ac:dyDescent="0.25">
      <c r="A34" s="150"/>
      <c r="B34" s="102" t="s">
        <v>46</v>
      </c>
      <c r="C34" s="147" t="s">
        <v>47</v>
      </c>
      <c r="D34" s="146"/>
      <c r="E34" s="134"/>
      <c r="F34" s="34" t="s">
        <v>48</v>
      </c>
      <c r="G34" s="34" t="s">
        <v>49</v>
      </c>
    </row>
    <row r="35" spans="1:7" x14ac:dyDescent="0.25">
      <c r="A35" s="150"/>
      <c r="B35" s="35" t="s">
        <v>1605</v>
      </c>
      <c r="C35" s="158" t="s">
        <v>1608</v>
      </c>
      <c r="D35" s="146"/>
      <c r="E35" s="134"/>
      <c r="F35" s="43" t="s">
        <v>1580</v>
      </c>
      <c r="G35" s="36" t="s">
        <v>1612</v>
      </c>
    </row>
    <row r="36" spans="1:7" x14ac:dyDescent="0.25">
      <c r="A36" s="150"/>
      <c r="B36" s="148" t="s">
        <v>60</v>
      </c>
      <c r="C36" s="146"/>
      <c r="D36" s="146"/>
      <c r="E36" s="146"/>
      <c r="F36" s="146"/>
      <c r="G36" s="134"/>
    </row>
    <row r="37" spans="1:7" x14ac:dyDescent="0.25">
      <c r="A37" s="150"/>
      <c r="B37" s="33" t="s">
        <v>46</v>
      </c>
      <c r="C37" s="33" t="s">
        <v>51</v>
      </c>
      <c r="D37" s="33" t="s">
        <v>19</v>
      </c>
      <c r="E37" s="33" t="s">
        <v>52</v>
      </c>
      <c r="F37" s="33" t="s">
        <v>53</v>
      </c>
      <c r="G37" s="33" t="s">
        <v>54</v>
      </c>
    </row>
    <row r="38" spans="1:7" ht="84" x14ac:dyDescent="0.25">
      <c r="A38" s="151"/>
      <c r="B38" s="37" t="s">
        <v>1606</v>
      </c>
      <c r="C38" s="37" t="s">
        <v>1609</v>
      </c>
      <c r="D38" s="37" t="s">
        <v>1607</v>
      </c>
      <c r="E38" s="37" t="s">
        <v>783</v>
      </c>
      <c r="F38" s="37" t="s">
        <v>1611</v>
      </c>
      <c r="G38" s="37" t="s">
        <v>1610</v>
      </c>
    </row>
    <row r="39" spans="1:7" x14ac:dyDescent="0.25">
      <c r="A39" s="141" t="s">
        <v>1622</v>
      </c>
      <c r="B39" s="145" t="s">
        <v>57</v>
      </c>
      <c r="C39" s="146"/>
      <c r="D39" s="146"/>
      <c r="E39" s="146"/>
      <c r="F39" s="146"/>
      <c r="G39" s="134"/>
    </row>
    <row r="40" spans="1:7" x14ac:dyDescent="0.25">
      <c r="A40" s="150"/>
      <c r="B40" s="147" t="s">
        <v>58</v>
      </c>
      <c r="C40" s="146"/>
      <c r="D40" s="146"/>
      <c r="E40" s="146"/>
      <c r="F40" s="146"/>
      <c r="G40" s="134"/>
    </row>
    <row r="41" spans="1:7" x14ac:dyDescent="0.25">
      <c r="A41" s="150"/>
      <c r="B41" s="102" t="s">
        <v>46</v>
      </c>
      <c r="C41" s="147" t="s">
        <v>47</v>
      </c>
      <c r="D41" s="146"/>
      <c r="E41" s="134"/>
      <c r="F41" s="34" t="s">
        <v>48</v>
      </c>
      <c r="G41" s="34" t="s">
        <v>49</v>
      </c>
    </row>
    <row r="42" spans="1:7" x14ac:dyDescent="0.25">
      <c r="A42" s="150"/>
      <c r="B42" s="35" t="s">
        <v>1616</v>
      </c>
      <c r="C42" s="158" t="s">
        <v>1614</v>
      </c>
      <c r="D42" s="146"/>
      <c r="E42" s="134"/>
      <c r="F42" s="43" t="s">
        <v>1580</v>
      </c>
      <c r="G42" s="36" t="s">
        <v>1618</v>
      </c>
    </row>
    <row r="43" spans="1:7" x14ac:dyDescent="0.25">
      <c r="A43" s="150"/>
      <c r="B43" s="148" t="s">
        <v>60</v>
      </c>
      <c r="C43" s="146"/>
      <c r="D43" s="146"/>
      <c r="E43" s="146"/>
      <c r="F43" s="146"/>
      <c r="G43" s="134"/>
    </row>
    <row r="44" spans="1:7" x14ac:dyDescent="0.25">
      <c r="A44" s="150"/>
      <c r="B44" s="33" t="s">
        <v>46</v>
      </c>
      <c r="C44" s="33" t="s">
        <v>51</v>
      </c>
      <c r="D44" s="33" t="s">
        <v>19</v>
      </c>
      <c r="E44" s="33" t="s">
        <v>52</v>
      </c>
      <c r="F44" s="33" t="s">
        <v>53</v>
      </c>
      <c r="G44" s="33" t="s">
        <v>54</v>
      </c>
    </row>
    <row r="45" spans="1:7" ht="84" x14ac:dyDescent="0.25">
      <c r="A45" s="151"/>
      <c r="B45" s="37" t="s">
        <v>1617</v>
      </c>
      <c r="C45" s="37" t="s">
        <v>1615</v>
      </c>
      <c r="D45" s="37" t="s">
        <v>1618</v>
      </c>
      <c r="E45" s="37" t="s">
        <v>783</v>
      </c>
      <c r="F45" s="37" t="s">
        <v>1620</v>
      </c>
      <c r="G45" s="37" t="s">
        <v>1619</v>
      </c>
    </row>
    <row r="46" spans="1:7" x14ac:dyDescent="0.25">
      <c r="A46" s="141" t="s">
        <v>1623</v>
      </c>
      <c r="B46" s="145" t="s">
        <v>57</v>
      </c>
      <c r="C46" s="146"/>
      <c r="D46" s="146"/>
      <c r="E46" s="146"/>
      <c r="F46" s="146"/>
      <c r="G46" s="134"/>
    </row>
    <row r="47" spans="1:7" x14ac:dyDescent="0.25">
      <c r="A47" s="150"/>
      <c r="B47" s="147" t="s">
        <v>58</v>
      </c>
      <c r="C47" s="146"/>
      <c r="D47" s="146"/>
      <c r="E47" s="146"/>
      <c r="F47" s="146"/>
      <c r="G47" s="134"/>
    </row>
    <row r="48" spans="1:7" x14ac:dyDescent="0.25">
      <c r="A48" s="150"/>
      <c r="B48" s="102" t="s">
        <v>46</v>
      </c>
      <c r="C48" s="147" t="s">
        <v>47</v>
      </c>
      <c r="D48" s="146"/>
      <c r="E48" s="134"/>
      <c r="F48" s="34" t="s">
        <v>48</v>
      </c>
      <c r="G48" s="34" t="s">
        <v>49</v>
      </c>
    </row>
    <row r="49" spans="1:7" x14ac:dyDescent="0.25">
      <c r="A49" s="150"/>
      <c r="B49" s="35" t="s">
        <v>1624</v>
      </c>
      <c r="C49" s="158" t="s">
        <v>1627</v>
      </c>
      <c r="D49" s="146"/>
      <c r="E49" s="134"/>
      <c r="F49" s="43" t="s">
        <v>1580</v>
      </c>
      <c r="G49" s="36" t="s">
        <v>1625</v>
      </c>
    </row>
    <row r="50" spans="1:7" x14ac:dyDescent="0.25">
      <c r="A50" s="150"/>
      <c r="B50" s="148" t="s">
        <v>60</v>
      </c>
      <c r="C50" s="146"/>
      <c r="D50" s="146"/>
      <c r="E50" s="146"/>
      <c r="F50" s="146"/>
      <c r="G50" s="134"/>
    </row>
    <row r="51" spans="1:7" x14ac:dyDescent="0.25">
      <c r="A51" s="150"/>
      <c r="B51" s="33" t="s">
        <v>46</v>
      </c>
      <c r="C51" s="33" t="s">
        <v>51</v>
      </c>
      <c r="D51" s="33" t="s">
        <v>19</v>
      </c>
      <c r="E51" s="33" t="s">
        <v>52</v>
      </c>
      <c r="F51" s="33" t="s">
        <v>53</v>
      </c>
      <c r="G51" s="33" t="s">
        <v>54</v>
      </c>
    </row>
    <row r="52" spans="1:7" ht="56" x14ac:dyDescent="0.25">
      <c r="A52" s="151"/>
      <c r="B52" s="37" t="s">
        <v>1624</v>
      </c>
      <c r="C52" s="37" t="s">
        <v>1628</v>
      </c>
      <c r="D52" s="37" t="s">
        <v>1626</v>
      </c>
      <c r="E52" s="37" t="s">
        <v>783</v>
      </c>
      <c r="F52" s="37" t="s">
        <v>2408</v>
      </c>
      <c r="G52" s="37" t="s">
        <v>1629</v>
      </c>
    </row>
  </sheetData>
  <mergeCells count="46">
    <mergeCell ref="A46:A52"/>
    <mergeCell ref="B46:G46"/>
    <mergeCell ref="B47:G47"/>
    <mergeCell ref="C48:E48"/>
    <mergeCell ref="C49:E49"/>
    <mergeCell ref="B50:G50"/>
    <mergeCell ref="A39:A45"/>
    <mergeCell ref="B39:G39"/>
    <mergeCell ref="B40:G40"/>
    <mergeCell ref="C41:E41"/>
    <mergeCell ref="C42:E42"/>
    <mergeCell ref="B43:G43"/>
    <mergeCell ref="A32:A38"/>
    <mergeCell ref="B32:G32"/>
    <mergeCell ref="B33:G33"/>
    <mergeCell ref="C34:E34"/>
    <mergeCell ref="C35:E35"/>
    <mergeCell ref="B36:G36"/>
    <mergeCell ref="A23:A31"/>
    <mergeCell ref="B23:G23"/>
    <mergeCell ref="B24:G24"/>
    <mergeCell ref="C25:E25"/>
    <mergeCell ref="C26:E26"/>
    <mergeCell ref="B28:G28"/>
    <mergeCell ref="C27:E27"/>
    <mergeCell ref="A16:A22"/>
    <mergeCell ref="B16:G16"/>
    <mergeCell ref="B17:G17"/>
    <mergeCell ref="C18:E18"/>
    <mergeCell ref="C19:E19"/>
    <mergeCell ref="B20:G20"/>
    <mergeCell ref="A9:A15"/>
    <mergeCell ref="B9:G9"/>
    <mergeCell ref="B10:G10"/>
    <mergeCell ref="C11:E11"/>
    <mergeCell ref="C12:E12"/>
    <mergeCell ref="B13:G13"/>
    <mergeCell ref="F1:G1"/>
    <mergeCell ref="F2:G2"/>
    <mergeCell ref="A1:A8"/>
    <mergeCell ref="F3:G3"/>
    <mergeCell ref="F4:G4"/>
    <mergeCell ref="F5:G5"/>
    <mergeCell ref="F7:G7"/>
    <mergeCell ref="F8:G8"/>
    <mergeCell ref="F6:G6"/>
  </mergeCells>
  <phoneticPr fontId="1" type="noConversion"/>
  <dataValidations count="1">
    <dataValidation type="list" allowBlank="1" showInputMessage="1" showErrorMessage="1" sqref="C2:C8">
      <formula1>"流程图,状态机,等价类划分&amp;数据组合,直接分析"</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AW420"/>
  <sheetViews>
    <sheetView tabSelected="1" zoomScale="115" zoomScaleNormal="115" workbookViewId="0">
      <pane xSplit="5" ySplit="1" topLeftCell="F147" activePane="bottomRight" state="frozen"/>
      <selection pane="topRight" activeCell="F1" sqref="F1"/>
      <selection pane="bottomLeft" activeCell="A2" sqref="A2"/>
      <selection pane="bottomRight" activeCell="F165" sqref="F165:W166"/>
    </sheetView>
  </sheetViews>
  <sheetFormatPr defaultRowHeight="13.5" customHeight="1" x14ac:dyDescent="0.25"/>
  <cols>
    <col min="1" max="3" width="3" customWidth="1"/>
    <col min="4" max="4" width="7.36328125" style="46" customWidth="1"/>
    <col min="5" max="5" width="11.90625" style="30" customWidth="1"/>
    <col min="6" max="6" width="48.1796875" style="16" customWidth="1"/>
    <col min="7" max="7" width="17.08984375" style="30" customWidth="1"/>
    <col min="8" max="8" width="9.6328125" style="31" customWidth="1"/>
    <col min="9" max="12" width="9.6328125" style="30" customWidth="1"/>
    <col min="13" max="13" width="29" style="30" customWidth="1"/>
    <col min="14" max="14" width="47" style="32" customWidth="1"/>
    <col min="15" max="15" width="5" style="30" customWidth="1"/>
    <col min="16" max="16" width="3.7265625" style="30" customWidth="1"/>
    <col min="17" max="17" width="2.453125" style="30" customWidth="1"/>
    <col min="18" max="18" width="2.453125" style="27" customWidth="1"/>
    <col min="19" max="19" width="13.453125" style="30" customWidth="1"/>
    <col min="20" max="20" width="3.7265625" style="30" customWidth="1"/>
    <col min="21" max="21" width="3.36328125" style="30" customWidth="1"/>
    <col min="22" max="22" width="7.453125" style="30" customWidth="1"/>
  </cols>
  <sheetData>
    <row r="1" spans="1:49" ht="13.5" customHeight="1" x14ac:dyDescent="0.25">
      <c r="A1" s="54" t="s">
        <v>87</v>
      </c>
      <c r="B1" s="54" t="s">
        <v>88</v>
      </c>
      <c r="C1" s="54" t="s">
        <v>89</v>
      </c>
      <c r="D1" s="54" t="s">
        <v>13</v>
      </c>
      <c r="E1" s="54" t="s">
        <v>14</v>
      </c>
      <c r="F1" s="54" t="s">
        <v>90</v>
      </c>
      <c r="G1" s="54" t="s">
        <v>91</v>
      </c>
      <c r="H1" s="55" t="s">
        <v>92</v>
      </c>
      <c r="I1" s="54" t="s">
        <v>93</v>
      </c>
      <c r="J1" s="54" t="s">
        <v>94</v>
      </c>
      <c r="K1" s="54" t="s">
        <v>95</v>
      </c>
      <c r="L1" s="54" t="s">
        <v>52</v>
      </c>
      <c r="M1" s="54" t="s">
        <v>96</v>
      </c>
      <c r="N1" s="56" t="s">
        <v>97</v>
      </c>
      <c r="O1" s="54" t="s">
        <v>98</v>
      </c>
      <c r="P1" s="54" t="s">
        <v>99</v>
      </c>
      <c r="Q1" s="54" t="s">
        <v>100</v>
      </c>
      <c r="R1" s="54" t="s">
        <v>101</v>
      </c>
      <c r="S1" s="54" t="s">
        <v>102</v>
      </c>
      <c r="T1" s="54" t="s">
        <v>103</v>
      </c>
      <c r="U1" s="54" t="s">
        <v>104</v>
      </c>
      <c r="V1" s="54" t="s">
        <v>105</v>
      </c>
      <c r="W1" t="s">
        <v>2452</v>
      </c>
      <c r="AH1" s="15" t="s">
        <v>2753</v>
      </c>
      <c r="AI1" s="15" t="s">
        <v>2755</v>
      </c>
      <c r="AJ1" s="15" t="s">
        <v>2757</v>
      </c>
      <c r="AK1" s="15" t="s">
        <v>2759</v>
      </c>
      <c r="AL1" s="15"/>
      <c r="AM1" s="15"/>
      <c r="AN1" s="15"/>
      <c r="AO1" s="46"/>
      <c r="AP1" s="46" t="s">
        <v>2787</v>
      </c>
      <c r="AQ1" s="46" t="s">
        <v>113</v>
      </c>
      <c r="AR1" s="46" t="s">
        <v>115</v>
      </c>
      <c r="AS1" s="46" t="s">
        <v>2788</v>
      </c>
      <c r="AT1" s="46" t="s">
        <v>2789</v>
      </c>
      <c r="AU1" s="46" t="s">
        <v>2791</v>
      </c>
      <c r="AV1" s="46" t="s">
        <v>2792</v>
      </c>
      <c r="AW1" t="s">
        <v>2793</v>
      </c>
    </row>
    <row r="2" spans="1:49" ht="13.5" customHeight="1" x14ac:dyDescent="0.25">
      <c r="A2" s="57" t="s">
        <v>117</v>
      </c>
      <c r="B2" s="58"/>
      <c r="C2" s="58"/>
      <c r="D2" s="58"/>
      <c r="E2" s="58"/>
      <c r="F2" s="58"/>
      <c r="G2" s="58"/>
      <c r="H2" s="58"/>
      <c r="I2" s="58"/>
      <c r="J2" s="58"/>
      <c r="K2" s="58"/>
      <c r="L2" s="58"/>
      <c r="M2" s="58"/>
      <c r="N2" s="58"/>
      <c r="O2" s="58"/>
      <c r="P2" s="58"/>
      <c r="Q2" s="58"/>
      <c r="R2" s="58"/>
      <c r="S2" s="58"/>
      <c r="T2" s="58"/>
      <c r="U2" s="58"/>
      <c r="V2" s="58"/>
    </row>
    <row r="3" spans="1:49" ht="13.5" customHeight="1" x14ac:dyDescent="0.25">
      <c r="A3" s="58"/>
      <c r="B3" s="57" t="s">
        <v>170</v>
      </c>
      <c r="C3" s="58"/>
      <c r="D3" s="58"/>
      <c r="E3" s="58"/>
      <c r="F3" s="58"/>
      <c r="G3" s="58"/>
      <c r="H3" s="58"/>
      <c r="I3" s="58"/>
      <c r="J3" s="58"/>
      <c r="K3" s="58"/>
      <c r="L3" s="58"/>
      <c r="M3" s="58"/>
      <c r="N3" s="58"/>
      <c r="O3" s="58"/>
      <c r="P3" s="58"/>
      <c r="Q3" s="58"/>
      <c r="R3" s="58"/>
      <c r="S3" s="58"/>
      <c r="T3" s="58"/>
      <c r="U3" s="58"/>
      <c r="V3" s="58"/>
    </row>
    <row r="4" spans="1:49" s="46" customFormat="1" ht="13.5" customHeight="1" x14ac:dyDescent="0.25">
      <c r="A4" s="58"/>
      <c r="B4" s="57"/>
      <c r="C4" s="58" t="s">
        <v>2451</v>
      </c>
      <c r="D4" s="58"/>
      <c r="E4" s="58"/>
      <c r="F4" s="58"/>
      <c r="G4" s="58"/>
      <c r="H4" s="58"/>
      <c r="I4" s="58"/>
      <c r="J4" s="58"/>
      <c r="K4" s="58"/>
      <c r="L4" s="58"/>
      <c r="M4" s="58"/>
      <c r="N4" s="58"/>
      <c r="O4" s="58"/>
      <c r="P4" s="58"/>
      <c r="Q4" s="58"/>
      <c r="R4" s="58"/>
      <c r="S4" s="58"/>
      <c r="T4" s="58"/>
      <c r="U4" s="58"/>
      <c r="V4" s="58"/>
    </row>
    <row r="5" spans="1:49" ht="13.5" customHeight="1" x14ac:dyDescent="0.25">
      <c r="A5" s="58"/>
      <c r="B5" s="58"/>
      <c r="C5" s="58"/>
      <c r="D5" s="58" t="s">
        <v>20</v>
      </c>
      <c r="E5" s="58"/>
      <c r="F5" s="58"/>
      <c r="G5" s="58"/>
      <c r="H5" s="58"/>
      <c r="I5" s="58"/>
      <c r="J5" s="58"/>
      <c r="K5" s="58"/>
      <c r="L5" s="58"/>
      <c r="M5" s="58"/>
      <c r="N5" s="58"/>
      <c r="O5" s="58"/>
      <c r="P5" s="58"/>
      <c r="Q5" s="58"/>
      <c r="R5" s="58"/>
      <c r="S5" s="58"/>
      <c r="T5" s="58"/>
      <c r="U5" s="58"/>
      <c r="V5" s="58"/>
    </row>
    <row r="6" spans="1:49" ht="13.5" customHeight="1" x14ac:dyDescent="0.25">
      <c r="A6" s="58"/>
      <c r="B6" s="58"/>
      <c r="C6" s="58"/>
      <c r="D6" s="58"/>
      <c r="E6" s="58" t="s">
        <v>171</v>
      </c>
      <c r="F6" s="58"/>
      <c r="G6" s="58"/>
      <c r="H6" s="58"/>
      <c r="I6" s="58"/>
      <c r="J6" s="58"/>
      <c r="K6" s="58"/>
      <c r="L6" s="58"/>
      <c r="M6" s="58"/>
      <c r="N6" s="58"/>
      <c r="O6" s="58"/>
      <c r="P6" s="58"/>
      <c r="Q6" s="58"/>
      <c r="R6" s="58"/>
      <c r="S6" s="58"/>
      <c r="T6" s="58"/>
      <c r="U6" s="58"/>
      <c r="V6" s="58"/>
    </row>
    <row r="7" spans="1:49" ht="13.5" customHeight="1" x14ac:dyDescent="0.25">
      <c r="A7" s="58"/>
      <c r="B7" s="58"/>
      <c r="C7" s="58"/>
      <c r="D7" s="58"/>
      <c r="E7" s="58"/>
      <c r="F7" s="58" t="s">
        <v>759</v>
      </c>
      <c r="G7" s="58" t="s">
        <v>760</v>
      </c>
      <c r="H7" s="58">
        <v>2210101</v>
      </c>
      <c r="I7" s="58" t="s">
        <v>2752</v>
      </c>
      <c r="J7" s="58"/>
      <c r="K7" s="58"/>
      <c r="L7" s="58" t="s">
        <v>55</v>
      </c>
      <c r="M7" s="83" t="s">
        <v>1172</v>
      </c>
      <c r="N7" s="58" t="s">
        <v>761</v>
      </c>
      <c r="O7" s="58" t="s">
        <v>933</v>
      </c>
      <c r="P7" s="58" t="s">
        <v>934</v>
      </c>
      <c r="Q7" s="58"/>
      <c r="R7" s="58"/>
      <c r="S7" s="58" t="s">
        <v>2786</v>
      </c>
      <c r="T7" s="58" t="s">
        <v>930</v>
      </c>
      <c r="U7" s="58"/>
      <c r="V7" s="58"/>
    </row>
    <row r="8" spans="1:49" ht="13.5" customHeight="1" x14ac:dyDescent="0.25">
      <c r="A8" s="58"/>
      <c r="B8" s="58"/>
      <c r="C8" s="58"/>
      <c r="D8" s="58"/>
      <c r="E8" s="58"/>
      <c r="F8" s="58" t="s">
        <v>762</v>
      </c>
      <c r="G8" s="58" t="s">
        <v>763</v>
      </c>
      <c r="H8" s="58">
        <v>2210102</v>
      </c>
      <c r="I8" s="58" t="s">
        <v>2752</v>
      </c>
      <c r="J8" s="58"/>
      <c r="K8" s="58"/>
      <c r="L8" s="58" t="s">
        <v>55</v>
      </c>
      <c r="M8" s="83" t="s">
        <v>1173</v>
      </c>
      <c r="N8" s="58" t="s">
        <v>761</v>
      </c>
      <c r="O8" s="58" t="s">
        <v>933</v>
      </c>
      <c r="P8" s="58" t="s">
        <v>934</v>
      </c>
      <c r="Q8" s="58"/>
      <c r="R8" s="58"/>
      <c r="S8" s="58" t="s">
        <v>2786</v>
      </c>
      <c r="T8" s="58" t="s">
        <v>930</v>
      </c>
      <c r="U8" s="58"/>
      <c r="V8" s="58"/>
    </row>
    <row r="9" spans="1:49" ht="13.5" customHeight="1" x14ac:dyDescent="0.25">
      <c r="A9" s="58"/>
      <c r="B9" s="58"/>
      <c r="C9" s="58"/>
      <c r="D9" s="58"/>
      <c r="E9" s="58"/>
      <c r="F9" s="58" t="s">
        <v>764</v>
      </c>
      <c r="G9" s="58" t="s">
        <v>765</v>
      </c>
      <c r="H9" s="58">
        <v>2210103</v>
      </c>
      <c r="I9" s="58" t="s">
        <v>2752</v>
      </c>
      <c r="J9" s="58"/>
      <c r="K9" s="58"/>
      <c r="L9" s="58" t="s">
        <v>55</v>
      </c>
      <c r="M9" s="83" t="s">
        <v>935</v>
      </c>
      <c r="N9" s="58" t="s">
        <v>761</v>
      </c>
      <c r="O9" s="58" t="s">
        <v>933</v>
      </c>
      <c r="P9" s="58" t="s">
        <v>934</v>
      </c>
      <c r="Q9" s="58"/>
      <c r="R9" s="58"/>
      <c r="S9" s="58" t="s">
        <v>2786</v>
      </c>
      <c r="T9" s="58" t="s">
        <v>930</v>
      </c>
      <c r="U9" s="58"/>
      <c r="V9" s="58"/>
    </row>
    <row r="10" spans="1:49" ht="13.5" customHeight="1" x14ac:dyDescent="0.25">
      <c r="A10" s="58"/>
      <c r="B10" s="58"/>
      <c r="C10" s="58"/>
      <c r="D10" s="58"/>
      <c r="E10" s="58"/>
      <c r="F10" s="58" t="s">
        <v>766</v>
      </c>
      <c r="G10" s="58" t="s">
        <v>767</v>
      </c>
      <c r="H10" s="58">
        <v>2210104</v>
      </c>
      <c r="I10" s="58" t="s">
        <v>2752</v>
      </c>
      <c r="J10" s="58"/>
      <c r="K10" s="58"/>
      <c r="L10" s="58" t="s">
        <v>55</v>
      </c>
      <c r="M10" s="83" t="s">
        <v>2745</v>
      </c>
      <c r="N10" s="58" t="s">
        <v>761</v>
      </c>
      <c r="O10" s="58" t="s">
        <v>933</v>
      </c>
      <c r="P10" s="58" t="s">
        <v>934</v>
      </c>
      <c r="Q10" s="58"/>
      <c r="R10" s="58"/>
      <c r="S10" s="58" t="s">
        <v>2786</v>
      </c>
      <c r="T10" s="58" t="s">
        <v>930</v>
      </c>
      <c r="U10" s="58"/>
      <c r="V10" s="58"/>
    </row>
    <row r="11" spans="1:49" ht="13.5" customHeight="1" x14ac:dyDescent="0.25">
      <c r="A11" s="58"/>
      <c r="B11" s="58"/>
      <c r="C11" s="58"/>
      <c r="D11" s="58"/>
      <c r="E11" s="58"/>
      <c r="F11" s="58" t="s">
        <v>768</v>
      </c>
      <c r="G11" s="58" t="s">
        <v>769</v>
      </c>
      <c r="H11" s="58">
        <v>2210105</v>
      </c>
      <c r="I11" s="58" t="s">
        <v>2752</v>
      </c>
      <c r="J11" s="58"/>
      <c r="K11" s="58"/>
      <c r="L11" s="58" t="s">
        <v>55</v>
      </c>
      <c r="M11" s="83" t="s">
        <v>2743</v>
      </c>
      <c r="N11" s="83" t="s">
        <v>2744</v>
      </c>
      <c r="O11" s="58" t="s">
        <v>933</v>
      </c>
      <c r="P11" s="58" t="s">
        <v>934</v>
      </c>
      <c r="Q11" s="58"/>
      <c r="R11" s="58"/>
      <c r="S11" s="58" t="s">
        <v>2786</v>
      </c>
      <c r="T11" s="58" t="s">
        <v>930</v>
      </c>
      <c r="U11" s="58"/>
      <c r="V11" s="58"/>
    </row>
    <row r="12" spans="1:49" ht="13.5" customHeight="1" x14ac:dyDescent="0.25">
      <c r="A12" s="58"/>
      <c r="B12" s="58"/>
      <c r="C12" s="58"/>
      <c r="D12" s="58"/>
      <c r="E12" s="58"/>
      <c r="F12" s="58" t="s">
        <v>771</v>
      </c>
      <c r="G12" s="58" t="s">
        <v>772</v>
      </c>
      <c r="H12" s="58">
        <v>2210106</v>
      </c>
      <c r="I12" s="58" t="s">
        <v>2752</v>
      </c>
      <c r="J12" s="58"/>
      <c r="K12" s="58"/>
      <c r="L12" s="58" t="s">
        <v>55</v>
      </c>
      <c r="M12" s="58" t="s">
        <v>773</v>
      </c>
      <c r="N12" s="58" t="s">
        <v>770</v>
      </c>
      <c r="O12" s="58" t="s">
        <v>933</v>
      </c>
      <c r="P12" s="58" t="s">
        <v>934</v>
      </c>
      <c r="Q12" s="58"/>
      <c r="R12" s="58"/>
      <c r="S12" s="58" t="s">
        <v>2786</v>
      </c>
      <c r="T12" s="58" t="s">
        <v>930</v>
      </c>
      <c r="U12" s="58"/>
      <c r="V12" s="58"/>
    </row>
    <row r="13" spans="1:49" ht="13.5" customHeight="1" x14ac:dyDescent="0.25">
      <c r="A13" s="58"/>
      <c r="B13" s="58"/>
      <c r="C13" s="58"/>
      <c r="D13" s="58"/>
      <c r="E13" s="58"/>
      <c r="F13" s="58" t="s">
        <v>774</v>
      </c>
      <c r="G13" s="58" t="s">
        <v>775</v>
      </c>
      <c r="H13" s="58">
        <v>2210107</v>
      </c>
      <c r="I13" s="58" t="s">
        <v>2752</v>
      </c>
      <c r="J13" s="58"/>
      <c r="K13" s="58"/>
      <c r="L13" s="58" t="s">
        <v>55</v>
      </c>
      <c r="M13" s="83" t="s">
        <v>1174</v>
      </c>
      <c r="N13" s="58" t="s">
        <v>770</v>
      </c>
      <c r="O13" s="58" t="s">
        <v>933</v>
      </c>
      <c r="P13" s="58" t="s">
        <v>934</v>
      </c>
      <c r="Q13" s="58"/>
      <c r="R13" s="58"/>
      <c r="S13" s="58" t="s">
        <v>2786</v>
      </c>
      <c r="T13" s="58" t="s">
        <v>930</v>
      </c>
      <c r="U13" s="58"/>
      <c r="V13" s="58"/>
    </row>
    <row r="14" spans="1:49" ht="13.5" customHeight="1" x14ac:dyDescent="0.25">
      <c r="A14" s="58"/>
      <c r="B14" s="58"/>
      <c r="C14" s="58"/>
      <c r="D14" s="58"/>
      <c r="E14" s="58"/>
      <c r="F14" s="58" t="s">
        <v>776</v>
      </c>
      <c r="G14" s="58" t="s">
        <v>777</v>
      </c>
      <c r="H14" s="58">
        <v>2210108</v>
      </c>
      <c r="I14" s="58" t="s">
        <v>2752</v>
      </c>
      <c r="J14" s="58"/>
      <c r="K14" s="58"/>
      <c r="L14" s="58" t="s">
        <v>55</v>
      </c>
      <c r="M14" s="58" t="s">
        <v>778</v>
      </c>
      <c r="N14" s="58" t="s">
        <v>770</v>
      </c>
      <c r="O14" s="58" t="s">
        <v>933</v>
      </c>
      <c r="P14" s="58" t="s">
        <v>934</v>
      </c>
      <c r="Q14" s="58"/>
      <c r="R14" s="58"/>
      <c r="S14" s="58" t="s">
        <v>2786</v>
      </c>
      <c r="T14" s="58" t="s">
        <v>930</v>
      </c>
      <c r="U14" s="58"/>
      <c r="V14" s="58"/>
    </row>
    <row r="15" spans="1:49" ht="13.5" customHeight="1" x14ac:dyDescent="0.25">
      <c r="A15" s="58"/>
      <c r="B15" s="58"/>
      <c r="C15" s="58"/>
      <c r="D15" s="58"/>
      <c r="E15" s="58"/>
      <c r="F15" s="58" t="s">
        <v>779</v>
      </c>
      <c r="G15" s="58" t="s">
        <v>780</v>
      </c>
      <c r="H15" s="58">
        <v>2210109</v>
      </c>
      <c r="I15" s="58" t="s">
        <v>2752</v>
      </c>
      <c r="J15" s="58"/>
      <c r="K15" s="58"/>
      <c r="L15" s="58" t="s">
        <v>55</v>
      </c>
      <c r="M15" s="83" t="s">
        <v>2424</v>
      </c>
      <c r="N15" s="58" t="s">
        <v>770</v>
      </c>
      <c r="O15" s="58" t="s">
        <v>933</v>
      </c>
      <c r="P15" s="58" t="s">
        <v>934</v>
      </c>
      <c r="Q15" s="58"/>
      <c r="R15" s="58"/>
      <c r="S15" s="58" t="s">
        <v>2786</v>
      </c>
      <c r="T15" s="58" t="s">
        <v>930</v>
      </c>
      <c r="U15" s="58"/>
      <c r="V15" s="58"/>
    </row>
    <row r="16" spans="1:49" ht="13.5" customHeight="1" x14ac:dyDescent="0.25">
      <c r="A16" s="58"/>
      <c r="B16" s="58"/>
      <c r="C16" s="58"/>
      <c r="D16" s="58"/>
      <c r="E16" s="58"/>
      <c r="F16" s="58" t="s">
        <v>781</v>
      </c>
      <c r="G16" s="58" t="s">
        <v>782</v>
      </c>
      <c r="H16" s="58">
        <v>2210110</v>
      </c>
      <c r="I16" s="58" t="s">
        <v>2752</v>
      </c>
      <c r="J16" s="58"/>
      <c r="K16" s="58"/>
      <c r="L16" s="58" t="s">
        <v>783</v>
      </c>
      <c r="M16" s="83" t="s">
        <v>2425</v>
      </c>
      <c r="N16" s="83" t="s">
        <v>2426</v>
      </c>
      <c r="O16" s="58" t="s">
        <v>933</v>
      </c>
      <c r="P16" s="58" t="s">
        <v>934</v>
      </c>
      <c r="Q16" s="58"/>
      <c r="R16" s="58"/>
      <c r="S16" s="58" t="s">
        <v>2786</v>
      </c>
      <c r="T16" s="58" t="s">
        <v>930</v>
      </c>
      <c r="U16" s="58"/>
      <c r="V16" s="58"/>
    </row>
    <row r="17" spans="1:22" s="46" customFormat="1" ht="13.5" customHeight="1" x14ac:dyDescent="0.25">
      <c r="A17" s="58"/>
      <c r="B17" s="58"/>
      <c r="C17" s="58"/>
      <c r="D17" s="58"/>
      <c r="E17" s="58"/>
      <c r="F17" s="58" t="s">
        <v>2427</v>
      </c>
      <c r="G17" s="58" t="s">
        <v>2428</v>
      </c>
      <c r="H17" s="58">
        <v>2210111</v>
      </c>
      <c r="I17" s="58" t="s">
        <v>2752</v>
      </c>
      <c r="J17" s="58"/>
      <c r="K17" s="58"/>
      <c r="L17" s="58" t="s">
        <v>783</v>
      </c>
      <c r="M17" s="83" t="s">
        <v>2430</v>
      </c>
      <c r="N17" s="83" t="s">
        <v>2429</v>
      </c>
      <c r="O17" s="58" t="s">
        <v>933</v>
      </c>
      <c r="P17" s="58" t="s">
        <v>934</v>
      </c>
      <c r="Q17" s="58"/>
      <c r="R17" s="58"/>
      <c r="S17" s="58" t="s">
        <v>2786</v>
      </c>
      <c r="T17" s="58" t="s">
        <v>930</v>
      </c>
      <c r="U17" s="58"/>
      <c r="V17" s="58"/>
    </row>
    <row r="18" spans="1:22" ht="13.5" customHeight="1" x14ac:dyDescent="0.25">
      <c r="A18" s="58"/>
      <c r="B18" s="58"/>
      <c r="C18" s="58"/>
      <c r="D18" s="58"/>
      <c r="E18" s="58"/>
      <c r="F18" s="58" t="s">
        <v>359</v>
      </c>
      <c r="G18" s="58" t="s">
        <v>784</v>
      </c>
      <c r="H18" s="58">
        <v>2210112</v>
      </c>
      <c r="I18" s="58" t="s">
        <v>2752</v>
      </c>
      <c r="J18" s="58"/>
      <c r="K18" s="58"/>
      <c r="L18" s="58" t="s">
        <v>783</v>
      </c>
      <c r="M18" s="58" t="s">
        <v>785</v>
      </c>
      <c r="N18" s="58" t="s">
        <v>931</v>
      </c>
      <c r="O18" s="58" t="s">
        <v>933</v>
      </c>
      <c r="P18" s="58" t="s">
        <v>934</v>
      </c>
      <c r="Q18" s="58"/>
      <c r="R18" s="58"/>
      <c r="S18" s="58" t="s">
        <v>2786</v>
      </c>
      <c r="T18" s="58" t="s">
        <v>930</v>
      </c>
      <c r="U18" s="58"/>
      <c r="V18" s="58"/>
    </row>
    <row r="19" spans="1:22" ht="13.5" customHeight="1" x14ac:dyDescent="0.25">
      <c r="A19" s="58"/>
      <c r="B19" s="58"/>
      <c r="C19" s="58"/>
      <c r="D19" s="58"/>
      <c r="E19" s="58"/>
      <c r="F19" s="58" t="s">
        <v>790</v>
      </c>
      <c r="G19" s="58" t="s">
        <v>791</v>
      </c>
      <c r="H19" s="58">
        <v>2210114</v>
      </c>
      <c r="I19" s="58" t="s">
        <v>2752</v>
      </c>
      <c r="J19" s="58"/>
      <c r="K19" s="58"/>
      <c r="L19" s="58" t="s">
        <v>55</v>
      </c>
      <c r="M19" s="58" t="s">
        <v>792</v>
      </c>
      <c r="N19" s="58" t="s">
        <v>83</v>
      </c>
      <c r="O19" s="58" t="s">
        <v>933</v>
      </c>
      <c r="P19" s="58" t="s">
        <v>934</v>
      </c>
      <c r="Q19" s="58"/>
      <c r="R19" s="58"/>
      <c r="S19" s="58" t="s">
        <v>2786</v>
      </c>
      <c r="T19" s="58" t="s">
        <v>932</v>
      </c>
      <c r="U19" s="58"/>
      <c r="V19" s="58"/>
    </row>
    <row r="20" spans="1:22" ht="13.5" customHeight="1" x14ac:dyDescent="0.25">
      <c r="A20" s="58"/>
      <c r="B20" s="58"/>
      <c r="C20" s="58"/>
      <c r="D20" s="58"/>
      <c r="E20" s="58"/>
      <c r="F20" s="58" t="s">
        <v>793</v>
      </c>
      <c r="G20" s="58" t="s">
        <v>794</v>
      </c>
      <c r="H20" s="58">
        <v>2210115</v>
      </c>
      <c r="I20" s="58" t="s">
        <v>2752</v>
      </c>
      <c r="J20" s="58"/>
      <c r="K20" s="58"/>
      <c r="L20" s="58" t="s">
        <v>55</v>
      </c>
      <c r="M20" s="58" t="s">
        <v>795</v>
      </c>
      <c r="N20" s="83" t="s">
        <v>2068</v>
      </c>
      <c r="O20" s="58" t="s">
        <v>933</v>
      </c>
      <c r="P20" s="58" t="s">
        <v>934</v>
      </c>
      <c r="Q20" s="58"/>
      <c r="R20" s="58"/>
      <c r="S20" s="58" t="s">
        <v>2786</v>
      </c>
      <c r="T20" s="58" t="s">
        <v>930</v>
      </c>
      <c r="U20" s="58"/>
      <c r="V20" s="58"/>
    </row>
    <row r="21" spans="1:22" ht="13.5" customHeight="1" x14ac:dyDescent="0.25">
      <c r="A21" s="58"/>
      <c r="B21" s="58"/>
      <c r="C21" s="58"/>
      <c r="D21" s="58"/>
      <c r="E21" s="58"/>
      <c r="F21" s="58" t="s">
        <v>2066</v>
      </c>
      <c r="G21" s="58" t="s">
        <v>796</v>
      </c>
      <c r="H21" s="58">
        <v>2210116</v>
      </c>
      <c r="I21" s="58" t="s">
        <v>2752</v>
      </c>
      <c r="J21" s="58"/>
      <c r="K21" s="58"/>
      <c r="L21" s="58" t="s">
        <v>55</v>
      </c>
      <c r="M21" s="83" t="s">
        <v>2069</v>
      </c>
      <c r="N21" s="83" t="s">
        <v>2067</v>
      </c>
      <c r="O21" s="58" t="s">
        <v>933</v>
      </c>
      <c r="P21" s="58" t="s">
        <v>934</v>
      </c>
      <c r="Q21" s="58"/>
      <c r="R21" s="58"/>
      <c r="S21" s="58" t="s">
        <v>2786</v>
      </c>
      <c r="T21" s="58" t="s">
        <v>930</v>
      </c>
      <c r="U21" s="58"/>
      <c r="V21" s="58"/>
    </row>
    <row r="22" spans="1:22" ht="13.5" customHeight="1" x14ac:dyDescent="0.25">
      <c r="A22" s="58"/>
      <c r="B22" s="58"/>
      <c r="C22" s="58"/>
      <c r="D22" s="58"/>
      <c r="E22" s="58" t="s">
        <v>187</v>
      </c>
      <c r="F22" s="58"/>
      <c r="G22" s="58"/>
      <c r="H22" s="58"/>
      <c r="I22" s="58"/>
      <c r="J22" s="58"/>
      <c r="K22" s="58"/>
      <c r="L22" s="58"/>
      <c r="M22" s="58"/>
      <c r="N22" s="58"/>
      <c r="O22" s="58"/>
      <c r="P22" s="58"/>
      <c r="Q22" s="58"/>
      <c r="R22" s="58"/>
      <c r="S22" s="58"/>
      <c r="T22" s="58"/>
      <c r="U22" s="58"/>
      <c r="V22" s="58"/>
    </row>
    <row r="23" spans="1:22" ht="13.5" customHeight="1" x14ac:dyDescent="0.25">
      <c r="A23" s="58"/>
      <c r="B23" s="58"/>
      <c r="C23" s="58"/>
      <c r="D23" s="58"/>
      <c r="E23" s="58"/>
      <c r="F23" s="58" t="s">
        <v>1081</v>
      </c>
      <c r="G23" s="58" t="s">
        <v>797</v>
      </c>
      <c r="H23" s="58">
        <v>2210201</v>
      </c>
      <c r="I23" s="58" t="s">
        <v>2752</v>
      </c>
      <c r="J23" s="58"/>
      <c r="K23" s="58"/>
      <c r="L23" s="58" t="s">
        <v>55</v>
      </c>
      <c r="M23" s="83" t="s">
        <v>2411</v>
      </c>
      <c r="N23" s="58" t="s">
        <v>798</v>
      </c>
      <c r="O23" s="58" t="s">
        <v>933</v>
      </c>
      <c r="P23" s="58" t="s">
        <v>934</v>
      </c>
      <c r="Q23" s="58"/>
      <c r="R23" s="58"/>
      <c r="S23" s="58" t="s">
        <v>2786</v>
      </c>
      <c r="T23" s="58" t="s">
        <v>930</v>
      </c>
      <c r="U23" s="58"/>
      <c r="V23" s="58"/>
    </row>
    <row r="24" spans="1:22" ht="13.5" customHeight="1" x14ac:dyDescent="0.25">
      <c r="A24" s="58"/>
      <c r="B24" s="58"/>
      <c r="C24" s="58"/>
      <c r="D24" s="58"/>
      <c r="E24" s="58"/>
      <c r="F24" s="58" t="s">
        <v>799</v>
      </c>
      <c r="G24" s="58" t="s">
        <v>800</v>
      </c>
      <c r="H24" s="58">
        <v>2210202</v>
      </c>
      <c r="I24" s="58" t="s">
        <v>2752</v>
      </c>
      <c r="J24" s="58"/>
      <c r="K24" s="58"/>
      <c r="L24" s="58" t="s">
        <v>55</v>
      </c>
      <c r="M24" s="58" t="s">
        <v>801</v>
      </c>
      <c r="N24" s="58" t="s">
        <v>798</v>
      </c>
      <c r="O24" s="58" t="s">
        <v>933</v>
      </c>
      <c r="P24" s="58" t="s">
        <v>934</v>
      </c>
      <c r="Q24" s="58"/>
      <c r="R24" s="58"/>
      <c r="S24" s="58" t="s">
        <v>2786</v>
      </c>
      <c r="T24" s="58" t="s">
        <v>930</v>
      </c>
      <c r="U24" s="58"/>
      <c r="V24" s="58"/>
    </row>
    <row r="25" spans="1:22" ht="13.5" customHeight="1" x14ac:dyDescent="0.25">
      <c r="A25" s="58"/>
      <c r="B25" s="58"/>
      <c r="C25" s="58"/>
      <c r="D25" s="58"/>
      <c r="E25" s="58"/>
      <c r="F25" s="58" t="s">
        <v>802</v>
      </c>
      <c r="G25" s="58" t="s">
        <v>803</v>
      </c>
      <c r="H25" s="58">
        <v>2210203</v>
      </c>
      <c r="I25" s="58" t="s">
        <v>2752</v>
      </c>
      <c r="J25" s="58"/>
      <c r="K25" s="58"/>
      <c r="L25" s="58" t="s">
        <v>55</v>
      </c>
      <c r="M25" s="58" t="s">
        <v>804</v>
      </c>
      <c r="N25" s="58" t="s">
        <v>798</v>
      </c>
      <c r="O25" s="58" t="s">
        <v>933</v>
      </c>
      <c r="P25" s="58" t="s">
        <v>934</v>
      </c>
      <c r="Q25" s="58"/>
      <c r="R25" s="58"/>
      <c r="S25" s="58" t="s">
        <v>2786</v>
      </c>
      <c r="T25" s="58" t="s">
        <v>930</v>
      </c>
      <c r="U25" s="58"/>
      <c r="V25" s="58"/>
    </row>
    <row r="26" spans="1:22" ht="13.5" customHeight="1" x14ac:dyDescent="0.25">
      <c r="A26" s="58"/>
      <c r="B26" s="58"/>
      <c r="C26" s="58"/>
      <c r="D26" s="58"/>
      <c r="E26" s="58"/>
      <c r="F26" s="58" t="s">
        <v>805</v>
      </c>
      <c r="G26" s="58" t="s">
        <v>806</v>
      </c>
      <c r="H26" s="58">
        <v>2210204</v>
      </c>
      <c r="I26" s="58" t="s">
        <v>2752</v>
      </c>
      <c r="J26" s="58"/>
      <c r="K26" s="58"/>
      <c r="L26" s="58" t="s">
        <v>55</v>
      </c>
      <c r="M26" s="83" t="s">
        <v>2747</v>
      </c>
      <c r="N26" s="58" t="s">
        <v>798</v>
      </c>
      <c r="O26" s="58" t="s">
        <v>933</v>
      </c>
      <c r="P26" s="58" t="s">
        <v>934</v>
      </c>
      <c r="Q26" s="58"/>
      <c r="R26" s="58"/>
      <c r="S26" s="58" t="s">
        <v>2786</v>
      </c>
      <c r="T26" s="58" t="s">
        <v>930</v>
      </c>
      <c r="U26" s="58"/>
      <c r="V26" s="58"/>
    </row>
    <row r="27" spans="1:22" ht="13.5" customHeight="1" x14ac:dyDescent="0.25">
      <c r="A27" s="58"/>
      <c r="B27" s="58"/>
      <c r="C27" s="58"/>
      <c r="D27" s="58"/>
      <c r="E27" s="58"/>
      <c r="F27" s="58" t="s">
        <v>807</v>
      </c>
      <c r="G27" s="58" t="s">
        <v>808</v>
      </c>
      <c r="H27" s="58">
        <v>2210205</v>
      </c>
      <c r="I27" s="58" t="s">
        <v>2752</v>
      </c>
      <c r="J27" s="58"/>
      <c r="K27" s="58"/>
      <c r="L27" s="58" t="s">
        <v>55</v>
      </c>
      <c r="M27" s="83" t="s">
        <v>978</v>
      </c>
      <c r="N27" s="58" t="s">
        <v>798</v>
      </c>
      <c r="O27" s="58" t="s">
        <v>933</v>
      </c>
      <c r="P27" s="58" t="s">
        <v>934</v>
      </c>
      <c r="Q27" s="58"/>
      <c r="R27" s="58"/>
      <c r="S27" s="58" t="s">
        <v>2786</v>
      </c>
      <c r="T27" s="58" t="s">
        <v>930</v>
      </c>
      <c r="U27" s="58"/>
      <c r="V27" s="58"/>
    </row>
    <row r="28" spans="1:22" ht="13.5" customHeight="1" x14ac:dyDescent="0.25">
      <c r="A28" s="58"/>
      <c r="B28" s="58"/>
      <c r="C28" s="58"/>
      <c r="D28" s="58"/>
      <c r="E28" s="58"/>
      <c r="F28" s="58" t="s">
        <v>809</v>
      </c>
      <c r="G28" s="58" t="s">
        <v>810</v>
      </c>
      <c r="H28" s="58">
        <v>2210206</v>
      </c>
      <c r="I28" s="58" t="s">
        <v>2752</v>
      </c>
      <c r="J28" s="58"/>
      <c r="K28" s="58"/>
      <c r="L28" s="58" t="s">
        <v>55</v>
      </c>
      <c r="M28" s="83" t="s">
        <v>2751</v>
      </c>
      <c r="N28" s="58" t="s">
        <v>798</v>
      </c>
      <c r="O28" s="58" t="s">
        <v>933</v>
      </c>
      <c r="P28" s="58" t="s">
        <v>934</v>
      </c>
      <c r="Q28" s="58"/>
      <c r="R28" s="58"/>
      <c r="S28" s="58" t="s">
        <v>2786</v>
      </c>
      <c r="T28" s="58" t="s">
        <v>930</v>
      </c>
      <c r="U28" s="58"/>
      <c r="V28" s="58"/>
    </row>
    <row r="29" spans="1:22" ht="13.5" customHeight="1" x14ac:dyDescent="0.25">
      <c r="A29" s="58"/>
      <c r="B29" s="58"/>
      <c r="C29" s="58"/>
      <c r="D29" s="58"/>
      <c r="E29" s="58"/>
      <c r="F29" s="58" t="s">
        <v>811</v>
      </c>
      <c r="G29" s="58" t="s">
        <v>812</v>
      </c>
      <c r="H29" s="58">
        <v>2210207</v>
      </c>
      <c r="I29" s="58" t="s">
        <v>2752</v>
      </c>
      <c r="J29" s="58"/>
      <c r="K29" s="58"/>
      <c r="L29" s="58" t="s">
        <v>55</v>
      </c>
      <c r="M29" s="58" t="s">
        <v>813</v>
      </c>
      <c r="N29" s="58" t="s">
        <v>798</v>
      </c>
      <c r="O29" s="58" t="s">
        <v>933</v>
      </c>
      <c r="P29" s="58" t="s">
        <v>934</v>
      </c>
      <c r="Q29" s="58"/>
      <c r="R29" s="58"/>
      <c r="S29" s="58" t="s">
        <v>2786</v>
      </c>
      <c r="T29" s="58" t="s">
        <v>930</v>
      </c>
      <c r="U29" s="58"/>
      <c r="V29" s="58"/>
    </row>
    <row r="30" spans="1:22" ht="13.5" customHeight="1" x14ac:dyDescent="0.25">
      <c r="A30" s="58"/>
      <c r="B30" s="58"/>
      <c r="C30" s="58"/>
      <c r="D30" s="58"/>
      <c r="E30" s="58"/>
      <c r="F30" s="58" t="s">
        <v>814</v>
      </c>
      <c r="G30" s="58" t="s">
        <v>815</v>
      </c>
      <c r="H30" s="58">
        <v>2210208</v>
      </c>
      <c r="I30" s="58" t="s">
        <v>2752</v>
      </c>
      <c r="J30" s="58"/>
      <c r="K30" s="58"/>
      <c r="L30" s="58" t="s">
        <v>55</v>
      </c>
      <c r="M30" s="58" t="s">
        <v>816</v>
      </c>
      <c r="N30" s="58" t="s">
        <v>798</v>
      </c>
      <c r="O30" s="58" t="s">
        <v>933</v>
      </c>
      <c r="P30" s="58" t="s">
        <v>934</v>
      </c>
      <c r="Q30" s="58"/>
      <c r="R30" s="58"/>
      <c r="S30" s="58" t="s">
        <v>2786</v>
      </c>
      <c r="T30" s="58" t="s">
        <v>930</v>
      </c>
      <c r="U30" s="58"/>
      <c r="V30" s="58"/>
    </row>
    <row r="31" spans="1:22" ht="13.5" customHeight="1" x14ac:dyDescent="0.25">
      <c r="A31" s="58"/>
      <c r="B31" s="58"/>
      <c r="C31" s="58"/>
      <c r="D31" s="58"/>
      <c r="E31" s="58"/>
      <c r="F31" s="58" t="s">
        <v>817</v>
      </c>
      <c r="G31" s="58" t="s">
        <v>818</v>
      </c>
      <c r="H31" s="58">
        <v>2210209</v>
      </c>
      <c r="I31" s="58" t="s">
        <v>2752</v>
      </c>
      <c r="J31" s="58"/>
      <c r="K31" s="58"/>
      <c r="L31" s="58" t="s">
        <v>55</v>
      </c>
      <c r="M31" s="58" t="s">
        <v>819</v>
      </c>
      <c r="N31" s="58" t="s">
        <v>798</v>
      </c>
      <c r="O31" s="58" t="s">
        <v>933</v>
      </c>
      <c r="P31" s="58" t="s">
        <v>934</v>
      </c>
      <c r="Q31" s="58"/>
      <c r="R31" s="58"/>
      <c r="S31" s="58" t="s">
        <v>2786</v>
      </c>
      <c r="T31" s="58" t="s">
        <v>930</v>
      </c>
      <c r="U31" s="58"/>
      <c r="V31" s="58"/>
    </row>
    <row r="32" spans="1:22" ht="13.5" customHeight="1" x14ac:dyDescent="0.25">
      <c r="A32" s="58"/>
      <c r="B32" s="58"/>
      <c r="C32" s="58"/>
      <c r="D32" s="58"/>
      <c r="E32" s="58"/>
      <c r="F32" s="58" t="s">
        <v>820</v>
      </c>
      <c r="G32" s="58" t="s">
        <v>821</v>
      </c>
      <c r="H32" s="58">
        <v>2210210</v>
      </c>
      <c r="I32" s="58" t="s">
        <v>2752</v>
      </c>
      <c r="J32" s="58"/>
      <c r="K32" s="58"/>
      <c r="L32" s="58" t="s">
        <v>55</v>
      </c>
      <c r="M32" s="58" t="s">
        <v>822</v>
      </c>
      <c r="N32" s="58" t="s">
        <v>798</v>
      </c>
      <c r="O32" s="58" t="s">
        <v>933</v>
      </c>
      <c r="P32" s="58" t="s">
        <v>934</v>
      </c>
      <c r="Q32" s="58"/>
      <c r="R32" s="58"/>
      <c r="S32" s="58" t="s">
        <v>2786</v>
      </c>
      <c r="T32" s="58" t="s">
        <v>930</v>
      </c>
      <c r="U32" s="58"/>
      <c r="V32" s="58"/>
    </row>
    <row r="33" spans="1:22" ht="13.5" customHeight="1" x14ac:dyDescent="0.25">
      <c r="A33" s="58"/>
      <c r="B33" s="58"/>
      <c r="C33" s="58"/>
      <c r="D33" s="58"/>
      <c r="E33" s="58"/>
      <c r="F33" s="58" t="s">
        <v>823</v>
      </c>
      <c r="G33" s="58" t="s">
        <v>824</v>
      </c>
      <c r="H33" s="58">
        <v>2210211</v>
      </c>
      <c r="I33" s="58" t="s">
        <v>2752</v>
      </c>
      <c r="J33" s="58"/>
      <c r="K33" s="58"/>
      <c r="L33" s="58" t="s">
        <v>55</v>
      </c>
      <c r="M33" s="58" t="s">
        <v>825</v>
      </c>
      <c r="N33" s="58" t="s">
        <v>798</v>
      </c>
      <c r="O33" s="58" t="s">
        <v>933</v>
      </c>
      <c r="P33" s="58" t="s">
        <v>934</v>
      </c>
      <c r="Q33" s="58"/>
      <c r="R33" s="58"/>
      <c r="S33" s="58" t="s">
        <v>2786</v>
      </c>
      <c r="T33" s="58" t="s">
        <v>930</v>
      </c>
      <c r="U33" s="58"/>
      <c r="V33" s="58"/>
    </row>
    <row r="34" spans="1:22" ht="13.5" customHeight="1" x14ac:dyDescent="0.25">
      <c r="A34" s="58"/>
      <c r="B34" s="58"/>
      <c r="C34" s="58"/>
      <c r="D34" s="58"/>
      <c r="E34" s="58"/>
      <c r="F34" s="58" t="s">
        <v>826</v>
      </c>
      <c r="G34" s="58" t="s">
        <v>827</v>
      </c>
      <c r="H34" s="58">
        <v>2210212</v>
      </c>
      <c r="I34" s="58" t="s">
        <v>2752</v>
      </c>
      <c r="J34" s="58"/>
      <c r="K34" s="58"/>
      <c r="L34" s="58" t="s">
        <v>55</v>
      </c>
      <c r="M34" s="58" t="s">
        <v>828</v>
      </c>
      <c r="N34" s="58" t="s">
        <v>798</v>
      </c>
      <c r="O34" s="58" t="s">
        <v>933</v>
      </c>
      <c r="P34" s="58" t="s">
        <v>934</v>
      </c>
      <c r="Q34" s="58"/>
      <c r="R34" s="58"/>
      <c r="S34" s="58" t="s">
        <v>2786</v>
      </c>
      <c r="T34" s="58" t="s">
        <v>930</v>
      </c>
      <c r="U34" s="58"/>
      <c r="V34" s="58"/>
    </row>
    <row r="35" spans="1:22" ht="13.5" customHeight="1" x14ac:dyDescent="0.25">
      <c r="A35" s="58"/>
      <c r="B35" s="58"/>
      <c r="C35" s="58"/>
      <c r="D35" s="58"/>
      <c r="E35" s="58"/>
      <c r="F35" s="58" t="s">
        <v>829</v>
      </c>
      <c r="G35" s="58" t="s">
        <v>830</v>
      </c>
      <c r="H35" s="58">
        <v>2210213</v>
      </c>
      <c r="I35" s="58" t="s">
        <v>2752</v>
      </c>
      <c r="J35" s="58"/>
      <c r="K35" s="58"/>
      <c r="L35" s="58" t="s">
        <v>55</v>
      </c>
      <c r="M35" s="58" t="s">
        <v>831</v>
      </c>
      <c r="N35" s="58" t="s">
        <v>798</v>
      </c>
      <c r="O35" s="58" t="s">
        <v>933</v>
      </c>
      <c r="P35" s="58" t="s">
        <v>934</v>
      </c>
      <c r="Q35" s="58"/>
      <c r="R35" s="58"/>
      <c r="S35" s="58" t="s">
        <v>2786</v>
      </c>
      <c r="T35" s="58" t="s">
        <v>930</v>
      </c>
      <c r="U35" s="58"/>
      <c r="V35" s="58"/>
    </row>
    <row r="36" spans="1:22" ht="13.5" customHeight="1" x14ac:dyDescent="0.25">
      <c r="A36" s="58"/>
      <c r="B36" s="58"/>
      <c r="C36" s="58"/>
      <c r="D36" s="58"/>
      <c r="E36" s="58"/>
      <c r="F36" s="58" t="s">
        <v>832</v>
      </c>
      <c r="G36" s="58" t="s">
        <v>833</v>
      </c>
      <c r="H36" s="58">
        <v>2210214</v>
      </c>
      <c r="I36" s="58" t="s">
        <v>2752</v>
      </c>
      <c r="J36" s="58"/>
      <c r="K36" s="58"/>
      <c r="L36" s="58" t="s">
        <v>55</v>
      </c>
      <c r="M36" s="58" t="s">
        <v>834</v>
      </c>
      <c r="N36" s="58" t="s">
        <v>798</v>
      </c>
      <c r="O36" s="58" t="s">
        <v>933</v>
      </c>
      <c r="P36" s="58" t="s">
        <v>934</v>
      </c>
      <c r="Q36" s="58"/>
      <c r="R36" s="58"/>
      <c r="S36" s="58" t="s">
        <v>2786</v>
      </c>
      <c r="T36" s="58" t="s">
        <v>930</v>
      </c>
      <c r="U36" s="58"/>
      <c r="V36" s="58"/>
    </row>
    <row r="37" spans="1:22" ht="13.5" customHeight="1" x14ac:dyDescent="0.25">
      <c r="A37" s="58"/>
      <c r="B37" s="58"/>
      <c r="C37" s="58"/>
      <c r="D37" s="58"/>
      <c r="E37" s="58"/>
      <c r="F37" s="58" t="s">
        <v>835</v>
      </c>
      <c r="G37" s="58" t="s">
        <v>836</v>
      </c>
      <c r="H37" s="58">
        <v>2210215</v>
      </c>
      <c r="I37" s="58" t="s">
        <v>2752</v>
      </c>
      <c r="J37" s="58"/>
      <c r="K37" s="58"/>
      <c r="L37" s="58" t="s">
        <v>55</v>
      </c>
      <c r="M37" s="58" t="s">
        <v>837</v>
      </c>
      <c r="N37" s="58" t="s">
        <v>798</v>
      </c>
      <c r="O37" s="58" t="s">
        <v>933</v>
      </c>
      <c r="P37" s="58" t="s">
        <v>934</v>
      </c>
      <c r="Q37" s="58"/>
      <c r="R37" s="58"/>
      <c r="S37" s="58" t="s">
        <v>2786</v>
      </c>
      <c r="T37" s="58" t="s">
        <v>930</v>
      </c>
      <c r="U37" s="58"/>
      <c r="V37" s="58"/>
    </row>
    <row r="38" spans="1:22" ht="13.5" customHeight="1" x14ac:dyDescent="0.25">
      <c r="A38" s="58"/>
      <c r="B38" s="58"/>
      <c r="C38" s="58"/>
      <c r="D38" s="58"/>
      <c r="E38" s="58"/>
      <c r="F38" s="58" t="s">
        <v>838</v>
      </c>
      <c r="G38" s="58" t="s">
        <v>839</v>
      </c>
      <c r="H38" s="58">
        <v>2210216</v>
      </c>
      <c r="I38" s="58" t="s">
        <v>2752</v>
      </c>
      <c r="J38" s="58"/>
      <c r="K38" s="58"/>
      <c r="L38" s="58" t="s">
        <v>55</v>
      </c>
      <c r="M38" s="58" t="s">
        <v>840</v>
      </c>
      <c r="N38" s="58" t="s">
        <v>798</v>
      </c>
      <c r="O38" s="58" t="s">
        <v>933</v>
      </c>
      <c r="P38" s="58" t="s">
        <v>934</v>
      </c>
      <c r="Q38" s="58"/>
      <c r="R38" s="58"/>
      <c r="S38" s="58" t="s">
        <v>2786</v>
      </c>
      <c r="T38" s="58" t="s">
        <v>930</v>
      </c>
      <c r="U38" s="58"/>
      <c r="V38" s="58"/>
    </row>
    <row r="39" spans="1:22" ht="13.5" customHeight="1" x14ac:dyDescent="0.25">
      <c r="A39" s="58"/>
      <c r="B39" s="58"/>
      <c r="C39" s="58"/>
      <c r="D39" s="58"/>
      <c r="E39" s="58"/>
      <c r="F39" s="58" t="s">
        <v>841</v>
      </c>
      <c r="G39" s="58" t="s">
        <v>842</v>
      </c>
      <c r="H39" s="58">
        <v>2210217</v>
      </c>
      <c r="I39" s="58" t="s">
        <v>2752</v>
      </c>
      <c r="J39" s="58"/>
      <c r="K39" s="58"/>
      <c r="L39" s="58" t="s">
        <v>55</v>
      </c>
      <c r="M39" s="58" t="s">
        <v>843</v>
      </c>
      <c r="N39" s="58" t="s">
        <v>798</v>
      </c>
      <c r="O39" s="58" t="s">
        <v>933</v>
      </c>
      <c r="P39" s="58" t="s">
        <v>934</v>
      </c>
      <c r="Q39" s="58"/>
      <c r="R39" s="58"/>
      <c r="S39" s="58" t="s">
        <v>2786</v>
      </c>
      <c r="T39" s="58" t="s">
        <v>930</v>
      </c>
      <c r="U39" s="58"/>
      <c r="V39" s="58"/>
    </row>
    <row r="40" spans="1:22" ht="13.5" customHeight="1" x14ac:dyDescent="0.25">
      <c r="A40" s="58"/>
      <c r="B40" s="58"/>
      <c r="C40" s="58"/>
      <c r="D40" s="58"/>
      <c r="E40" s="58"/>
      <c r="F40" s="58" t="s">
        <v>844</v>
      </c>
      <c r="G40" s="58" t="s">
        <v>845</v>
      </c>
      <c r="H40" s="58">
        <v>2210218</v>
      </c>
      <c r="I40" s="58" t="s">
        <v>2752</v>
      </c>
      <c r="J40" s="58"/>
      <c r="K40" s="58"/>
      <c r="L40" s="58" t="s">
        <v>55</v>
      </c>
      <c r="M40" s="58" t="s">
        <v>846</v>
      </c>
      <c r="N40" s="58" t="s">
        <v>798</v>
      </c>
      <c r="O40" s="58" t="s">
        <v>933</v>
      </c>
      <c r="P40" s="58" t="s">
        <v>934</v>
      </c>
      <c r="Q40" s="58"/>
      <c r="R40" s="58"/>
      <c r="S40" s="58" t="s">
        <v>2786</v>
      </c>
      <c r="T40" s="58" t="s">
        <v>930</v>
      </c>
      <c r="U40" s="58"/>
      <c r="V40" s="58"/>
    </row>
    <row r="41" spans="1:22" ht="13.5" customHeight="1" x14ac:dyDescent="0.25">
      <c r="A41" s="58"/>
      <c r="B41" s="58"/>
      <c r="C41" s="58"/>
      <c r="D41" s="58"/>
      <c r="E41" s="58"/>
      <c r="F41" s="58" t="s">
        <v>847</v>
      </c>
      <c r="G41" s="58" t="s">
        <v>848</v>
      </c>
      <c r="H41" s="58">
        <v>2210219</v>
      </c>
      <c r="I41" s="58" t="s">
        <v>2752</v>
      </c>
      <c r="J41" s="58"/>
      <c r="K41" s="58"/>
      <c r="L41" s="58" t="s">
        <v>55</v>
      </c>
      <c r="M41" s="58" t="s">
        <v>849</v>
      </c>
      <c r="N41" s="58" t="s">
        <v>798</v>
      </c>
      <c r="O41" s="58" t="s">
        <v>933</v>
      </c>
      <c r="P41" s="58" t="s">
        <v>934</v>
      </c>
      <c r="Q41" s="58"/>
      <c r="R41" s="58"/>
      <c r="S41" s="58" t="s">
        <v>2786</v>
      </c>
      <c r="T41" s="58" t="s">
        <v>930</v>
      </c>
      <c r="U41" s="58"/>
      <c r="V41" s="58"/>
    </row>
    <row r="42" spans="1:22" ht="13.5" customHeight="1" x14ac:dyDescent="0.25">
      <c r="A42" s="58"/>
      <c r="B42" s="58"/>
      <c r="C42" s="58"/>
      <c r="D42" s="58"/>
      <c r="E42" s="58"/>
      <c r="F42" s="58" t="s">
        <v>1083</v>
      </c>
      <c r="G42" s="58" t="s">
        <v>850</v>
      </c>
      <c r="H42" s="58">
        <v>2210220</v>
      </c>
      <c r="I42" s="58" t="s">
        <v>2752</v>
      </c>
      <c r="J42" s="58"/>
      <c r="K42" s="58"/>
      <c r="L42" s="58" t="s">
        <v>55</v>
      </c>
      <c r="M42" s="83" t="s">
        <v>2063</v>
      </c>
      <c r="N42" s="58" t="s">
        <v>798</v>
      </c>
      <c r="O42" s="58" t="s">
        <v>933</v>
      </c>
      <c r="P42" s="58" t="s">
        <v>934</v>
      </c>
      <c r="Q42" s="58"/>
      <c r="R42" s="58"/>
      <c r="S42" s="58" t="s">
        <v>2786</v>
      </c>
      <c r="T42" s="58" t="s">
        <v>930</v>
      </c>
      <c r="U42" s="58"/>
      <c r="V42" s="58"/>
    </row>
    <row r="43" spans="1:22" ht="13.5" customHeight="1" x14ac:dyDescent="0.25">
      <c r="A43" s="58"/>
      <c r="B43" s="58"/>
      <c r="C43" s="58"/>
      <c r="D43" s="58"/>
      <c r="E43" s="58"/>
      <c r="F43" s="58" t="s">
        <v>1084</v>
      </c>
      <c r="G43" s="58" t="s">
        <v>851</v>
      </c>
      <c r="H43" s="58">
        <v>2210221</v>
      </c>
      <c r="I43" s="58" t="s">
        <v>2752</v>
      </c>
      <c r="J43" s="58"/>
      <c r="K43" s="58"/>
      <c r="L43" s="58" t="s">
        <v>55</v>
      </c>
      <c r="M43" s="83" t="s">
        <v>1102</v>
      </c>
      <c r="N43" s="58" t="s">
        <v>798</v>
      </c>
      <c r="O43" s="58" t="s">
        <v>933</v>
      </c>
      <c r="P43" s="58" t="s">
        <v>934</v>
      </c>
      <c r="Q43" s="58"/>
      <c r="R43" s="58"/>
      <c r="S43" s="58" t="s">
        <v>2786</v>
      </c>
      <c r="T43" s="58" t="s">
        <v>930</v>
      </c>
      <c r="U43" s="58"/>
      <c r="V43" s="58"/>
    </row>
    <row r="44" spans="1:22" ht="13.5" customHeight="1" x14ac:dyDescent="0.25">
      <c r="A44" s="58"/>
      <c r="B44" s="58"/>
      <c r="C44" s="58"/>
      <c r="D44" s="58"/>
      <c r="E44" s="58"/>
      <c r="F44" s="58" t="s">
        <v>1085</v>
      </c>
      <c r="G44" s="58" t="s">
        <v>852</v>
      </c>
      <c r="H44" s="58">
        <v>2210222</v>
      </c>
      <c r="I44" s="58" t="s">
        <v>2752</v>
      </c>
      <c r="J44" s="58"/>
      <c r="K44" s="58"/>
      <c r="L44" s="58" t="s">
        <v>55</v>
      </c>
      <c r="M44" s="83" t="s">
        <v>1103</v>
      </c>
      <c r="N44" s="58" t="s">
        <v>798</v>
      </c>
      <c r="O44" s="58" t="s">
        <v>933</v>
      </c>
      <c r="P44" s="58" t="s">
        <v>934</v>
      </c>
      <c r="Q44" s="58"/>
      <c r="R44" s="58"/>
      <c r="S44" s="58" t="s">
        <v>2786</v>
      </c>
      <c r="T44" s="58" t="s">
        <v>930</v>
      </c>
      <c r="U44" s="58"/>
      <c r="V44" s="58"/>
    </row>
    <row r="45" spans="1:22" ht="13.5" customHeight="1" x14ac:dyDescent="0.25">
      <c r="A45" s="58"/>
      <c r="B45" s="58"/>
      <c r="C45" s="58"/>
      <c r="D45" s="58"/>
      <c r="E45" s="58"/>
      <c r="F45" s="58" t="s">
        <v>1086</v>
      </c>
      <c r="G45" s="58" t="s">
        <v>853</v>
      </c>
      <c r="H45" s="58">
        <v>2210223</v>
      </c>
      <c r="I45" s="58" t="s">
        <v>2752</v>
      </c>
      <c r="J45" s="58"/>
      <c r="K45" s="58"/>
      <c r="L45" s="58" t="s">
        <v>55</v>
      </c>
      <c r="M45" s="83" t="s">
        <v>1104</v>
      </c>
      <c r="N45" s="58" t="s">
        <v>798</v>
      </c>
      <c r="O45" s="58" t="s">
        <v>933</v>
      </c>
      <c r="P45" s="58" t="s">
        <v>934</v>
      </c>
      <c r="Q45" s="58"/>
      <c r="R45" s="58"/>
      <c r="S45" s="58" t="s">
        <v>2786</v>
      </c>
      <c r="T45" s="58" t="s">
        <v>930</v>
      </c>
      <c r="U45" s="58"/>
      <c r="V45" s="58"/>
    </row>
    <row r="46" spans="1:22" ht="13.5" customHeight="1" x14ac:dyDescent="0.25">
      <c r="A46" s="58"/>
      <c r="B46" s="58"/>
      <c r="C46" s="58"/>
      <c r="D46" s="58"/>
      <c r="E46" s="58"/>
      <c r="F46" s="58" t="s">
        <v>2749</v>
      </c>
      <c r="G46" s="58" t="s">
        <v>854</v>
      </c>
      <c r="H46" s="58">
        <v>2210224</v>
      </c>
      <c r="I46" s="58" t="s">
        <v>2752</v>
      </c>
      <c r="J46" s="58"/>
      <c r="K46" s="58"/>
      <c r="L46" s="58" t="s">
        <v>55</v>
      </c>
      <c r="M46" s="83" t="s">
        <v>2748</v>
      </c>
      <c r="N46" s="58" t="s">
        <v>798</v>
      </c>
      <c r="O46" s="58" t="s">
        <v>933</v>
      </c>
      <c r="P46" s="58" t="s">
        <v>934</v>
      </c>
      <c r="Q46" s="58"/>
      <c r="R46" s="58"/>
      <c r="S46" s="58" t="s">
        <v>2786</v>
      </c>
      <c r="T46" s="58" t="s">
        <v>930</v>
      </c>
      <c r="U46" s="58"/>
      <c r="V46" s="58"/>
    </row>
    <row r="47" spans="1:22" ht="13.5" customHeight="1" x14ac:dyDescent="0.25">
      <c r="A47" s="58"/>
      <c r="B47" s="58"/>
      <c r="C47" s="58"/>
      <c r="D47" s="58"/>
      <c r="E47" s="58"/>
      <c r="F47" s="58" t="s">
        <v>1087</v>
      </c>
      <c r="G47" s="58" t="s">
        <v>855</v>
      </c>
      <c r="H47" s="58">
        <v>2210225</v>
      </c>
      <c r="I47" s="58" t="s">
        <v>2752</v>
      </c>
      <c r="J47" s="58"/>
      <c r="K47" s="58"/>
      <c r="L47" s="58" t="s">
        <v>55</v>
      </c>
      <c r="M47" s="83" t="s">
        <v>1105</v>
      </c>
      <c r="N47" s="58" t="s">
        <v>798</v>
      </c>
      <c r="O47" s="58" t="s">
        <v>933</v>
      </c>
      <c r="P47" s="58" t="s">
        <v>934</v>
      </c>
      <c r="Q47" s="58"/>
      <c r="R47" s="58"/>
      <c r="S47" s="58" t="s">
        <v>2786</v>
      </c>
      <c r="T47" s="58" t="s">
        <v>930</v>
      </c>
      <c r="U47" s="58"/>
      <c r="V47" s="58"/>
    </row>
    <row r="48" spans="1:22" ht="13.5" customHeight="1" x14ac:dyDescent="0.25">
      <c r="A48" s="58"/>
      <c r="B48" s="58"/>
      <c r="C48" s="58"/>
      <c r="D48" s="58"/>
      <c r="E48" s="58"/>
      <c r="F48" s="58" t="s">
        <v>1088</v>
      </c>
      <c r="G48" s="58" t="s">
        <v>856</v>
      </c>
      <c r="H48" s="58">
        <v>2210226</v>
      </c>
      <c r="I48" s="58" t="s">
        <v>2752</v>
      </c>
      <c r="J48" s="58"/>
      <c r="K48" s="58"/>
      <c r="L48" s="58" t="s">
        <v>55</v>
      </c>
      <c r="M48" s="83" t="s">
        <v>2750</v>
      </c>
      <c r="N48" s="58" t="s">
        <v>798</v>
      </c>
      <c r="O48" s="58" t="s">
        <v>933</v>
      </c>
      <c r="P48" s="58" t="s">
        <v>934</v>
      </c>
      <c r="Q48" s="58"/>
      <c r="R48" s="58"/>
      <c r="S48" s="58" t="s">
        <v>2786</v>
      </c>
      <c r="T48" s="58" t="s">
        <v>930</v>
      </c>
      <c r="U48" s="58"/>
      <c r="V48" s="58"/>
    </row>
    <row r="49" spans="1:22" ht="13.5" customHeight="1" x14ac:dyDescent="0.25">
      <c r="A49" s="58"/>
      <c r="B49" s="58"/>
      <c r="C49" s="58"/>
      <c r="D49" s="58"/>
      <c r="E49" s="58"/>
      <c r="F49" s="58" t="s">
        <v>1089</v>
      </c>
      <c r="G49" s="58" t="s">
        <v>857</v>
      </c>
      <c r="H49" s="58">
        <v>2210227</v>
      </c>
      <c r="I49" s="58" t="s">
        <v>2752</v>
      </c>
      <c r="J49" s="58"/>
      <c r="K49" s="58"/>
      <c r="L49" s="58" t="s">
        <v>55</v>
      </c>
      <c r="M49" s="83" t="s">
        <v>1106</v>
      </c>
      <c r="N49" s="58" t="s">
        <v>798</v>
      </c>
      <c r="O49" s="58" t="s">
        <v>933</v>
      </c>
      <c r="P49" s="58" t="s">
        <v>934</v>
      </c>
      <c r="Q49" s="58"/>
      <c r="R49" s="58"/>
      <c r="S49" s="58" t="s">
        <v>2786</v>
      </c>
      <c r="T49" s="58" t="s">
        <v>930</v>
      </c>
      <c r="U49" s="58"/>
      <c r="V49" s="58"/>
    </row>
    <row r="50" spans="1:22" ht="13.5" customHeight="1" x14ac:dyDescent="0.25">
      <c r="A50" s="58"/>
      <c r="B50" s="58"/>
      <c r="C50" s="58"/>
      <c r="D50" s="58"/>
      <c r="E50" s="58"/>
      <c r="F50" s="58" t="s">
        <v>1090</v>
      </c>
      <c r="G50" s="58" t="s">
        <v>858</v>
      </c>
      <c r="H50" s="58">
        <v>2210228</v>
      </c>
      <c r="I50" s="58" t="s">
        <v>2752</v>
      </c>
      <c r="J50" s="58"/>
      <c r="K50" s="58"/>
      <c r="L50" s="58" t="s">
        <v>55</v>
      </c>
      <c r="M50" s="83" t="s">
        <v>1107</v>
      </c>
      <c r="N50" s="58" t="s">
        <v>798</v>
      </c>
      <c r="O50" s="58" t="s">
        <v>933</v>
      </c>
      <c r="P50" s="58" t="s">
        <v>934</v>
      </c>
      <c r="Q50" s="58"/>
      <c r="R50" s="58"/>
      <c r="S50" s="58" t="s">
        <v>2786</v>
      </c>
      <c r="T50" s="58" t="s">
        <v>930</v>
      </c>
      <c r="U50" s="58"/>
      <c r="V50" s="58"/>
    </row>
    <row r="51" spans="1:22" ht="13.5" customHeight="1" x14ac:dyDescent="0.25">
      <c r="A51" s="58"/>
      <c r="B51" s="58"/>
      <c r="C51" s="58"/>
      <c r="D51" s="58"/>
      <c r="E51" s="58"/>
      <c r="F51" s="58" t="s">
        <v>1091</v>
      </c>
      <c r="G51" s="58" t="s">
        <v>859</v>
      </c>
      <c r="H51" s="58">
        <v>2210229</v>
      </c>
      <c r="I51" s="58" t="s">
        <v>2752</v>
      </c>
      <c r="J51" s="58"/>
      <c r="K51" s="58"/>
      <c r="L51" s="58" t="s">
        <v>55</v>
      </c>
      <c r="M51" s="83" t="s">
        <v>1108</v>
      </c>
      <c r="N51" s="58" t="s">
        <v>798</v>
      </c>
      <c r="O51" s="58" t="s">
        <v>933</v>
      </c>
      <c r="P51" s="58" t="s">
        <v>934</v>
      </c>
      <c r="Q51" s="58"/>
      <c r="R51" s="58"/>
      <c r="S51" s="58" t="s">
        <v>2786</v>
      </c>
      <c r="T51" s="58" t="s">
        <v>930</v>
      </c>
      <c r="U51" s="58"/>
      <c r="V51" s="58"/>
    </row>
    <row r="52" spans="1:22" ht="13.5" customHeight="1" x14ac:dyDescent="0.25">
      <c r="A52" s="58"/>
      <c r="B52" s="58"/>
      <c r="C52" s="58"/>
      <c r="D52" s="58"/>
      <c r="E52" s="58"/>
      <c r="F52" s="58" t="s">
        <v>1092</v>
      </c>
      <c r="G52" s="58" t="s">
        <v>860</v>
      </c>
      <c r="H52" s="58">
        <v>2210230</v>
      </c>
      <c r="I52" s="58" t="s">
        <v>2752</v>
      </c>
      <c r="J52" s="58"/>
      <c r="K52" s="58"/>
      <c r="L52" s="58" t="s">
        <v>55</v>
      </c>
      <c r="M52" s="83" t="s">
        <v>1109</v>
      </c>
      <c r="N52" s="58" t="s">
        <v>798</v>
      </c>
      <c r="O52" s="58" t="s">
        <v>933</v>
      </c>
      <c r="P52" s="58" t="s">
        <v>934</v>
      </c>
      <c r="Q52" s="58"/>
      <c r="R52" s="58"/>
      <c r="S52" s="58" t="s">
        <v>2786</v>
      </c>
      <c r="T52" s="58" t="s">
        <v>930</v>
      </c>
      <c r="U52" s="58"/>
      <c r="V52" s="58"/>
    </row>
    <row r="53" spans="1:22" ht="13.5" customHeight="1" x14ac:dyDescent="0.25">
      <c r="A53" s="58"/>
      <c r="B53" s="58"/>
      <c r="C53" s="58"/>
      <c r="D53" s="58"/>
      <c r="E53" s="58"/>
      <c r="F53" s="58" t="s">
        <v>1093</v>
      </c>
      <c r="G53" s="58" t="s">
        <v>861</v>
      </c>
      <c r="H53" s="58">
        <v>2210231</v>
      </c>
      <c r="I53" s="58" t="s">
        <v>2752</v>
      </c>
      <c r="J53" s="58"/>
      <c r="K53" s="58"/>
      <c r="L53" s="58" t="s">
        <v>55</v>
      </c>
      <c r="M53" s="83" t="s">
        <v>1110</v>
      </c>
      <c r="N53" s="58" t="s">
        <v>798</v>
      </c>
      <c r="O53" s="58" t="s">
        <v>933</v>
      </c>
      <c r="P53" s="58" t="s">
        <v>934</v>
      </c>
      <c r="Q53" s="58"/>
      <c r="R53" s="58"/>
      <c r="S53" s="58" t="s">
        <v>2786</v>
      </c>
      <c r="T53" s="58" t="s">
        <v>930</v>
      </c>
      <c r="U53" s="58"/>
      <c r="V53" s="58"/>
    </row>
    <row r="54" spans="1:22" ht="13.5" customHeight="1" x14ac:dyDescent="0.25">
      <c r="A54" s="58"/>
      <c r="B54" s="58"/>
      <c r="C54" s="58"/>
      <c r="D54" s="58"/>
      <c r="E54" s="58"/>
      <c r="F54" s="58" t="s">
        <v>1094</v>
      </c>
      <c r="G54" s="58" t="s">
        <v>862</v>
      </c>
      <c r="H54" s="58">
        <v>2210232</v>
      </c>
      <c r="I54" s="58" t="s">
        <v>2752</v>
      </c>
      <c r="J54" s="58"/>
      <c r="K54" s="58"/>
      <c r="L54" s="58" t="s">
        <v>55</v>
      </c>
      <c r="M54" s="83" t="s">
        <v>1111</v>
      </c>
      <c r="N54" s="58" t="s">
        <v>798</v>
      </c>
      <c r="O54" s="58" t="s">
        <v>933</v>
      </c>
      <c r="P54" s="58" t="s">
        <v>934</v>
      </c>
      <c r="Q54" s="58"/>
      <c r="R54" s="58"/>
      <c r="S54" s="58" t="s">
        <v>2786</v>
      </c>
      <c r="T54" s="58" t="s">
        <v>930</v>
      </c>
      <c r="U54" s="58"/>
      <c r="V54" s="58"/>
    </row>
    <row r="55" spans="1:22" ht="13.5" customHeight="1" x14ac:dyDescent="0.25">
      <c r="A55" s="58"/>
      <c r="B55" s="58"/>
      <c r="C55" s="58"/>
      <c r="D55" s="58"/>
      <c r="E55" s="58"/>
      <c r="F55" s="58" t="s">
        <v>1095</v>
      </c>
      <c r="G55" s="58" t="s">
        <v>863</v>
      </c>
      <c r="H55" s="58">
        <v>2210233</v>
      </c>
      <c r="I55" s="58" t="s">
        <v>2752</v>
      </c>
      <c r="J55" s="58"/>
      <c r="K55" s="58"/>
      <c r="L55" s="58" t="s">
        <v>55</v>
      </c>
      <c r="M55" s="83" t="s">
        <v>1112</v>
      </c>
      <c r="N55" s="58" t="s">
        <v>798</v>
      </c>
      <c r="O55" s="58" t="s">
        <v>933</v>
      </c>
      <c r="P55" s="58" t="s">
        <v>934</v>
      </c>
      <c r="Q55" s="58"/>
      <c r="R55" s="58"/>
      <c r="S55" s="58" t="s">
        <v>2786</v>
      </c>
      <c r="T55" s="58" t="s">
        <v>930</v>
      </c>
      <c r="U55" s="58"/>
      <c r="V55" s="58"/>
    </row>
    <row r="56" spans="1:22" ht="13.5" customHeight="1" x14ac:dyDescent="0.25">
      <c r="A56" s="58"/>
      <c r="B56" s="58"/>
      <c r="C56" s="58"/>
      <c r="D56" s="58"/>
      <c r="E56" s="58"/>
      <c r="F56" s="58" t="s">
        <v>1096</v>
      </c>
      <c r="G56" s="58" t="s">
        <v>864</v>
      </c>
      <c r="H56" s="58">
        <v>2210234</v>
      </c>
      <c r="I56" s="58" t="s">
        <v>2752</v>
      </c>
      <c r="J56" s="58"/>
      <c r="K56" s="58"/>
      <c r="L56" s="58" t="s">
        <v>55</v>
      </c>
      <c r="M56" s="83" t="s">
        <v>1113</v>
      </c>
      <c r="N56" s="58" t="s">
        <v>798</v>
      </c>
      <c r="O56" s="58" t="s">
        <v>933</v>
      </c>
      <c r="P56" s="58" t="s">
        <v>934</v>
      </c>
      <c r="Q56" s="58"/>
      <c r="R56" s="58"/>
      <c r="S56" s="58" t="s">
        <v>2786</v>
      </c>
      <c r="T56" s="58" t="s">
        <v>930</v>
      </c>
      <c r="U56" s="58"/>
      <c r="V56" s="58"/>
    </row>
    <row r="57" spans="1:22" ht="13.5" customHeight="1" x14ac:dyDescent="0.25">
      <c r="A57" s="58"/>
      <c r="B57" s="58"/>
      <c r="C57" s="58"/>
      <c r="D57" s="58"/>
      <c r="E57" s="58"/>
      <c r="F57" s="58" t="s">
        <v>1097</v>
      </c>
      <c r="G57" s="58" t="s">
        <v>865</v>
      </c>
      <c r="H57" s="58">
        <v>2210235</v>
      </c>
      <c r="I57" s="58" t="s">
        <v>2752</v>
      </c>
      <c r="J57" s="58"/>
      <c r="K57" s="58"/>
      <c r="L57" s="58" t="s">
        <v>55</v>
      </c>
      <c r="M57" s="83" t="s">
        <v>1114</v>
      </c>
      <c r="N57" s="58" t="s">
        <v>798</v>
      </c>
      <c r="O57" s="58" t="s">
        <v>933</v>
      </c>
      <c r="P57" s="58" t="s">
        <v>934</v>
      </c>
      <c r="Q57" s="58"/>
      <c r="R57" s="58"/>
      <c r="S57" s="58" t="s">
        <v>2786</v>
      </c>
      <c r="T57" s="58" t="s">
        <v>930</v>
      </c>
      <c r="U57" s="58"/>
      <c r="V57" s="58"/>
    </row>
    <row r="58" spans="1:22" ht="13.5" customHeight="1" x14ac:dyDescent="0.25">
      <c r="A58" s="58"/>
      <c r="B58" s="58"/>
      <c r="C58" s="58"/>
      <c r="D58" s="58"/>
      <c r="E58" s="58"/>
      <c r="F58" s="58" t="s">
        <v>1098</v>
      </c>
      <c r="G58" s="58" t="s">
        <v>866</v>
      </c>
      <c r="H58" s="58">
        <v>2210236</v>
      </c>
      <c r="I58" s="58" t="s">
        <v>2752</v>
      </c>
      <c r="J58" s="58"/>
      <c r="K58" s="58"/>
      <c r="L58" s="58" t="s">
        <v>55</v>
      </c>
      <c r="M58" s="83" t="s">
        <v>1115</v>
      </c>
      <c r="N58" s="58" t="s">
        <v>798</v>
      </c>
      <c r="O58" s="58" t="s">
        <v>933</v>
      </c>
      <c r="P58" s="58" t="s">
        <v>934</v>
      </c>
      <c r="Q58" s="58"/>
      <c r="R58" s="58"/>
      <c r="S58" s="58" t="s">
        <v>2786</v>
      </c>
      <c r="T58" s="58" t="s">
        <v>930</v>
      </c>
      <c r="U58" s="58"/>
      <c r="V58" s="58"/>
    </row>
    <row r="59" spans="1:22" ht="13.5" customHeight="1" x14ac:dyDescent="0.25">
      <c r="A59" s="58"/>
      <c r="B59" s="58"/>
      <c r="C59" s="58"/>
      <c r="D59" s="58"/>
      <c r="E59" s="58"/>
      <c r="F59" s="58" t="s">
        <v>1099</v>
      </c>
      <c r="G59" s="58" t="s">
        <v>867</v>
      </c>
      <c r="H59" s="58">
        <v>2210237</v>
      </c>
      <c r="I59" s="58" t="s">
        <v>2752</v>
      </c>
      <c r="J59" s="58"/>
      <c r="K59" s="58"/>
      <c r="L59" s="58" t="s">
        <v>55</v>
      </c>
      <c r="M59" s="83" t="s">
        <v>1116</v>
      </c>
      <c r="N59" s="58" t="s">
        <v>798</v>
      </c>
      <c r="O59" s="58" t="s">
        <v>933</v>
      </c>
      <c r="P59" s="58" t="s">
        <v>934</v>
      </c>
      <c r="Q59" s="58"/>
      <c r="R59" s="58"/>
      <c r="S59" s="58" t="s">
        <v>2786</v>
      </c>
      <c r="T59" s="58" t="s">
        <v>930</v>
      </c>
      <c r="U59" s="58"/>
      <c r="V59" s="58"/>
    </row>
    <row r="60" spans="1:22" ht="13.5" customHeight="1" x14ac:dyDescent="0.25">
      <c r="A60" s="58"/>
      <c r="B60" s="58"/>
      <c r="C60" s="58"/>
      <c r="D60" s="58"/>
      <c r="E60" s="58"/>
      <c r="F60" s="58" t="s">
        <v>1100</v>
      </c>
      <c r="G60" s="58" t="s">
        <v>868</v>
      </c>
      <c r="H60" s="58">
        <v>2210238</v>
      </c>
      <c r="I60" s="58" t="s">
        <v>2752</v>
      </c>
      <c r="J60" s="58"/>
      <c r="K60" s="58"/>
      <c r="L60" s="58" t="s">
        <v>55</v>
      </c>
      <c r="M60" s="83" t="s">
        <v>1117</v>
      </c>
      <c r="N60" s="58" t="s">
        <v>798</v>
      </c>
      <c r="O60" s="58" t="s">
        <v>933</v>
      </c>
      <c r="P60" s="58" t="s">
        <v>934</v>
      </c>
      <c r="Q60" s="58"/>
      <c r="R60" s="58"/>
      <c r="S60" s="58" t="s">
        <v>2786</v>
      </c>
      <c r="T60" s="58" t="s">
        <v>930</v>
      </c>
      <c r="U60" s="58"/>
      <c r="V60" s="58"/>
    </row>
    <row r="61" spans="1:22" ht="13.5" customHeight="1" x14ac:dyDescent="0.25">
      <c r="A61" s="58"/>
      <c r="B61" s="58"/>
      <c r="C61" s="58"/>
      <c r="D61" s="58"/>
      <c r="E61" s="58"/>
      <c r="F61" s="58" t="s">
        <v>1101</v>
      </c>
      <c r="G61" s="58" t="s">
        <v>869</v>
      </c>
      <c r="H61" s="58">
        <v>2210239</v>
      </c>
      <c r="I61" s="58" t="s">
        <v>2752</v>
      </c>
      <c r="J61" s="58"/>
      <c r="K61" s="58"/>
      <c r="L61" s="58" t="s">
        <v>55</v>
      </c>
      <c r="M61" s="83" t="s">
        <v>1118</v>
      </c>
      <c r="N61" s="58" t="s">
        <v>798</v>
      </c>
      <c r="O61" s="58" t="s">
        <v>933</v>
      </c>
      <c r="P61" s="58" t="s">
        <v>934</v>
      </c>
      <c r="Q61" s="58"/>
      <c r="R61" s="58"/>
      <c r="S61" s="58" t="s">
        <v>2786</v>
      </c>
      <c r="T61" s="58" t="s">
        <v>930</v>
      </c>
      <c r="U61" s="58"/>
      <c r="V61" s="58"/>
    </row>
    <row r="62" spans="1:22" ht="13.5" customHeight="1" x14ac:dyDescent="0.25">
      <c r="A62" s="58"/>
      <c r="B62" s="58"/>
      <c r="C62" s="58"/>
      <c r="D62" s="58"/>
      <c r="E62" s="58"/>
      <c r="F62" s="58" t="s">
        <v>870</v>
      </c>
      <c r="G62" s="58" t="s">
        <v>871</v>
      </c>
      <c r="H62" s="58">
        <v>2210240</v>
      </c>
      <c r="I62" s="58" t="s">
        <v>2752</v>
      </c>
      <c r="J62" s="58"/>
      <c r="K62" s="58"/>
      <c r="L62" s="58" t="s">
        <v>783</v>
      </c>
      <c r="M62" s="58" t="s">
        <v>872</v>
      </c>
      <c r="N62" s="58" t="s">
        <v>548</v>
      </c>
      <c r="O62" s="58" t="s">
        <v>933</v>
      </c>
      <c r="P62" s="58" t="s">
        <v>934</v>
      </c>
      <c r="Q62" s="58"/>
      <c r="R62" s="58"/>
      <c r="S62" s="58" t="s">
        <v>2786</v>
      </c>
      <c r="T62" s="58" t="s">
        <v>930</v>
      </c>
      <c r="U62" s="58"/>
      <c r="V62" s="58"/>
    </row>
    <row r="63" spans="1:22" ht="13.5" customHeight="1" x14ac:dyDescent="0.25">
      <c r="A63" s="58"/>
      <c r="B63" s="58"/>
      <c r="C63" s="58"/>
      <c r="D63" s="58"/>
      <c r="E63" s="58"/>
      <c r="F63" s="58" t="s">
        <v>560</v>
      </c>
      <c r="G63" s="58" t="s">
        <v>873</v>
      </c>
      <c r="H63" s="58">
        <v>2210241</v>
      </c>
      <c r="I63" s="58" t="s">
        <v>2752</v>
      </c>
      <c r="J63" s="58"/>
      <c r="K63" s="58"/>
      <c r="L63" s="58" t="s">
        <v>783</v>
      </c>
      <c r="M63" s="83" t="s">
        <v>2064</v>
      </c>
      <c r="N63" s="58" t="s">
        <v>64</v>
      </c>
      <c r="O63" s="58" t="s">
        <v>933</v>
      </c>
      <c r="P63" s="58" t="s">
        <v>934</v>
      </c>
      <c r="Q63" s="58"/>
      <c r="R63" s="58"/>
      <c r="S63" s="58" t="s">
        <v>2786</v>
      </c>
      <c r="T63" s="58" t="s">
        <v>930</v>
      </c>
      <c r="U63" s="58"/>
      <c r="V63" s="58"/>
    </row>
    <row r="64" spans="1:22" ht="13.5" customHeight="1" x14ac:dyDescent="0.25">
      <c r="A64" s="58"/>
      <c r="B64" s="58"/>
      <c r="C64" s="58"/>
      <c r="D64" s="58"/>
      <c r="E64" s="58"/>
      <c r="F64" s="58" t="s">
        <v>559</v>
      </c>
      <c r="G64" s="58" t="s">
        <v>875</v>
      </c>
      <c r="H64" s="58">
        <v>2210243</v>
      </c>
      <c r="I64" s="58" t="s">
        <v>2752</v>
      </c>
      <c r="J64" s="58"/>
      <c r="K64" s="58"/>
      <c r="L64" s="58" t="s">
        <v>55</v>
      </c>
      <c r="M64" s="58" t="s">
        <v>876</v>
      </c>
      <c r="N64" s="58" t="s">
        <v>83</v>
      </c>
      <c r="O64" s="58" t="s">
        <v>933</v>
      </c>
      <c r="P64" s="58" t="s">
        <v>934</v>
      </c>
      <c r="Q64" s="58"/>
      <c r="R64" s="58"/>
      <c r="S64" s="58" t="s">
        <v>2786</v>
      </c>
      <c r="T64" s="58" t="s">
        <v>932</v>
      </c>
      <c r="U64" s="58"/>
      <c r="V64" s="58"/>
    </row>
    <row r="65" spans="1:22" ht="13.5" customHeight="1" x14ac:dyDescent="0.25">
      <c r="A65" s="58"/>
      <c r="B65" s="58"/>
      <c r="C65" s="58"/>
      <c r="D65" s="58"/>
      <c r="E65" s="58"/>
      <c r="F65" s="58" t="s">
        <v>877</v>
      </c>
      <c r="G65" s="58" t="s">
        <v>878</v>
      </c>
      <c r="H65" s="58">
        <v>2210244</v>
      </c>
      <c r="I65" s="58" t="s">
        <v>2752</v>
      </c>
      <c r="J65" s="58"/>
      <c r="K65" s="58"/>
      <c r="L65" s="58" t="s">
        <v>783</v>
      </c>
      <c r="M65" s="83" t="s">
        <v>2071</v>
      </c>
      <c r="N65" s="83" t="s">
        <v>2072</v>
      </c>
      <c r="O65" s="58" t="s">
        <v>933</v>
      </c>
      <c r="P65" s="58" t="s">
        <v>934</v>
      </c>
      <c r="Q65" s="58"/>
      <c r="R65" s="58"/>
      <c r="S65" s="58" t="s">
        <v>2786</v>
      </c>
      <c r="T65" s="58" t="s">
        <v>930</v>
      </c>
      <c r="U65" s="58"/>
      <c r="V65" s="58"/>
    </row>
    <row r="66" spans="1:22" ht="13.5" customHeight="1" x14ac:dyDescent="0.25">
      <c r="A66" s="58"/>
      <c r="B66" s="58"/>
      <c r="C66" s="58"/>
      <c r="D66" s="58"/>
      <c r="E66" s="58"/>
      <c r="F66" s="58" t="s">
        <v>879</v>
      </c>
      <c r="G66" s="58" t="s">
        <v>880</v>
      </c>
      <c r="H66" s="58">
        <v>2210245</v>
      </c>
      <c r="I66" s="58" t="s">
        <v>2752</v>
      </c>
      <c r="J66" s="58"/>
      <c r="K66" s="58"/>
      <c r="L66" s="58" t="s">
        <v>783</v>
      </c>
      <c r="M66" s="58" t="s">
        <v>881</v>
      </c>
      <c r="N66" s="83" t="s">
        <v>2073</v>
      </c>
      <c r="O66" s="58" t="s">
        <v>933</v>
      </c>
      <c r="P66" s="58" t="s">
        <v>934</v>
      </c>
      <c r="Q66" s="58"/>
      <c r="R66" s="58"/>
      <c r="S66" s="58" t="s">
        <v>2786</v>
      </c>
      <c r="T66" s="58" t="s">
        <v>930</v>
      </c>
      <c r="U66" s="58"/>
      <c r="V66" s="58"/>
    </row>
    <row r="67" spans="1:22" ht="13.5" customHeight="1" x14ac:dyDescent="0.25">
      <c r="A67" s="58"/>
      <c r="B67" s="58"/>
      <c r="C67" s="58"/>
      <c r="D67" s="58"/>
      <c r="E67" s="58" t="s">
        <v>2463</v>
      </c>
      <c r="F67" s="58"/>
      <c r="G67" s="58"/>
      <c r="H67" s="58"/>
      <c r="I67" s="58"/>
      <c r="J67" s="58"/>
      <c r="K67" s="58"/>
      <c r="L67" s="58"/>
      <c r="M67" s="58"/>
      <c r="N67" s="58"/>
      <c r="O67" s="58"/>
      <c r="P67" s="58"/>
      <c r="Q67" s="58"/>
      <c r="R67" s="58"/>
      <c r="S67" s="58"/>
      <c r="T67" s="58"/>
      <c r="U67" s="58"/>
      <c r="V67" s="58"/>
    </row>
    <row r="68" spans="1:22" ht="13.5" customHeight="1" x14ac:dyDescent="0.25">
      <c r="A68" s="58"/>
      <c r="B68" s="58"/>
      <c r="C68" s="58"/>
      <c r="D68" s="58"/>
      <c r="E68" s="58"/>
      <c r="F68" s="58" t="s">
        <v>2466</v>
      </c>
      <c r="G68" s="58" t="s">
        <v>882</v>
      </c>
      <c r="H68" s="58">
        <v>2210301</v>
      </c>
      <c r="I68" s="58" t="s">
        <v>2752</v>
      </c>
      <c r="J68" s="58"/>
      <c r="K68" s="58"/>
      <c r="L68" s="58" t="s">
        <v>55</v>
      </c>
      <c r="M68" s="83" t="s">
        <v>2589</v>
      </c>
      <c r="N68" s="58" t="s">
        <v>622</v>
      </c>
      <c r="O68" s="58" t="s">
        <v>933</v>
      </c>
      <c r="P68" s="58" t="s">
        <v>934</v>
      </c>
      <c r="Q68" s="58"/>
      <c r="R68" s="58"/>
      <c r="S68" s="58" t="s">
        <v>2786</v>
      </c>
      <c r="T68" s="58" t="s">
        <v>930</v>
      </c>
      <c r="U68" s="58"/>
      <c r="V68" s="58"/>
    </row>
    <row r="69" spans="1:22" ht="13.5" customHeight="1" x14ac:dyDescent="0.25">
      <c r="A69" s="58"/>
      <c r="B69" s="58"/>
      <c r="C69" s="58"/>
      <c r="D69" s="58"/>
      <c r="E69" s="58"/>
      <c r="F69" s="58" t="s">
        <v>2467</v>
      </c>
      <c r="G69" s="58" t="s">
        <v>883</v>
      </c>
      <c r="H69" s="58">
        <v>2210302</v>
      </c>
      <c r="I69" s="58" t="s">
        <v>2752</v>
      </c>
      <c r="J69" s="58"/>
      <c r="K69" s="58"/>
      <c r="L69" s="58" t="s">
        <v>55</v>
      </c>
      <c r="M69" s="83" t="s">
        <v>2590</v>
      </c>
      <c r="N69" s="58" t="s">
        <v>622</v>
      </c>
      <c r="O69" s="58" t="s">
        <v>933</v>
      </c>
      <c r="P69" s="58" t="s">
        <v>934</v>
      </c>
      <c r="Q69" s="58"/>
      <c r="R69" s="58"/>
      <c r="S69" s="58" t="s">
        <v>2786</v>
      </c>
      <c r="T69" s="58" t="s">
        <v>930</v>
      </c>
      <c r="U69" s="58"/>
      <c r="V69" s="58"/>
    </row>
    <row r="70" spans="1:22" ht="13.5" customHeight="1" x14ac:dyDescent="0.25">
      <c r="A70" s="58"/>
      <c r="B70" s="58"/>
      <c r="C70" s="58"/>
      <c r="D70" s="58"/>
      <c r="E70" s="58"/>
      <c r="F70" s="58" t="s">
        <v>2468</v>
      </c>
      <c r="G70" s="58" t="s">
        <v>884</v>
      </c>
      <c r="H70" s="58">
        <v>2210303</v>
      </c>
      <c r="I70" s="58" t="s">
        <v>2752</v>
      </c>
      <c r="J70" s="58"/>
      <c r="K70" s="58"/>
      <c r="L70" s="58" t="s">
        <v>55</v>
      </c>
      <c r="M70" s="83" t="s">
        <v>2591</v>
      </c>
      <c r="N70" s="58" t="s">
        <v>622</v>
      </c>
      <c r="O70" s="58" t="s">
        <v>933</v>
      </c>
      <c r="P70" s="58" t="s">
        <v>934</v>
      </c>
      <c r="Q70" s="58"/>
      <c r="R70" s="58"/>
      <c r="S70" s="58" t="s">
        <v>2786</v>
      </c>
      <c r="T70" s="58" t="s">
        <v>930</v>
      </c>
      <c r="U70" s="58"/>
      <c r="V70" s="58"/>
    </row>
    <row r="71" spans="1:22" ht="13.5" customHeight="1" x14ac:dyDescent="0.25">
      <c r="A71" s="58"/>
      <c r="B71" s="58"/>
      <c r="C71" s="58"/>
      <c r="D71" s="58"/>
      <c r="E71" s="58"/>
      <c r="F71" s="58" t="s">
        <v>2469</v>
      </c>
      <c r="G71" s="58" t="s">
        <v>885</v>
      </c>
      <c r="H71" s="58">
        <v>2210304</v>
      </c>
      <c r="I71" s="58" t="s">
        <v>2752</v>
      </c>
      <c r="J71" s="58"/>
      <c r="K71" s="58"/>
      <c r="L71" s="58" t="s">
        <v>55</v>
      </c>
      <c r="M71" s="83" t="s">
        <v>2592</v>
      </c>
      <c r="N71" s="58" t="s">
        <v>622</v>
      </c>
      <c r="O71" s="58" t="s">
        <v>933</v>
      </c>
      <c r="P71" s="58" t="s">
        <v>934</v>
      </c>
      <c r="Q71" s="58"/>
      <c r="R71" s="58"/>
      <c r="S71" s="58" t="s">
        <v>2786</v>
      </c>
      <c r="T71" s="58" t="s">
        <v>930</v>
      </c>
      <c r="U71" s="58"/>
      <c r="V71" s="58"/>
    </row>
    <row r="72" spans="1:22" ht="13.5" customHeight="1" x14ac:dyDescent="0.25">
      <c r="A72" s="58"/>
      <c r="B72" s="58"/>
      <c r="C72" s="58"/>
      <c r="D72" s="58"/>
      <c r="E72" s="58"/>
      <c r="F72" s="58" t="s">
        <v>2470</v>
      </c>
      <c r="G72" s="58" t="s">
        <v>886</v>
      </c>
      <c r="H72" s="58">
        <v>2210305</v>
      </c>
      <c r="I72" s="58" t="s">
        <v>2752</v>
      </c>
      <c r="J72" s="58"/>
      <c r="K72" s="58"/>
      <c r="L72" s="58" t="s">
        <v>55</v>
      </c>
      <c r="M72" s="83" t="s">
        <v>2593</v>
      </c>
      <c r="N72" s="58" t="s">
        <v>622</v>
      </c>
      <c r="O72" s="58" t="s">
        <v>933</v>
      </c>
      <c r="P72" s="58" t="s">
        <v>934</v>
      </c>
      <c r="Q72" s="58"/>
      <c r="R72" s="58"/>
      <c r="S72" s="58" t="s">
        <v>2786</v>
      </c>
      <c r="T72" s="58" t="s">
        <v>930</v>
      </c>
      <c r="U72" s="58"/>
      <c r="V72" s="58"/>
    </row>
    <row r="73" spans="1:22" ht="13.5" customHeight="1" x14ac:dyDescent="0.25">
      <c r="A73" s="58"/>
      <c r="B73" s="58"/>
      <c r="C73" s="58"/>
      <c r="D73" s="58"/>
      <c r="E73" s="58"/>
      <c r="F73" s="58" t="s">
        <v>2471</v>
      </c>
      <c r="G73" s="58" t="s">
        <v>887</v>
      </c>
      <c r="H73" s="58">
        <v>2210306</v>
      </c>
      <c r="I73" s="58" t="s">
        <v>2752</v>
      </c>
      <c r="J73" s="58"/>
      <c r="K73" s="58"/>
      <c r="L73" s="58" t="s">
        <v>55</v>
      </c>
      <c r="M73" s="83" t="s">
        <v>2594</v>
      </c>
      <c r="N73" s="58" t="s">
        <v>622</v>
      </c>
      <c r="O73" s="58" t="s">
        <v>933</v>
      </c>
      <c r="P73" s="58" t="s">
        <v>934</v>
      </c>
      <c r="Q73" s="58"/>
      <c r="R73" s="58"/>
      <c r="S73" s="58" t="s">
        <v>2786</v>
      </c>
      <c r="T73" s="58" t="s">
        <v>930</v>
      </c>
      <c r="U73" s="58"/>
      <c r="V73" s="58"/>
    </row>
    <row r="74" spans="1:22" ht="13.5" customHeight="1" x14ac:dyDescent="0.25">
      <c r="A74" s="58"/>
      <c r="B74" s="58"/>
      <c r="C74" s="58"/>
      <c r="D74" s="58"/>
      <c r="E74" s="58"/>
      <c r="F74" s="58" t="s">
        <v>2472</v>
      </c>
      <c r="G74" s="58" t="s">
        <v>888</v>
      </c>
      <c r="H74" s="58">
        <v>2210307</v>
      </c>
      <c r="I74" s="58" t="s">
        <v>2752</v>
      </c>
      <c r="J74" s="58"/>
      <c r="K74" s="58"/>
      <c r="L74" s="58" t="s">
        <v>55</v>
      </c>
      <c r="M74" s="83" t="s">
        <v>2595</v>
      </c>
      <c r="N74" s="58" t="s">
        <v>622</v>
      </c>
      <c r="O74" s="58" t="s">
        <v>933</v>
      </c>
      <c r="P74" s="58" t="s">
        <v>934</v>
      </c>
      <c r="Q74" s="58"/>
      <c r="R74" s="58"/>
      <c r="S74" s="58" t="s">
        <v>2786</v>
      </c>
      <c r="T74" s="58" t="s">
        <v>930</v>
      </c>
      <c r="U74" s="58"/>
      <c r="V74" s="58"/>
    </row>
    <row r="75" spans="1:22" ht="13.5" customHeight="1" x14ac:dyDescent="0.25">
      <c r="A75" s="58"/>
      <c r="B75" s="58"/>
      <c r="C75" s="58"/>
      <c r="D75" s="58"/>
      <c r="E75" s="58"/>
      <c r="F75" s="58" t="s">
        <v>2473</v>
      </c>
      <c r="G75" s="58" t="s">
        <v>889</v>
      </c>
      <c r="H75" s="58">
        <v>2210308</v>
      </c>
      <c r="I75" s="58" t="s">
        <v>2752</v>
      </c>
      <c r="J75" s="58"/>
      <c r="K75" s="58"/>
      <c r="L75" s="58" t="s">
        <v>55</v>
      </c>
      <c r="M75" s="83" t="s">
        <v>2596</v>
      </c>
      <c r="N75" s="58" t="s">
        <v>622</v>
      </c>
      <c r="O75" s="58" t="s">
        <v>933</v>
      </c>
      <c r="P75" s="58" t="s">
        <v>934</v>
      </c>
      <c r="Q75" s="58"/>
      <c r="R75" s="58"/>
      <c r="S75" s="58" t="s">
        <v>2786</v>
      </c>
      <c r="T75" s="58" t="s">
        <v>930</v>
      </c>
      <c r="U75" s="58"/>
      <c r="V75" s="58"/>
    </row>
    <row r="76" spans="1:22" ht="13.5" customHeight="1" x14ac:dyDescent="0.25">
      <c r="A76" s="58"/>
      <c r="B76" s="58"/>
      <c r="C76" s="58"/>
      <c r="D76" s="58"/>
      <c r="E76" s="58"/>
      <c r="F76" s="58" t="s">
        <v>2474</v>
      </c>
      <c r="G76" s="58" t="s">
        <v>890</v>
      </c>
      <c r="H76" s="58">
        <v>2210309</v>
      </c>
      <c r="I76" s="58" t="s">
        <v>2752</v>
      </c>
      <c r="J76" s="58"/>
      <c r="K76" s="58"/>
      <c r="L76" s="58" t="s">
        <v>55</v>
      </c>
      <c r="M76" s="83" t="s">
        <v>2597</v>
      </c>
      <c r="N76" s="58" t="s">
        <v>622</v>
      </c>
      <c r="O76" s="58" t="s">
        <v>933</v>
      </c>
      <c r="P76" s="58" t="s">
        <v>934</v>
      </c>
      <c r="Q76" s="58"/>
      <c r="R76" s="58"/>
      <c r="S76" s="58" t="s">
        <v>2786</v>
      </c>
      <c r="T76" s="58" t="s">
        <v>930</v>
      </c>
      <c r="U76" s="58"/>
      <c r="V76" s="58"/>
    </row>
    <row r="77" spans="1:22" ht="13.5" customHeight="1" x14ac:dyDescent="0.25">
      <c r="A77" s="58"/>
      <c r="B77" s="58"/>
      <c r="C77" s="58"/>
      <c r="D77" s="58"/>
      <c r="E77" s="58"/>
      <c r="F77" s="58" t="s">
        <v>2475</v>
      </c>
      <c r="G77" s="58" t="s">
        <v>891</v>
      </c>
      <c r="H77" s="58">
        <v>2210310</v>
      </c>
      <c r="I77" s="58" t="s">
        <v>2752</v>
      </c>
      <c r="J77" s="58"/>
      <c r="K77" s="58"/>
      <c r="L77" s="58" t="s">
        <v>55</v>
      </c>
      <c r="M77" s="83" t="s">
        <v>2598</v>
      </c>
      <c r="N77" s="58" t="s">
        <v>622</v>
      </c>
      <c r="O77" s="58" t="s">
        <v>933</v>
      </c>
      <c r="P77" s="58" t="s">
        <v>934</v>
      </c>
      <c r="Q77" s="58"/>
      <c r="R77" s="58"/>
      <c r="S77" s="58" t="s">
        <v>2786</v>
      </c>
      <c r="T77" s="58" t="s">
        <v>930</v>
      </c>
      <c r="U77" s="58"/>
      <c r="V77" s="58"/>
    </row>
    <row r="78" spans="1:22" ht="13.5" customHeight="1" x14ac:dyDescent="0.25">
      <c r="A78" s="58"/>
      <c r="B78" s="58"/>
      <c r="C78" s="58"/>
      <c r="D78" s="58"/>
      <c r="E78" s="58"/>
      <c r="F78" s="58" t="s">
        <v>2476</v>
      </c>
      <c r="G78" s="58" t="s">
        <v>892</v>
      </c>
      <c r="H78" s="58">
        <v>2210311</v>
      </c>
      <c r="I78" s="58" t="s">
        <v>2752</v>
      </c>
      <c r="J78" s="58"/>
      <c r="K78" s="58"/>
      <c r="L78" s="58" t="s">
        <v>55</v>
      </c>
      <c r="M78" s="83" t="s">
        <v>2599</v>
      </c>
      <c r="N78" s="58" t="s">
        <v>622</v>
      </c>
      <c r="O78" s="58" t="s">
        <v>933</v>
      </c>
      <c r="P78" s="58" t="s">
        <v>934</v>
      </c>
      <c r="Q78" s="58"/>
      <c r="R78" s="58"/>
      <c r="S78" s="58" t="s">
        <v>2786</v>
      </c>
      <c r="T78" s="58" t="s">
        <v>930</v>
      </c>
      <c r="U78" s="58"/>
      <c r="V78" s="58"/>
    </row>
    <row r="79" spans="1:22" ht="13.5" customHeight="1" x14ac:dyDescent="0.25">
      <c r="A79" s="58"/>
      <c r="B79" s="58"/>
      <c r="C79" s="58"/>
      <c r="D79" s="58"/>
      <c r="E79" s="58"/>
      <c r="F79" s="58" t="s">
        <v>2477</v>
      </c>
      <c r="G79" s="58" t="s">
        <v>893</v>
      </c>
      <c r="H79" s="58">
        <v>2210312</v>
      </c>
      <c r="I79" s="58" t="s">
        <v>2752</v>
      </c>
      <c r="J79" s="58"/>
      <c r="K79" s="58"/>
      <c r="L79" s="58" t="s">
        <v>55</v>
      </c>
      <c r="M79" s="83" t="s">
        <v>2600</v>
      </c>
      <c r="N79" s="58" t="s">
        <v>622</v>
      </c>
      <c r="O79" s="58" t="s">
        <v>933</v>
      </c>
      <c r="P79" s="58" t="s">
        <v>934</v>
      </c>
      <c r="Q79" s="58"/>
      <c r="R79" s="58"/>
      <c r="S79" s="58" t="s">
        <v>2786</v>
      </c>
      <c r="T79" s="58" t="s">
        <v>930</v>
      </c>
      <c r="U79" s="58"/>
      <c r="V79" s="58"/>
    </row>
    <row r="80" spans="1:22" ht="13.5" customHeight="1" x14ac:dyDescent="0.25">
      <c r="A80" s="58"/>
      <c r="B80" s="58"/>
      <c r="C80" s="58"/>
      <c r="D80" s="58"/>
      <c r="E80" s="58"/>
      <c r="F80" s="58" t="s">
        <v>2478</v>
      </c>
      <c r="G80" s="58" t="s">
        <v>894</v>
      </c>
      <c r="H80" s="58">
        <v>2210313</v>
      </c>
      <c r="I80" s="58" t="s">
        <v>2752</v>
      </c>
      <c r="J80" s="58"/>
      <c r="K80" s="58"/>
      <c r="L80" s="58" t="s">
        <v>55</v>
      </c>
      <c r="M80" s="83" t="s">
        <v>2601</v>
      </c>
      <c r="N80" s="58" t="s">
        <v>622</v>
      </c>
      <c r="O80" s="58" t="s">
        <v>933</v>
      </c>
      <c r="P80" s="58" t="s">
        <v>934</v>
      </c>
      <c r="Q80" s="58"/>
      <c r="R80" s="58"/>
      <c r="S80" s="58" t="s">
        <v>2786</v>
      </c>
      <c r="T80" s="58" t="s">
        <v>930</v>
      </c>
      <c r="U80" s="58"/>
      <c r="V80" s="58"/>
    </row>
    <row r="81" spans="1:22" ht="13.5" customHeight="1" x14ac:dyDescent="0.25">
      <c r="A81" s="58"/>
      <c r="B81" s="58"/>
      <c r="C81" s="58"/>
      <c r="D81" s="58"/>
      <c r="E81" s="58"/>
      <c r="F81" s="58" t="s">
        <v>2479</v>
      </c>
      <c r="G81" s="58" t="s">
        <v>895</v>
      </c>
      <c r="H81" s="58">
        <v>2210314</v>
      </c>
      <c r="I81" s="58" t="s">
        <v>2752</v>
      </c>
      <c r="J81" s="58"/>
      <c r="K81" s="58"/>
      <c r="L81" s="58" t="s">
        <v>55</v>
      </c>
      <c r="M81" s="83" t="s">
        <v>2602</v>
      </c>
      <c r="N81" s="58" t="s">
        <v>622</v>
      </c>
      <c r="O81" s="58" t="s">
        <v>933</v>
      </c>
      <c r="P81" s="58" t="s">
        <v>934</v>
      </c>
      <c r="Q81" s="58"/>
      <c r="R81" s="58"/>
      <c r="S81" s="58" t="s">
        <v>2786</v>
      </c>
      <c r="T81" s="58" t="s">
        <v>930</v>
      </c>
      <c r="U81" s="58"/>
      <c r="V81" s="58"/>
    </row>
    <row r="82" spans="1:22" ht="13.5" customHeight="1" x14ac:dyDescent="0.25">
      <c r="A82" s="58"/>
      <c r="B82" s="58"/>
      <c r="C82" s="58"/>
      <c r="D82" s="58"/>
      <c r="E82" s="58"/>
      <c r="F82" s="58" t="s">
        <v>2480</v>
      </c>
      <c r="G82" s="58" t="s">
        <v>896</v>
      </c>
      <c r="H82" s="58">
        <v>2210315</v>
      </c>
      <c r="I82" s="58" t="s">
        <v>2752</v>
      </c>
      <c r="J82" s="58"/>
      <c r="K82" s="58"/>
      <c r="L82" s="58" t="s">
        <v>55</v>
      </c>
      <c r="M82" s="83" t="s">
        <v>2603</v>
      </c>
      <c r="N82" s="58" t="s">
        <v>622</v>
      </c>
      <c r="O82" s="58" t="s">
        <v>933</v>
      </c>
      <c r="P82" s="58" t="s">
        <v>934</v>
      </c>
      <c r="Q82" s="58"/>
      <c r="R82" s="58"/>
      <c r="S82" s="58" t="s">
        <v>2786</v>
      </c>
      <c r="T82" s="58" t="s">
        <v>930</v>
      </c>
      <c r="U82" s="58"/>
      <c r="V82" s="58"/>
    </row>
    <row r="83" spans="1:22" ht="13.5" customHeight="1" x14ac:dyDescent="0.25">
      <c r="A83" s="58"/>
      <c r="B83" s="58"/>
      <c r="C83" s="58"/>
      <c r="D83" s="58"/>
      <c r="E83" s="58"/>
      <c r="F83" s="58" t="s">
        <v>2481</v>
      </c>
      <c r="G83" s="58" t="s">
        <v>897</v>
      </c>
      <c r="H83" s="58">
        <v>2210316</v>
      </c>
      <c r="I83" s="58" t="s">
        <v>2752</v>
      </c>
      <c r="J83" s="58"/>
      <c r="K83" s="58"/>
      <c r="L83" s="58" t="s">
        <v>55</v>
      </c>
      <c r="M83" s="83" t="s">
        <v>2604</v>
      </c>
      <c r="N83" s="58" t="s">
        <v>622</v>
      </c>
      <c r="O83" s="58" t="s">
        <v>933</v>
      </c>
      <c r="P83" s="58" t="s">
        <v>934</v>
      </c>
      <c r="Q83" s="58"/>
      <c r="R83" s="58"/>
      <c r="S83" s="58" t="s">
        <v>2786</v>
      </c>
      <c r="T83" s="58" t="s">
        <v>930</v>
      </c>
      <c r="U83" s="58"/>
      <c r="V83" s="58"/>
    </row>
    <row r="84" spans="1:22" ht="13.5" customHeight="1" x14ac:dyDescent="0.25">
      <c r="A84" s="58"/>
      <c r="B84" s="58"/>
      <c r="C84" s="58"/>
      <c r="D84" s="58"/>
      <c r="E84" s="58"/>
      <c r="F84" s="58" t="s">
        <v>2482</v>
      </c>
      <c r="G84" s="58" t="s">
        <v>898</v>
      </c>
      <c r="H84" s="58">
        <v>2210317</v>
      </c>
      <c r="I84" s="58" t="s">
        <v>2752</v>
      </c>
      <c r="J84" s="58"/>
      <c r="K84" s="58"/>
      <c r="L84" s="58" t="s">
        <v>55</v>
      </c>
      <c r="M84" s="83" t="s">
        <v>2605</v>
      </c>
      <c r="N84" s="58" t="s">
        <v>622</v>
      </c>
      <c r="O84" s="58" t="s">
        <v>933</v>
      </c>
      <c r="P84" s="58" t="s">
        <v>934</v>
      </c>
      <c r="Q84" s="58"/>
      <c r="R84" s="58"/>
      <c r="S84" s="58" t="s">
        <v>2786</v>
      </c>
      <c r="T84" s="58" t="s">
        <v>930</v>
      </c>
      <c r="U84" s="58"/>
      <c r="V84" s="58"/>
    </row>
    <row r="85" spans="1:22" ht="13.5" customHeight="1" x14ac:dyDescent="0.25">
      <c r="A85" s="58"/>
      <c r="B85" s="58"/>
      <c r="C85" s="58"/>
      <c r="D85" s="58"/>
      <c r="E85" s="58"/>
      <c r="F85" s="58" t="s">
        <v>2483</v>
      </c>
      <c r="G85" s="58" t="s">
        <v>899</v>
      </c>
      <c r="H85" s="58">
        <v>2210318</v>
      </c>
      <c r="I85" s="58" t="s">
        <v>2752</v>
      </c>
      <c r="J85" s="58"/>
      <c r="K85" s="58"/>
      <c r="L85" s="58" t="s">
        <v>55</v>
      </c>
      <c r="M85" s="83" t="s">
        <v>2606</v>
      </c>
      <c r="N85" s="58" t="s">
        <v>622</v>
      </c>
      <c r="O85" s="58" t="s">
        <v>933</v>
      </c>
      <c r="P85" s="58" t="s">
        <v>934</v>
      </c>
      <c r="Q85" s="58"/>
      <c r="R85" s="58"/>
      <c r="S85" s="58" t="s">
        <v>2786</v>
      </c>
      <c r="T85" s="58" t="s">
        <v>930</v>
      </c>
      <c r="U85" s="58"/>
      <c r="V85" s="58"/>
    </row>
    <row r="86" spans="1:22" ht="13.5" customHeight="1" x14ac:dyDescent="0.25">
      <c r="A86" s="58"/>
      <c r="B86" s="58"/>
      <c r="C86" s="58"/>
      <c r="D86" s="58"/>
      <c r="E86" s="58"/>
      <c r="F86" s="58" t="s">
        <v>2484</v>
      </c>
      <c r="G86" s="58" t="s">
        <v>900</v>
      </c>
      <c r="H86" s="58">
        <v>2210319</v>
      </c>
      <c r="I86" s="58" t="s">
        <v>2752</v>
      </c>
      <c r="J86" s="58"/>
      <c r="K86" s="58"/>
      <c r="L86" s="58" t="s">
        <v>55</v>
      </c>
      <c r="M86" s="83" t="s">
        <v>2607</v>
      </c>
      <c r="N86" s="58" t="s">
        <v>622</v>
      </c>
      <c r="O86" s="58" t="s">
        <v>933</v>
      </c>
      <c r="P86" s="58" t="s">
        <v>934</v>
      </c>
      <c r="Q86" s="58"/>
      <c r="R86" s="58"/>
      <c r="S86" s="58" t="s">
        <v>2786</v>
      </c>
      <c r="T86" s="58" t="s">
        <v>930</v>
      </c>
      <c r="U86" s="58"/>
      <c r="V86" s="58"/>
    </row>
    <row r="87" spans="1:22" ht="13.5" customHeight="1" x14ac:dyDescent="0.25">
      <c r="A87" s="58"/>
      <c r="B87" s="58"/>
      <c r="C87" s="58"/>
      <c r="D87" s="58"/>
      <c r="E87" s="58"/>
      <c r="F87" s="58" t="s">
        <v>2485</v>
      </c>
      <c r="G87" s="58" t="s">
        <v>901</v>
      </c>
      <c r="H87" s="58">
        <v>2210320</v>
      </c>
      <c r="I87" s="58" t="s">
        <v>2752</v>
      </c>
      <c r="J87" s="58"/>
      <c r="K87" s="58"/>
      <c r="L87" s="58" t="s">
        <v>55</v>
      </c>
      <c r="M87" s="83" t="s">
        <v>2608</v>
      </c>
      <c r="N87" s="58" t="s">
        <v>622</v>
      </c>
      <c r="O87" s="58" t="s">
        <v>933</v>
      </c>
      <c r="P87" s="58" t="s">
        <v>934</v>
      </c>
      <c r="Q87" s="58"/>
      <c r="R87" s="58"/>
      <c r="S87" s="58" t="s">
        <v>2786</v>
      </c>
      <c r="T87" s="58" t="s">
        <v>930</v>
      </c>
      <c r="U87" s="58"/>
      <c r="V87" s="58"/>
    </row>
    <row r="88" spans="1:22" ht="13.5" customHeight="1" x14ac:dyDescent="0.25">
      <c r="A88" s="58"/>
      <c r="B88" s="58"/>
      <c r="C88" s="58"/>
      <c r="D88" s="58"/>
      <c r="E88" s="58"/>
      <c r="F88" s="58" t="s">
        <v>2486</v>
      </c>
      <c r="G88" s="58" t="s">
        <v>902</v>
      </c>
      <c r="H88" s="58">
        <v>2210321</v>
      </c>
      <c r="I88" s="58" t="s">
        <v>2752</v>
      </c>
      <c r="J88" s="58"/>
      <c r="K88" s="58"/>
      <c r="L88" s="58" t="s">
        <v>55</v>
      </c>
      <c r="M88" s="83" t="s">
        <v>2609</v>
      </c>
      <c r="N88" s="58" t="s">
        <v>622</v>
      </c>
      <c r="O88" s="58" t="s">
        <v>933</v>
      </c>
      <c r="P88" s="58" t="s">
        <v>934</v>
      </c>
      <c r="Q88" s="58"/>
      <c r="R88" s="58"/>
      <c r="S88" s="58" t="s">
        <v>2786</v>
      </c>
      <c r="T88" s="58" t="s">
        <v>930</v>
      </c>
      <c r="U88" s="58"/>
      <c r="V88" s="58"/>
    </row>
    <row r="89" spans="1:22" ht="13.5" customHeight="1" x14ac:dyDescent="0.25">
      <c r="A89" s="58"/>
      <c r="B89" s="58"/>
      <c r="C89" s="58"/>
      <c r="D89" s="58"/>
      <c r="E89" s="58"/>
      <c r="F89" s="58" t="s">
        <v>2487</v>
      </c>
      <c r="G89" s="58" t="s">
        <v>903</v>
      </c>
      <c r="H89" s="58">
        <v>2210322</v>
      </c>
      <c r="I89" s="58" t="s">
        <v>2752</v>
      </c>
      <c r="J89" s="58"/>
      <c r="K89" s="58"/>
      <c r="L89" s="58" t="s">
        <v>55</v>
      </c>
      <c r="M89" s="83" t="s">
        <v>2610</v>
      </c>
      <c r="N89" s="58" t="s">
        <v>622</v>
      </c>
      <c r="O89" s="58" t="s">
        <v>933</v>
      </c>
      <c r="P89" s="58" t="s">
        <v>934</v>
      </c>
      <c r="Q89" s="58"/>
      <c r="R89" s="58"/>
      <c r="S89" s="58" t="s">
        <v>2786</v>
      </c>
      <c r="T89" s="58" t="s">
        <v>930</v>
      </c>
      <c r="U89" s="58"/>
      <c r="V89" s="58"/>
    </row>
    <row r="90" spans="1:22" ht="13.5" customHeight="1" x14ac:dyDescent="0.25">
      <c r="A90" s="58"/>
      <c r="B90" s="58"/>
      <c r="C90" s="58"/>
      <c r="D90" s="58"/>
      <c r="E90" s="58"/>
      <c r="F90" s="58" t="s">
        <v>2488</v>
      </c>
      <c r="G90" s="58" t="s">
        <v>904</v>
      </c>
      <c r="H90" s="58">
        <v>2210323</v>
      </c>
      <c r="I90" s="58" t="s">
        <v>2752</v>
      </c>
      <c r="J90" s="58"/>
      <c r="K90" s="58"/>
      <c r="L90" s="58" t="s">
        <v>55</v>
      </c>
      <c r="M90" s="83" t="s">
        <v>2611</v>
      </c>
      <c r="N90" s="58" t="s">
        <v>622</v>
      </c>
      <c r="O90" s="58" t="s">
        <v>933</v>
      </c>
      <c r="P90" s="58" t="s">
        <v>934</v>
      </c>
      <c r="Q90" s="58"/>
      <c r="R90" s="58"/>
      <c r="S90" s="58" t="s">
        <v>2786</v>
      </c>
      <c r="T90" s="58" t="s">
        <v>930</v>
      </c>
      <c r="U90" s="58"/>
      <c r="V90" s="58"/>
    </row>
    <row r="91" spans="1:22" ht="13.5" customHeight="1" x14ac:dyDescent="0.25">
      <c r="A91" s="58"/>
      <c r="B91" s="58"/>
      <c r="C91" s="58"/>
      <c r="D91" s="58"/>
      <c r="E91" s="58"/>
      <c r="F91" s="58" t="s">
        <v>2489</v>
      </c>
      <c r="G91" s="58" t="s">
        <v>905</v>
      </c>
      <c r="H91" s="58">
        <v>2210324</v>
      </c>
      <c r="I91" s="58" t="s">
        <v>2752</v>
      </c>
      <c r="J91" s="58"/>
      <c r="K91" s="58"/>
      <c r="L91" s="58" t="s">
        <v>55</v>
      </c>
      <c r="M91" s="83" t="s">
        <v>2612</v>
      </c>
      <c r="N91" s="58" t="s">
        <v>622</v>
      </c>
      <c r="O91" s="58" t="s">
        <v>933</v>
      </c>
      <c r="P91" s="58" t="s">
        <v>934</v>
      </c>
      <c r="Q91" s="58"/>
      <c r="R91" s="58"/>
      <c r="S91" s="58" t="s">
        <v>2786</v>
      </c>
      <c r="T91" s="58" t="s">
        <v>930</v>
      </c>
      <c r="U91" s="58"/>
      <c r="V91" s="58"/>
    </row>
    <row r="92" spans="1:22" ht="13.5" customHeight="1" x14ac:dyDescent="0.25">
      <c r="A92" s="58"/>
      <c r="B92" s="58"/>
      <c r="C92" s="58"/>
      <c r="D92" s="58"/>
      <c r="E92" s="58"/>
      <c r="F92" s="58" t="s">
        <v>2490</v>
      </c>
      <c r="G92" s="58" t="s">
        <v>906</v>
      </c>
      <c r="H92" s="58">
        <v>2210325</v>
      </c>
      <c r="I92" s="58" t="s">
        <v>2752</v>
      </c>
      <c r="J92" s="58"/>
      <c r="K92" s="58"/>
      <c r="L92" s="58" t="s">
        <v>55</v>
      </c>
      <c r="M92" s="83" t="s">
        <v>2613</v>
      </c>
      <c r="N92" s="58" t="s">
        <v>622</v>
      </c>
      <c r="O92" s="58" t="s">
        <v>933</v>
      </c>
      <c r="P92" s="58" t="s">
        <v>934</v>
      </c>
      <c r="Q92" s="58"/>
      <c r="R92" s="58"/>
      <c r="S92" s="58" t="s">
        <v>2786</v>
      </c>
      <c r="T92" s="58" t="s">
        <v>930</v>
      </c>
      <c r="U92" s="58"/>
      <c r="V92" s="58"/>
    </row>
    <row r="93" spans="1:22" ht="13.5" customHeight="1" x14ac:dyDescent="0.25">
      <c r="A93" s="58"/>
      <c r="B93" s="58"/>
      <c r="C93" s="58"/>
      <c r="D93" s="58"/>
      <c r="E93" s="58"/>
      <c r="F93" s="58" t="s">
        <v>2491</v>
      </c>
      <c r="G93" s="58" t="s">
        <v>907</v>
      </c>
      <c r="H93" s="58">
        <v>2210326</v>
      </c>
      <c r="I93" s="58" t="s">
        <v>2752</v>
      </c>
      <c r="J93" s="58"/>
      <c r="K93" s="58"/>
      <c r="L93" s="58" t="s">
        <v>783</v>
      </c>
      <c r="M93" s="83" t="s">
        <v>2614</v>
      </c>
      <c r="N93" s="58" t="s">
        <v>635</v>
      </c>
      <c r="O93" s="58" t="s">
        <v>933</v>
      </c>
      <c r="P93" s="58" t="s">
        <v>934</v>
      </c>
      <c r="Q93" s="58"/>
      <c r="R93" s="58"/>
      <c r="S93" s="58" t="s">
        <v>2786</v>
      </c>
      <c r="T93" s="58" t="s">
        <v>930</v>
      </c>
      <c r="U93" s="58"/>
      <c r="V93" s="58"/>
    </row>
    <row r="94" spans="1:22" ht="13.5" customHeight="1" x14ac:dyDescent="0.25">
      <c r="A94" s="58"/>
      <c r="B94" s="58"/>
      <c r="C94" s="58"/>
      <c r="D94" s="58"/>
      <c r="E94" s="58"/>
      <c r="F94" s="58" t="s">
        <v>2492</v>
      </c>
      <c r="G94" s="58" t="s">
        <v>908</v>
      </c>
      <c r="H94" s="58">
        <v>2210327</v>
      </c>
      <c r="I94" s="58" t="s">
        <v>2752</v>
      </c>
      <c r="J94" s="58"/>
      <c r="K94" s="58"/>
      <c r="L94" s="58" t="s">
        <v>783</v>
      </c>
      <c r="M94" s="83" t="s">
        <v>2615</v>
      </c>
      <c r="N94" s="58" t="s">
        <v>64</v>
      </c>
      <c r="O94" s="58" t="s">
        <v>933</v>
      </c>
      <c r="P94" s="58" t="s">
        <v>934</v>
      </c>
      <c r="Q94" s="58"/>
      <c r="R94" s="58"/>
      <c r="S94" s="58" t="s">
        <v>2786</v>
      </c>
      <c r="T94" s="58" t="s">
        <v>930</v>
      </c>
      <c r="U94" s="58"/>
      <c r="V94" s="58"/>
    </row>
    <row r="95" spans="1:22" ht="13.5" customHeight="1" x14ac:dyDescent="0.25">
      <c r="A95" s="58"/>
      <c r="B95" s="58"/>
      <c r="C95" s="58"/>
      <c r="D95" s="58"/>
      <c r="E95" s="58"/>
      <c r="F95" s="58" t="s">
        <v>2493</v>
      </c>
      <c r="G95" s="58" t="s">
        <v>909</v>
      </c>
      <c r="H95" s="58">
        <v>2210328</v>
      </c>
      <c r="I95" s="58" t="s">
        <v>2752</v>
      </c>
      <c r="J95" s="58"/>
      <c r="K95" s="58"/>
      <c r="L95" s="58" t="s">
        <v>783</v>
      </c>
      <c r="M95" s="83" t="s">
        <v>2616</v>
      </c>
      <c r="N95" s="83" t="s">
        <v>2065</v>
      </c>
      <c r="O95" s="58" t="s">
        <v>933</v>
      </c>
      <c r="P95" s="58" t="s">
        <v>934</v>
      </c>
      <c r="Q95" s="58"/>
      <c r="R95" s="58"/>
      <c r="S95" s="58" t="s">
        <v>2786</v>
      </c>
      <c r="T95" s="58" t="s">
        <v>930</v>
      </c>
      <c r="U95" s="58"/>
      <c r="V95" s="58"/>
    </row>
    <row r="96" spans="1:22" ht="13.5" customHeight="1" x14ac:dyDescent="0.25">
      <c r="A96" s="58"/>
      <c r="B96" s="58"/>
      <c r="C96" s="58"/>
      <c r="D96" s="58"/>
      <c r="E96" s="58"/>
      <c r="F96" s="58" t="s">
        <v>2495</v>
      </c>
      <c r="G96" s="58" t="s">
        <v>911</v>
      </c>
      <c r="H96" s="58">
        <v>2210330</v>
      </c>
      <c r="I96" s="58" t="s">
        <v>2752</v>
      </c>
      <c r="J96" s="58"/>
      <c r="K96" s="58"/>
      <c r="L96" s="58" t="s">
        <v>55</v>
      </c>
      <c r="M96" s="83" t="s">
        <v>2618</v>
      </c>
      <c r="N96" s="58" t="s">
        <v>83</v>
      </c>
      <c r="O96" s="58" t="s">
        <v>933</v>
      </c>
      <c r="P96" s="58" t="s">
        <v>934</v>
      </c>
      <c r="Q96" s="58"/>
      <c r="R96" s="58"/>
      <c r="S96" s="58" t="s">
        <v>2786</v>
      </c>
      <c r="T96" s="58" t="s">
        <v>932</v>
      </c>
      <c r="U96" s="58"/>
      <c r="V96" s="58"/>
    </row>
    <row r="97" spans="1:23" ht="13.5" customHeight="1" x14ac:dyDescent="0.25">
      <c r="A97" s="58"/>
      <c r="B97" s="58"/>
      <c r="C97" s="58"/>
      <c r="D97" s="58"/>
      <c r="E97" s="58"/>
      <c r="F97" s="58" t="s">
        <v>2496</v>
      </c>
      <c r="G97" s="58" t="s">
        <v>912</v>
      </c>
      <c r="H97" s="58">
        <v>2210331</v>
      </c>
      <c r="I97" s="58" t="s">
        <v>2752</v>
      </c>
      <c r="J97" s="58"/>
      <c r="K97" s="58"/>
      <c r="L97" s="58" t="s">
        <v>783</v>
      </c>
      <c r="M97" s="58" t="s">
        <v>913</v>
      </c>
      <c r="N97" s="58" t="s">
        <v>914</v>
      </c>
      <c r="O97" s="58" t="s">
        <v>933</v>
      </c>
      <c r="P97" s="58" t="s">
        <v>934</v>
      </c>
      <c r="Q97" s="58"/>
      <c r="R97" s="58"/>
      <c r="S97" s="58" t="s">
        <v>2786</v>
      </c>
      <c r="T97" s="58" t="s">
        <v>930</v>
      </c>
      <c r="U97" s="58"/>
      <c r="V97" s="58"/>
    </row>
    <row r="98" spans="1:23" ht="13.5" customHeight="1" x14ac:dyDescent="0.25">
      <c r="A98" s="58"/>
      <c r="B98" s="58"/>
      <c r="C98" s="58"/>
      <c r="D98" s="58"/>
      <c r="E98" s="58"/>
      <c r="F98" s="58" t="s">
        <v>2497</v>
      </c>
      <c r="G98" s="58" t="s">
        <v>915</v>
      </c>
      <c r="H98" s="58">
        <v>2210332</v>
      </c>
      <c r="I98" s="58" t="s">
        <v>2752</v>
      </c>
      <c r="J98" s="58"/>
      <c r="K98" s="58"/>
      <c r="L98" s="58" t="s">
        <v>783</v>
      </c>
      <c r="M98" s="58" t="s">
        <v>916</v>
      </c>
      <c r="N98" s="58" t="s">
        <v>914</v>
      </c>
      <c r="O98" s="58" t="s">
        <v>933</v>
      </c>
      <c r="P98" s="58" t="s">
        <v>934</v>
      </c>
      <c r="Q98" s="58"/>
      <c r="R98" s="58"/>
      <c r="S98" s="58" t="s">
        <v>2786</v>
      </c>
      <c r="T98" s="58" t="s">
        <v>930</v>
      </c>
      <c r="U98" s="58"/>
      <c r="V98" s="58"/>
    </row>
    <row r="99" spans="1:23" ht="13.5" customHeight="1" x14ac:dyDescent="0.25">
      <c r="A99" s="58"/>
      <c r="B99" s="58"/>
      <c r="C99" s="58"/>
      <c r="D99" s="58"/>
      <c r="E99" s="58"/>
      <c r="F99" s="58" t="s">
        <v>2498</v>
      </c>
      <c r="G99" s="58" t="s">
        <v>917</v>
      </c>
      <c r="H99" s="58">
        <v>2210333</v>
      </c>
      <c r="I99" s="58" t="s">
        <v>2752</v>
      </c>
      <c r="J99" s="58"/>
      <c r="K99" s="58"/>
      <c r="L99" s="58" t="s">
        <v>783</v>
      </c>
      <c r="M99" s="83" t="s">
        <v>2619</v>
      </c>
      <c r="N99" s="83" t="s">
        <v>2070</v>
      </c>
      <c r="O99" s="58" t="s">
        <v>933</v>
      </c>
      <c r="P99" s="58" t="s">
        <v>934</v>
      </c>
      <c r="Q99" s="58"/>
      <c r="R99" s="58"/>
      <c r="S99" s="58" t="s">
        <v>2786</v>
      </c>
      <c r="T99" s="58" t="s">
        <v>930</v>
      </c>
      <c r="U99" s="58"/>
      <c r="V99" s="58"/>
    </row>
    <row r="100" spans="1:23" ht="13.5" customHeight="1" x14ac:dyDescent="0.25">
      <c r="A100" s="58"/>
      <c r="B100" s="58"/>
      <c r="C100" s="58"/>
      <c r="D100" s="58"/>
      <c r="E100" s="58"/>
      <c r="F100" s="58" t="s">
        <v>2499</v>
      </c>
      <c r="G100" s="58" t="s">
        <v>919</v>
      </c>
      <c r="H100" s="58">
        <v>2210334</v>
      </c>
      <c r="I100" s="58" t="s">
        <v>2752</v>
      </c>
      <c r="J100" s="58"/>
      <c r="K100" s="58"/>
      <c r="L100" s="58" t="s">
        <v>783</v>
      </c>
      <c r="M100" s="83" t="s">
        <v>2620</v>
      </c>
      <c r="N100" s="58" t="s">
        <v>918</v>
      </c>
      <c r="O100" s="58" t="s">
        <v>933</v>
      </c>
      <c r="P100" s="58" t="s">
        <v>934</v>
      </c>
      <c r="Q100" s="58"/>
      <c r="R100" s="58"/>
      <c r="S100" s="58" t="s">
        <v>2786</v>
      </c>
      <c r="T100" s="58" t="s">
        <v>930</v>
      </c>
      <c r="U100" s="58"/>
      <c r="V100" s="58"/>
    </row>
    <row r="101" spans="1:23" ht="13.5" customHeight="1" x14ac:dyDescent="0.25">
      <c r="A101" s="58"/>
      <c r="B101" s="58"/>
      <c r="C101" s="58"/>
      <c r="D101" s="58"/>
      <c r="E101" s="58"/>
      <c r="F101" s="58" t="s">
        <v>2500</v>
      </c>
      <c r="G101" s="58" t="s">
        <v>920</v>
      </c>
      <c r="H101" s="58">
        <v>2210335</v>
      </c>
      <c r="I101" s="58" t="s">
        <v>2752</v>
      </c>
      <c r="J101" s="58"/>
      <c r="K101" s="58"/>
      <c r="L101" s="58" t="s">
        <v>783</v>
      </c>
      <c r="M101" s="83" t="s">
        <v>2621</v>
      </c>
      <c r="N101" s="58" t="s">
        <v>918</v>
      </c>
      <c r="O101" s="58" t="s">
        <v>933</v>
      </c>
      <c r="P101" s="58" t="s">
        <v>934</v>
      </c>
      <c r="Q101" s="58"/>
      <c r="R101" s="58"/>
      <c r="S101" s="58" t="s">
        <v>2786</v>
      </c>
      <c r="T101" s="58" t="s">
        <v>930</v>
      </c>
      <c r="U101" s="58"/>
      <c r="V101" s="58"/>
    </row>
    <row r="102" spans="1:23" ht="13.5" customHeight="1" x14ac:dyDescent="0.25">
      <c r="A102" s="58"/>
      <c r="B102" s="58"/>
      <c r="C102" s="58"/>
      <c r="D102" s="58"/>
      <c r="E102" s="58"/>
      <c r="F102" s="58" t="s">
        <v>2501</v>
      </c>
      <c r="G102" s="58" t="s">
        <v>921</v>
      </c>
      <c r="H102" s="58">
        <v>2210336</v>
      </c>
      <c r="I102" s="58" t="s">
        <v>2752</v>
      </c>
      <c r="J102" s="58"/>
      <c r="K102" s="58"/>
      <c r="L102" s="58" t="s">
        <v>55</v>
      </c>
      <c r="M102" s="83" t="s">
        <v>922</v>
      </c>
      <c r="N102" s="58" t="s">
        <v>83</v>
      </c>
      <c r="O102" s="58" t="s">
        <v>933</v>
      </c>
      <c r="P102" s="58" t="s">
        <v>934</v>
      </c>
      <c r="Q102" s="58"/>
      <c r="R102" s="58"/>
      <c r="S102" s="58" t="s">
        <v>2786</v>
      </c>
      <c r="T102" s="58" t="s">
        <v>930</v>
      </c>
      <c r="U102" s="58"/>
      <c r="V102" s="58"/>
    </row>
    <row r="103" spans="1:23" ht="13.5" customHeight="1" x14ac:dyDescent="0.25">
      <c r="A103" s="58"/>
      <c r="B103" s="58"/>
      <c r="C103" s="58"/>
      <c r="D103" s="58"/>
      <c r="E103" s="58"/>
      <c r="F103" s="58" t="s">
        <v>2502</v>
      </c>
      <c r="G103" s="58" t="s">
        <v>923</v>
      </c>
      <c r="H103" s="58">
        <v>2210337</v>
      </c>
      <c r="I103" s="58" t="s">
        <v>2752</v>
      </c>
      <c r="J103" s="58"/>
      <c r="K103" s="58"/>
      <c r="L103" s="58" t="s">
        <v>55</v>
      </c>
      <c r="M103" s="83" t="s">
        <v>2622</v>
      </c>
      <c r="N103" s="58" t="s">
        <v>924</v>
      </c>
      <c r="O103" s="58" t="s">
        <v>933</v>
      </c>
      <c r="P103" s="58" t="s">
        <v>934</v>
      </c>
      <c r="Q103" s="58"/>
      <c r="R103" s="58"/>
      <c r="S103" s="58" t="s">
        <v>2786</v>
      </c>
      <c r="T103" s="58" t="s">
        <v>930</v>
      </c>
      <c r="U103" s="58"/>
      <c r="V103" s="58"/>
    </row>
    <row r="104" spans="1:23" ht="13.5" customHeight="1" x14ac:dyDescent="0.25">
      <c r="A104" s="58"/>
      <c r="B104" s="58"/>
      <c r="C104" s="58"/>
      <c r="D104" s="58"/>
      <c r="E104" s="58"/>
      <c r="F104" s="58" t="s">
        <v>2503</v>
      </c>
      <c r="G104" s="58" t="s">
        <v>925</v>
      </c>
      <c r="H104" s="58">
        <v>2210338</v>
      </c>
      <c r="I104" s="58" t="s">
        <v>2752</v>
      </c>
      <c r="J104" s="58"/>
      <c r="K104" s="58"/>
      <c r="L104" s="58" t="s">
        <v>55</v>
      </c>
      <c r="M104" s="83" t="s">
        <v>2623</v>
      </c>
      <c r="N104" s="58" t="s">
        <v>924</v>
      </c>
      <c r="O104" s="58" t="s">
        <v>933</v>
      </c>
      <c r="P104" s="58" t="s">
        <v>934</v>
      </c>
      <c r="Q104" s="58"/>
      <c r="R104" s="58"/>
      <c r="S104" s="58" t="s">
        <v>2786</v>
      </c>
      <c r="T104" s="58" t="s">
        <v>930</v>
      </c>
      <c r="U104" s="58"/>
      <c r="V104" s="58"/>
    </row>
    <row r="105" spans="1:23" ht="13.5" customHeight="1" x14ac:dyDescent="0.25">
      <c r="A105" s="58"/>
      <c r="B105" s="58"/>
      <c r="C105" s="58"/>
      <c r="D105" s="58"/>
      <c r="E105" s="58"/>
      <c r="F105" s="58" t="s">
        <v>2504</v>
      </c>
      <c r="G105" s="58" t="s">
        <v>926</v>
      </c>
      <c r="H105" s="58">
        <v>2210339</v>
      </c>
      <c r="I105" s="58" t="s">
        <v>2752</v>
      </c>
      <c r="J105" s="58"/>
      <c r="K105" s="58"/>
      <c r="L105" s="58" t="s">
        <v>55</v>
      </c>
      <c r="M105" s="83" t="s">
        <v>2624</v>
      </c>
      <c r="N105" s="58" t="s">
        <v>924</v>
      </c>
      <c r="O105" s="58" t="s">
        <v>933</v>
      </c>
      <c r="P105" s="58" t="s">
        <v>934</v>
      </c>
      <c r="Q105" s="58"/>
      <c r="R105" s="58"/>
      <c r="S105" s="58" t="s">
        <v>2786</v>
      </c>
      <c r="T105" s="58" t="s">
        <v>930</v>
      </c>
      <c r="U105" s="58"/>
      <c r="V105" s="58"/>
    </row>
    <row r="106" spans="1:23" ht="13.5" customHeight="1" x14ac:dyDescent="0.25">
      <c r="A106" s="58"/>
      <c r="B106" s="58"/>
      <c r="C106" s="58"/>
      <c r="D106" s="58"/>
      <c r="E106" s="58"/>
      <c r="F106" s="58" t="s">
        <v>2505</v>
      </c>
      <c r="G106" s="58" t="s">
        <v>927</v>
      </c>
      <c r="H106" s="58">
        <v>2210340</v>
      </c>
      <c r="I106" s="58" t="s">
        <v>2752</v>
      </c>
      <c r="J106" s="58"/>
      <c r="K106" s="58"/>
      <c r="L106" s="58" t="s">
        <v>55</v>
      </c>
      <c r="M106" s="83" t="s">
        <v>2625</v>
      </c>
      <c r="N106" s="58" t="s">
        <v>924</v>
      </c>
      <c r="O106" s="58" t="s">
        <v>933</v>
      </c>
      <c r="P106" s="58" t="s">
        <v>934</v>
      </c>
      <c r="Q106" s="58"/>
      <c r="R106" s="58"/>
      <c r="S106" s="58" t="s">
        <v>2786</v>
      </c>
      <c r="T106" s="58" t="s">
        <v>930</v>
      </c>
      <c r="U106" s="58"/>
      <c r="V106" s="58"/>
    </row>
    <row r="107" spans="1:23" ht="13.5" customHeight="1" x14ac:dyDescent="0.25">
      <c r="A107" s="58"/>
      <c r="B107" s="58"/>
      <c r="C107" s="58"/>
      <c r="D107" s="58"/>
      <c r="E107" s="58"/>
      <c r="F107" s="58" t="s">
        <v>2506</v>
      </c>
      <c r="G107" s="58" t="s">
        <v>928</v>
      </c>
      <c r="H107" s="58">
        <v>2210341</v>
      </c>
      <c r="I107" s="58" t="s">
        <v>2752</v>
      </c>
      <c r="J107" s="58"/>
      <c r="K107" s="58"/>
      <c r="L107" s="58" t="s">
        <v>55</v>
      </c>
      <c r="M107" s="83" t="s">
        <v>2626</v>
      </c>
      <c r="N107" s="58" t="s">
        <v>924</v>
      </c>
      <c r="O107" s="58" t="s">
        <v>933</v>
      </c>
      <c r="P107" s="58" t="s">
        <v>934</v>
      </c>
      <c r="Q107" s="58"/>
      <c r="R107" s="58"/>
      <c r="S107" s="58" t="s">
        <v>2786</v>
      </c>
      <c r="T107" s="58" t="s">
        <v>930</v>
      </c>
      <c r="U107" s="58"/>
      <c r="V107" s="58"/>
    </row>
    <row r="108" spans="1:23" ht="13.5" customHeight="1" x14ac:dyDescent="0.25">
      <c r="A108" s="58"/>
      <c r="B108" s="58"/>
      <c r="C108" s="58"/>
      <c r="D108" s="58"/>
      <c r="E108" s="58"/>
      <c r="F108" s="58" t="s">
        <v>2507</v>
      </c>
      <c r="G108" s="58" t="s">
        <v>929</v>
      </c>
      <c r="H108" s="58">
        <v>2210342</v>
      </c>
      <c r="I108" s="58" t="s">
        <v>2752</v>
      </c>
      <c r="J108" s="58"/>
      <c r="K108" s="58"/>
      <c r="L108" s="58" t="s">
        <v>783</v>
      </c>
      <c r="M108" s="83" t="s">
        <v>2627</v>
      </c>
      <c r="N108" s="58" t="s">
        <v>914</v>
      </c>
      <c r="O108" s="58" t="s">
        <v>933</v>
      </c>
      <c r="P108" s="58" t="s">
        <v>934</v>
      </c>
      <c r="Q108" s="58"/>
      <c r="R108" s="58"/>
      <c r="S108" s="58" t="s">
        <v>2786</v>
      </c>
      <c r="T108" s="58" t="s">
        <v>930</v>
      </c>
      <c r="U108" s="58"/>
      <c r="V108" s="58"/>
    </row>
    <row r="109" spans="1:23" s="46" customFormat="1" ht="13.5" customHeight="1" x14ac:dyDescent="0.25">
      <c r="A109" s="58"/>
      <c r="B109" s="58"/>
      <c r="C109" s="58"/>
      <c r="D109" s="58"/>
      <c r="E109" s="58" t="s">
        <v>2464</v>
      </c>
      <c r="F109" s="58"/>
      <c r="G109" s="58"/>
      <c r="H109" s="58"/>
      <c r="I109" s="58"/>
      <c r="J109" s="58"/>
      <c r="K109" s="58"/>
      <c r="L109" s="58"/>
      <c r="M109" s="58"/>
      <c r="N109" s="58"/>
      <c r="O109" s="58"/>
      <c r="P109" s="58"/>
      <c r="Q109" s="58"/>
      <c r="R109" s="58"/>
      <c r="S109" s="58"/>
      <c r="T109" s="58"/>
      <c r="U109" s="58"/>
      <c r="V109" s="58"/>
    </row>
    <row r="110" spans="1:23" s="46" customFormat="1" ht="13.5" customHeight="1" x14ac:dyDescent="0.25">
      <c r="A110" s="58"/>
      <c r="B110" s="58"/>
      <c r="C110" s="58"/>
      <c r="D110" s="58"/>
      <c r="E110" s="58"/>
      <c r="F110" s="58" t="s">
        <v>2508</v>
      </c>
      <c r="G110" s="58" t="s">
        <v>2465</v>
      </c>
      <c r="H110" s="58">
        <v>2210401</v>
      </c>
      <c r="I110" s="58" t="s">
        <v>2752</v>
      </c>
      <c r="J110" s="58"/>
      <c r="K110" s="58"/>
      <c r="L110" s="58" t="s">
        <v>55</v>
      </c>
      <c r="M110" s="83" t="s">
        <v>2550</v>
      </c>
      <c r="N110" s="58" t="s">
        <v>622</v>
      </c>
      <c r="O110" s="58" t="s">
        <v>933</v>
      </c>
      <c r="P110" s="58" t="s">
        <v>934</v>
      </c>
      <c r="Q110" s="58"/>
      <c r="R110" s="58"/>
      <c r="S110" s="58" t="s">
        <v>2786</v>
      </c>
      <c r="T110" s="58" t="s">
        <v>930</v>
      </c>
      <c r="U110" s="58"/>
      <c r="V110" s="58"/>
      <c r="W110" s="46" t="s">
        <v>2672</v>
      </c>
    </row>
    <row r="111" spans="1:23" s="46" customFormat="1" ht="13.5" customHeight="1" x14ac:dyDescent="0.25">
      <c r="A111" s="58"/>
      <c r="B111" s="58"/>
      <c r="C111" s="58"/>
      <c r="D111" s="58"/>
      <c r="E111" s="58"/>
      <c r="F111" s="58" t="s">
        <v>2509</v>
      </c>
      <c r="G111" s="58" t="s">
        <v>883</v>
      </c>
      <c r="H111" s="58">
        <v>2210402</v>
      </c>
      <c r="I111" s="58" t="s">
        <v>2752</v>
      </c>
      <c r="J111" s="58"/>
      <c r="K111" s="58"/>
      <c r="L111" s="58" t="s">
        <v>55</v>
      </c>
      <c r="M111" s="83" t="s">
        <v>2551</v>
      </c>
      <c r="N111" s="58" t="s">
        <v>622</v>
      </c>
      <c r="O111" s="58" t="s">
        <v>933</v>
      </c>
      <c r="P111" s="58" t="s">
        <v>934</v>
      </c>
      <c r="Q111" s="58"/>
      <c r="R111" s="58"/>
      <c r="S111" s="58" t="s">
        <v>2786</v>
      </c>
      <c r="T111" s="58" t="s">
        <v>930</v>
      </c>
      <c r="U111" s="58"/>
      <c r="V111" s="58"/>
      <c r="W111" s="46" t="s">
        <v>2672</v>
      </c>
    </row>
    <row r="112" spans="1:23" s="46" customFormat="1" ht="13.5" customHeight="1" x14ac:dyDescent="0.25">
      <c r="A112" s="58"/>
      <c r="B112" s="58"/>
      <c r="C112" s="58"/>
      <c r="D112" s="58"/>
      <c r="E112" s="58"/>
      <c r="F112" s="58" t="s">
        <v>2510</v>
      </c>
      <c r="G112" s="58" t="s">
        <v>884</v>
      </c>
      <c r="H112" s="58">
        <v>2210403</v>
      </c>
      <c r="I112" s="58" t="s">
        <v>2752</v>
      </c>
      <c r="J112" s="58"/>
      <c r="K112" s="58"/>
      <c r="L112" s="58" t="s">
        <v>55</v>
      </c>
      <c r="M112" s="83" t="s">
        <v>2552</v>
      </c>
      <c r="N112" s="58" t="s">
        <v>622</v>
      </c>
      <c r="O112" s="58" t="s">
        <v>933</v>
      </c>
      <c r="P112" s="58" t="s">
        <v>934</v>
      </c>
      <c r="Q112" s="58"/>
      <c r="R112" s="58"/>
      <c r="S112" s="58" t="s">
        <v>2786</v>
      </c>
      <c r="T112" s="58" t="s">
        <v>930</v>
      </c>
      <c r="U112" s="58"/>
      <c r="V112" s="58"/>
      <c r="W112" s="46" t="s">
        <v>2672</v>
      </c>
    </row>
    <row r="113" spans="1:23" s="46" customFormat="1" ht="13.5" customHeight="1" x14ac:dyDescent="0.25">
      <c r="A113" s="58"/>
      <c r="B113" s="58"/>
      <c r="C113" s="58"/>
      <c r="D113" s="58"/>
      <c r="E113" s="58"/>
      <c r="F113" s="58" t="s">
        <v>2511</v>
      </c>
      <c r="G113" s="58" t="s">
        <v>885</v>
      </c>
      <c r="H113" s="58">
        <v>2210404</v>
      </c>
      <c r="I113" s="58" t="s">
        <v>2752</v>
      </c>
      <c r="J113" s="58"/>
      <c r="K113" s="58"/>
      <c r="L113" s="58" t="s">
        <v>55</v>
      </c>
      <c r="M113" s="83" t="s">
        <v>2553</v>
      </c>
      <c r="N113" s="58" t="s">
        <v>622</v>
      </c>
      <c r="O113" s="58" t="s">
        <v>933</v>
      </c>
      <c r="P113" s="58" t="s">
        <v>934</v>
      </c>
      <c r="Q113" s="58"/>
      <c r="R113" s="58"/>
      <c r="S113" s="58" t="s">
        <v>2786</v>
      </c>
      <c r="T113" s="58" t="s">
        <v>930</v>
      </c>
      <c r="U113" s="58"/>
      <c r="V113" s="58"/>
      <c r="W113" s="46" t="s">
        <v>2672</v>
      </c>
    </row>
    <row r="114" spans="1:23" s="46" customFormat="1" ht="13.5" customHeight="1" x14ac:dyDescent="0.25">
      <c r="A114" s="58"/>
      <c r="B114" s="58"/>
      <c r="C114" s="58"/>
      <c r="D114" s="58"/>
      <c r="E114" s="58"/>
      <c r="F114" s="58" t="s">
        <v>2512</v>
      </c>
      <c r="G114" s="58" t="s">
        <v>886</v>
      </c>
      <c r="H114" s="58">
        <v>2210405</v>
      </c>
      <c r="I114" s="58" t="s">
        <v>2752</v>
      </c>
      <c r="J114" s="58"/>
      <c r="K114" s="58"/>
      <c r="L114" s="58" t="s">
        <v>55</v>
      </c>
      <c r="M114" s="83" t="s">
        <v>2554</v>
      </c>
      <c r="N114" s="58" t="s">
        <v>622</v>
      </c>
      <c r="O114" s="58" t="s">
        <v>933</v>
      </c>
      <c r="P114" s="58" t="s">
        <v>934</v>
      </c>
      <c r="Q114" s="58"/>
      <c r="R114" s="58"/>
      <c r="S114" s="58" t="s">
        <v>2786</v>
      </c>
      <c r="T114" s="58" t="s">
        <v>930</v>
      </c>
      <c r="U114" s="58"/>
      <c r="V114" s="58"/>
      <c r="W114" s="46" t="s">
        <v>2672</v>
      </c>
    </row>
    <row r="115" spans="1:23" s="46" customFormat="1" ht="13.5" customHeight="1" x14ac:dyDescent="0.25">
      <c r="A115" s="58"/>
      <c r="B115" s="58"/>
      <c r="C115" s="58"/>
      <c r="D115" s="58"/>
      <c r="E115" s="58"/>
      <c r="F115" s="58" t="s">
        <v>2513</v>
      </c>
      <c r="G115" s="58" t="s">
        <v>887</v>
      </c>
      <c r="H115" s="58">
        <v>2210406</v>
      </c>
      <c r="I115" s="58" t="s">
        <v>2752</v>
      </c>
      <c r="J115" s="58"/>
      <c r="K115" s="58"/>
      <c r="L115" s="58" t="s">
        <v>55</v>
      </c>
      <c r="M115" s="83" t="s">
        <v>2555</v>
      </c>
      <c r="N115" s="58" t="s">
        <v>622</v>
      </c>
      <c r="O115" s="58" t="s">
        <v>933</v>
      </c>
      <c r="P115" s="58" t="s">
        <v>934</v>
      </c>
      <c r="Q115" s="58"/>
      <c r="R115" s="58"/>
      <c r="S115" s="58" t="s">
        <v>2786</v>
      </c>
      <c r="T115" s="58" t="s">
        <v>930</v>
      </c>
      <c r="U115" s="58"/>
      <c r="V115" s="58"/>
      <c r="W115" s="46" t="s">
        <v>2672</v>
      </c>
    </row>
    <row r="116" spans="1:23" s="46" customFormat="1" ht="13.5" customHeight="1" x14ac:dyDescent="0.25">
      <c r="A116" s="58"/>
      <c r="B116" s="58"/>
      <c r="C116" s="58"/>
      <c r="D116" s="58"/>
      <c r="E116" s="58"/>
      <c r="F116" s="58" t="s">
        <v>2514</v>
      </c>
      <c r="G116" s="58" t="s">
        <v>888</v>
      </c>
      <c r="H116" s="58">
        <v>2210407</v>
      </c>
      <c r="I116" s="58" t="s">
        <v>2752</v>
      </c>
      <c r="J116" s="58"/>
      <c r="K116" s="58"/>
      <c r="L116" s="58" t="s">
        <v>55</v>
      </c>
      <c r="M116" s="83" t="s">
        <v>2556</v>
      </c>
      <c r="N116" s="58" t="s">
        <v>622</v>
      </c>
      <c r="O116" s="58" t="s">
        <v>933</v>
      </c>
      <c r="P116" s="58" t="s">
        <v>934</v>
      </c>
      <c r="Q116" s="58"/>
      <c r="R116" s="58"/>
      <c r="S116" s="58" t="s">
        <v>2786</v>
      </c>
      <c r="T116" s="58" t="s">
        <v>930</v>
      </c>
      <c r="U116" s="58"/>
      <c r="V116" s="58"/>
      <c r="W116" s="46" t="s">
        <v>2672</v>
      </c>
    </row>
    <row r="117" spans="1:23" s="46" customFormat="1" ht="13.5" customHeight="1" x14ac:dyDescent="0.25">
      <c r="A117" s="58"/>
      <c r="B117" s="58"/>
      <c r="C117" s="58"/>
      <c r="D117" s="58"/>
      <c r="E117" s="58"/>
      <c r="F117" s="58" t="s">
        <v>2515</v>
      </c>
      <c r="G117" s="58" t="s">
        <v>889</v>
      </c>
      <c r="H117" s="58">
        <v>2210408</v>
      </c>
      <c r="I117" s="58" t="s">
        <v>2752</v>
      </c>
      <c r="J117" s="58"/>
      <c r="K117" s="58"/>
      <c r="L117" s="58" t="s">
        <v>55</v>
      </c>
      <c r="M117" s="83" t="s">
        <v>2557</v>
      </c>
      <c r="N117" s="58" t="s">
        <v>622</v>
      </c>
      <c r="O117" s="58" t="s">
        <v>933</v>
      </c>
      <c r="P117" s="58" t="s">
        <v>934</v>
      </c>
      <c r="Q117" s="58"/>
      <c r="R117" s="58"/>
      <c r="S117" s="58" t="s">
        <v>2786</v>
      </c>
      <c r="T117" s="58" t="s">
        <v>930</v>
      </c>
      <c r="U117" s="58"/>
      <c r="V117" s="58"/>
      <c r="W117" s="46" t="s">
        <v>2672</v>
      </c>
    </row>
    <row r="118" spans="1:23" s="46" customFormat="1" ht="13.5" customHeight="1" x14ac:dyDescent="0.25">
      <c r="A118" s="58"/>
      <c r="B118" s="58"/>
      <c r="C118" s="58"/>
      <c r="D118" s="58"/>
      <c r="E118" s="58"/>
      <c r="F118" s="58" t="s">
        <v>2516</v>
      </c>
      <c r="G118" s="58" t="s">
        <v>890</v>
      </c>
      <c r="H118" s="58">
        <v>2210409</v>
      </c>
      <c r="I118" s="58" t="s">
        <v>2752</v>
      </c>
      <c r="J118" s="58"/>
      <c r="K118" s="58"/>
      <c r="L118" s="58" t="s">
        <v>55</v>
      </c>
      <c r="M118" s="83" t="s">
        <v>2558</v>
      </c>
      <c r="N118" s="58" t="s">
        <v>622</v>
      </c>
      <c r="O118" s="58" t="s">
        <v>933</v>
      </c>
      <c r="P118" s="58" t="s">
        <v>934</v>
      </c>
      <c r="Q118" s="58"/>
      <c r="R118" s="58"/>
      <c r="S118" s="58" t="s">
        <v>2786</v>
      </c>
      <c r="T118" s="58" t="s">
        <v>930</v>
      </c>
      <c r="U118" s="58"/>
      <c r="V118" s="58"/>
      <c r="W118" s="46" t="s">
        <v>2672</v>
      </c>
    </row>
    <row r="119" spans="1:23" s="46" customFormat="1" ht="13.5" customHeight="1" x14ac:dyDescent="0.25">
      <c r="A119" s="58"/>
      <c r="B119" s="58"/>
      <c r="C119" s="58"/>
      <c r="D119" s="58"/>
      <c r="E119" s="58"/>
      <c r="F119" s="58" t="s">
        <v>2517</v>
      </c>
      <c r="G119" s="58" t="s">
        <v>891</v>
      </c>
      <c r="H119" s="58">
        <v>2210410</v>
      </c>
      <c r="I119" s="58" t="s">
        <v>2752</v>
      </c>
      <c r="J119" s="58"/>
      <c r="K119" s="58"/>
      <c r="L119" s="58" t="s">
        <v>55</v>
      </c>
      <c r="M119" s="83" t="s">
        <v>2559</v>
      </c>
      <c r="N119" s="58" t="s">
        <v>622</v>
      </c>
      <c r="O119" s="58" t="s">
        <v>933</v>
      </c>
      <c r="P119" s="58" t="s">
        <v>934</v>
      </c>
      <c r="Q119" s="58"/>
      <c r="R119" s="58"/>
      <c r="S119" s="58" t="s">
        <v>2786</v>
      </c>
      <c r="T119" s="58" t="s">
        <v>930</v>
      </c>
      <c r="U119" s="58"/>
      <c r="V119" s="58"/>
      <c r="W119" s="46" t="s">
        <v>2672</v>
      </c>
    </row>
    <row r="120" spans="1:23" s="46" customFormat="1" ht="13.5" customHeight="1" x14ac:dyDescent="0.25">
      <c r="A120" s="58"/>
      <c r="B120" s="58"/>
      <c r="C120" s="58"/>
      <c r="D120" s="58"/>
      <c r="E120" s="58"/>
      <c r="F120" s="58" t="s">
        <v>2518</v>
      </c>
      <c r="G120" s="58" t="s">
        <v>892</v>
      </c>
      <c r="H120" s="58">
        <v>2210411</v>
      </c>
      <c r="I120" s="58" t="s">
        <v>2752</v>
      </c>
      <c r="J120" s="58"/>
      <c r="K120" s="58"/>
      <c r="L120" s="58" t="s">
        <v>55</v>
      </c>
      <c r="M120" s="83" t="s">
        <v>2560</v>
      </c>
      <c r="N120" s="58" t="s">
        <v>622</v>
      </c>
      <c r="O120" s="58" t="s">
        <v>933</v>
      </c>
      <c r="P120" s="58" t="s">
        <v>934</v>
      </c>
      <c r="Q120" s="58"/>
      <c r="R120" s="58"/>
      <c r="S120" s="58" t="s">
        <v>2786</v>
      </c>
      <c r="T120" s="58" t="s">
        <v>930</v>
      </c>
      <c r="U120" s="58"/>
      <c r="V120" s="58"/>
      <c r="W120" s="46" t="s">
        <v>2672</v>
      </c>
    </row>
    <row r="121" spans="1:23" s="46" customFormat="1" ht="13.5" customHeight="1" x14ac:dyDescent="0.25">
      <c r="A121" s="58"/>
      <c r="B121" s="58"/>
      <c r="C121" s="58"/>
      <c r="D121" s="58"/>
      <c r="E121" s="58"/>
      <c r="F121" s="58" t="s">
        <v>2519</v>
      </c>
      <c r="G121" s="58" t="s">
        <v>893</v>
      </c>
      <c r="H121" s="58">
        <v>2210412</v>
      </c>
      <c r="I121" s="58" t="s">
        <v>2752</v>
      </c>
      <c r="J121" s="58"/>
      <c r="K121" s="58"/>
      <c r="L121" s="58" t="s">
        <v>55</v>
      </c>
      <c r="M121" s="83" t="s">
        <v>2561</v>
      </c>
      <c r="N121" s="58" t="s">
        <v>622</v>
      </c>
      <c r="O121" s="58" t="s">
        <v>933</v>
      </c>
      <c r="P121" s="58" t="s">
        <v>934</v>
      </c>
      <c r="Q121" s="58"/>
      <c r="R121" s="58"/>
      <c r="S121" s="58" t="s">
        <v>2786</v>
      </c>
      <c r="T121" s="58" t="s">
        <v>930</v>
      </c>
      <c r="U121" s="58"/>
      <c r="V121" s="58"/>
      <c r="W121" s="46" t="s">
        <v>2672</v>
      </c>
    </row>
    <row r="122" spans="1:23" s="46" customFormat="1" ht="13.5" customHeight="1" x14ac:dyDescent="0.25">
      <c r="A122" s="58"/>
      <c r="B122" s="58"/>
      <c r="C122" s="58"/>
      <c r="D122" s="58"/>
      <c r="E122" s="58"/>
      <c r="F122" s="58" t="s">
        <v>2520</v>
      </c>
      <c r="G122" s="58" t="s">
        <v>894</v>
      </c>
      <c r="H122" s="58">
        <v>2210413</v>
      </c>
      <c r="I122" s="58" t="s">
        <v>2752</v>
      </c>
      <c r="J122" s="58"/>
      <c r="K122" s="58"/>
      <c r="L122" s="58" t="s">
        <v>55</v>
      </c>
      <c r="M122" s="83" t="s">
        <v>2562</v>
      </c>
      <c r="N122" s="58" t="s">
        <v>622</v>
      </c>
      <c r="O122" s="58" t="s">
        <v>933</v>
      </c>
      <c r="P122" s="58" t="s">
        <v>934</v>
      </c>
      <c r="Q122" s="58"/>
      <c r="R122" s="58"/>
      <c r="S122" s="58" t="s">
        <v>2786</v>
      </c>
      <c r="T122" s="58" t="s">
        <v>930</v>
      </c>
      <c r="U122" s="58"/>
      <c r="V122" s="58"/>
      <c r="W122" s="46" t="s">
        <v>2672</v>
      </c>
    </row>
    <row r="123" spans="1:23" s="46" customFormat="1" ht="13.5" customHeight="1" x14ac:dyDescent="0.25">
      <c r="A123" s="58"/>
      <c r="B123" s="58"/>
      <c r="C123" s="58"/>
      <c r="D123" s="58"/>
      <c r="E123" s="58"/>
      <c r="F123" s="58" t="s">
        <v>2521</v>
      </c>
      <c r="G123" s="58" t="s">
        <v>895</v>
      </c>
      <c r="H123" s="58">
        <v>2210414</v>
      </c>
      <c r="I123" s="58" t="s">
        <v>2752</v>
      </c>
      <c r="J123" s="58"/>
      <c r="K123" s="58"/>
      <c r="L123" s="58" t="s">
        <v>55</v>
      </c>
      <c r="M123" s="83" t="s">
        <v>2563</v>
      </c>
      <c r="N123" s="58" t="s">
        <v>622</v>
      </c>
      <c r="O123" s="58" t="s">
        <v>933</v>
      </c>
      <c r="P123" s="58" t="s">
        <v>934</v>
      </c>
      <c r="Q123" s="58"/>
      <c r="R123" s="58"/>
      <c r="S123" s="58" t="s">
        <v>2786</v>
      </c>
      <c r="T123" s="58" t="s">
        <v>930</v>
      </c>
      <c r="U123" s="58"/>
      <c r="V123" s="58"/>
      <c r="W123" s="46" t="s">
        <v>2672</v>
      </c>
    </row>
    <row r="124" spans="1:23" s="46" customFormat="1" ht="13.5" customHeight="1" x14ac:dyDescent="0.25">
      <c r="A124" s="58"/>
      <c r="B124" s="58"/>
      <c r="C124" s="58"/>
      <c r="D124" s="58"/>
      <c r="E124" s="58"/>
      <c r="F124" s="58" t="s">
        <v>2522</v>
      </c>
      <c r="G124" s="58" t="s">
        <v>896</v>
      </c>
      <c r="H124" s="58">
        <v>2210415</v>
      </c>
      <c r="I124" s="58" t="s">
        <v>2752</v>
      </c>
      <c r="J124" s="58"/>
      <c r="K124" s="58"/>
      <c r="L124" s="58" t="s">
        <v>55</v>
      </c>
      <c r="M124" s="83" t="s">
        <v>2564</v>
      </c>
      <c r="N124" s="58" t="s">
        <v>622</v>
      </c>
      <c r="O124" s="58" t="s">
        <v>933</v>
      </c>
      <c r="P124" s="58" t="s">
        <v>934</v>
      </c>
      <c r="Q124" s="58"/>
      <c r="R124" s="58"/>
      <c r="S124" s="58" t="s">
        <v>2786</v>
      </c>
      <c r="T124" s="58" t="s">
        <v>930</v>
      </c>
      <c r="U124" s="58"/>
      <c r="V124" s="58"/>
      <c r="W124" s="46" t="s">
        <v>2672</v>
      </c>
    </row>
    <row r="125" spans="1:23" s="46" customFormat="1" ht="13.5" customHeight="1" x14ac:dyDescent="0.25">
      <c r="A125" s="58"/>
      <c r="B125" s="58"/>
      <c r="C125" s="58"/>
      <c r="D125" s="58"/>
      <c r="E125" s="58"/>
      <c r="F125" s="58" t="s">
        <v>2523</v>
      </c>
      <c r="G125" s="58" t="s">
        <v>897</v>
      </c>
      <c r="H125" s="58">
        <v>2210416</v>
      </c>
      <c r="I125" s="58" t="s">
        <v>2752</v>
      </c>
      <c r="J125" s="58"/>
      <c r="K125" s="58"/>
      <c r="L125" s="58" t="s">
        <v>55</v>
      </c>
      <c r="M125" s="83" t="s">
        <v>2565</v>
      </c>
      <c r="N125" s="58" t="s">
        <v>622</v>
      </c>
      <c r="O125" s="58" t="s">
        <v>933</v>
      </c>
      <c r="P125" s="58" t="s">
        <v>934</v>
      </c>
      <c r="Q125" s="58"/>
      <c r="R125" s="58"/>
      <c r="S125" s="58" t="s">
        <v>2786</v>
      </c>
      <c r="T125" s="58" t="s">
        <v>930</v>
      </c>
      <c r="U125" s="58"/>
      <c r="V125" s="58"/>
      <c r="W125" s="46" t="s">
        <v>2672</v>
      </c>
    </row>
    <row r="126" spans="1:23" s="46" customFormat="1" ht="13.5" customHeight="1" x14ac:dyDescent="0.25">
      <c r="A126" s="58"/>
      <c r="B126" s="58"/>
      <c r="C126" s="58"/>
      <c r="D126" s="58"/>
      <c r="E126" s="58"/>
      <c r="F126" s="58" t="s">
        <v>2524</v>
      </c>
      <c r="G126" s="58" t="s">
        <v>898</v>
      </c>
      <c r="H126" s="58">
        <v>2210417</v>
      </c>
      <c r="I126" s="58" t="s">
        <v>2752</v>
      </c>
      <c r="J126" s="58"/>
      <c r="K126" s="58"/>
      <c r="L126" s="58" t="s">
        <v>55</v>
      </c>
      <c r="M126" s="83" t="s">
        <v>2566</v>
      </c>
      <c r="N126" s="58" t="s">
        <v>622</v>
      </c>
      <c r="O126" s="58" t="s">
        <v>933</v>
      </c>
      <c r="P126" s="58" t="s">
        <v>934</v>
      </c>
      <c r="Q126" s="58"/>
      <c r="R126" s="58"/>
      <c r="S126" s="58" t="s">
        <v>2786</v>
      </c>
      <c r="T126" s="58" t="s">
        <v>930</v>
      </c>
      <c r="U126" s="58"/>
      <c r="V126" s="58"/>
      <c r="W126" s="46" t="s">
        <v>2672</v>
      </c>
    </row>
    <row r="127" spans="1:23" s="46" customFormat="1" ht="13.5" customHeight="1" x14ac:dyDescent="0.25">
      <c r="A127" s="58"/>
      <c r="B127" s="58"/>
      <c r="C127" s="58"/>
      <c r="D127" s="58"/>
      <c r="E127" s="58"/>
      <c r="F127" s="58" t="s">
        <v>2525</v>
      </c>
      <c r="G127" s="58" t="s">
        <v>899</v>
      </c>
      <c r="H127" s="58">
        <v>2210418</v>
      </c>
      <c r="I127" s="58" t="s">
        <v>2752</v>
      </c>
      <c r="J127" s="58"/>
      <c r="K127" s="58"/>
      <c r="L127" s="58" t="s">
        <v>55</v>
      </c>
      <c r="M127" s="83" t="s">
        <v>2567</v>
      </c>
      <c r="N127" s="58" t="s">
        <v>622</v>
      </c>
      <c r="O127" s="58" t="s">
        <v>933</v>
      </c>
      <c r="P127" s="58" t="s">
        <v>934</v>
      </c>
      <c r="Q127" s="58"/>
      <c r="R127" s="58"/>
      <c r="S127" s="58" t="s">
        <v>2786</v>
      </c>
      <c r="T127" s="58" t="s">
        <v>930</v>
      </c>
      <c r="U127" s="58"/>
      <c r="V127" s="58"/>
      <c r="W127" s="46" t="s">
        <v>2672</v>
      </c>
    </row>
    <row r="128" spans="1:23" s="46" customFormat="1" ht="13.5" customHeight="1" x14ac:dyDescent="0.25">
      <c r="A128" s="58"/>
      <c r="B128" s="58"/>
      <c r="C128" s="58"/>
      <c r="D128" s="58"/>
      <c r="E128" s="58"/>
      <c r="F128" s="58" t="s">
        <v>2526</v>
      </c>
      <c r="G128" s="58" t="s">
        <v>900</v>
      </c>
      <c r="H128" s="58">
        <v>2210419</v>
      </c>
      <c r="I128" s="58" t="s">
        <v>2752</v>
      </c>
      <c r="J128" s="58"/>
      <c r="K128" s="58"/>
      <c r="L128" s="58" t="s">
        <v>55</v>
      </c>
      <c r="M128" s="83" t="s">
        <v>2568</v>
      </c>
      <c r="N128" s="58" t="s">
        <v>622</v>
      </c>
      <c r="O128" s="58" t="s">
        <v>933</v>
      </c>
      <c r="P128" s="58" t="s">
        <v>934</v>
      </c>
      <c r="Q128" s="58"/>
      <c r="R128" s="58"/>
      <c r="S128" s="58" t="s">
        <v>2786</v>
      </c>
      <c r="T128" s="58" t="s">
        <v>930</v>
      </c>
      <c r="U128" s="58"/>
      <c r="V128" s="58"/>
      <c r="W128" s="46" t="s">
        <v>2672</v>
      </c>
    </row>
    <row r="129" spans="1:23" s="46" customFormat="1" ht="13.5" customHeight="1" x14ac:dyDescent="0.25">
      <c r="A129" s="58"/>
      <c r="B129" s="58"/>
      <c r="C129" s="58"/>
      <c r="D129" s="58"/>
      <c r="E129" s="58"/>
      <c r="F129" s="58" t="s">
        <v>2527</v>
      </c>
      <c r="G129" s="58" t="s">
        <v>901</v>
      </c>
      <c r="H129" s="58">
        <v>2210420</v>
      </c>
      <c r="I129" s="58" t="s">
        <v>2752</v>
      </c>
      <c r="J129" s="58"/>
      <c r="K129" s="58"/>
      <c r="L129" s="58" t="s">
        <v>55</v>
      </c>
      <c r="M129" s="83" t="s">
        <v>2569</v>
      </c>
      <c r="N129" s="58" t="s">
        <v>622</v>
      </c>
      <c r="O129" s="58" t="s">
        <v>933</v>
      </c>
      <c r="P129" s="58" t="s">
        <v>934</v>
      </c>
      <c r="Q129" s="58"/>
      <c r="R129" s="58"/>
      <c r="S129" s="58" t="s">
        <v>2786</v>
      </c>
      <c r="T129" s="58" t="s">
        <v>930</v>
      </c>
      <c r="U129" s="58"/>
      <c r="V129" s="58"/>
      <c r="W129" s="46" t="s">
        <v>2672</v>
      </c>
    </row>
    <row r="130" spans="1:23" s="46" customFormat="1" ht="13.5" customHeight="1" x14ac:dyDescent="0.25">
      <c r="A130" s="58"/>
      <c r="B130" s="58"/>
      <c r="C130" s="58"/>
      <c r="D130" s="58"/>
      <c r="E130" s="58"/>
      <c r="F130" s="58" t="s">
        <v>2528</v>
      </c>
      <c r="G130" s="58" t="s">
        <v>902</v>
      </c>
      <c r="H130" s="58">
        <v>2210421</v>
      </c>
      <c r="I130" s="58" t="s">
        <v>2752</v>
      </c>
      <c r="J130" s="58"/>
      <c r="K130" s="58"/>
      <c r="L130" s="58" t="s">
        <v>55</v>
      </c>
      <c r="M130" s="83" t="s">
        <v>2570</v>
      </c>
      <c r="N130" s="58" t="s">
        <v>622</v>
      </c>
      <c r="O130" s="58" t="s">
        <v>933</v>
      </c>
      <c r="P130" s="58" t="s">
        <v>934</v>
      </c>
      <c r="Q130" s="58"/>
      <c r="R130" s="58"/>
      <c r="S130" s="58" t="s">
        <v>2786</v>
      </c>
      <c r="T130" s="58" t="s">
        <v>930</v>
      </c>
      <c r="U130" s="58"/>
      <c r="V130" s="58"/>
      <c r="W130" s="46" t="s">
        <v>2672</v>
      </c>
    </row>
    <row r="131" spans="1:23" s="46" customFormat="1" ht="13.5" customHeight="1" x14ac:dyDescent="0.25">
      <c r="A131" s="58"/>
      <c r="B131" s="58"/>
      <c r="C131" s="58"/>
      <c r="D131" s="58"/>
      <c r="E131" s="58"/>
      <c r="F131" s="58" t="s">
        <v>2529</v>
      </c>
      <c r="G131" s="58" t="s">
        <v>903</v>
      </c>
      <c r="H131" s="58">
        <v>2210422</v>
      </c>
      <c r="I131" s="58" t="s">
        <v>2752</v>
      </c>
      <c r="J131" s="58"/>
      <c r="K131" s="58"/>
      <c r="L131" s="58" t="s">
        <v>55</v>
      </c>
      <c r="M131" s="83" t="s">
        <v>2571</v>
      </c>
      <c r="N131" s="58" t="s">
        <v>622</v>
      </c>
      <c r="O131" s="58" t="s">
        <v>933</v>
      </c>
      <c r="P131" s="58" t="s">
        <v>934</v>
      </c>
      <c r="Q131" s="58"/>
      <c r="R131" s="58"/>
      <c r="S131" s="58" t="s">
        <v>2786</v>
      </c>
      <c r="T131" s="58" t="s">
        <v>930</v>
      </c>
      <c r="U131" s="58"/>
      <c r="V131" s="58"/>
      <c r="W131" s="46" t="s">
        <v>2672</v>
      </c>
    </row>
    <row r="132" spans="1:23" s="46" customFormat="1" ht="13.5" customHeight="1" x14ac:dyDescent="0.25">
      <c r="A132" s="58"/>
      <c r="B132" s="58"/>
      <c r="C132" s="58"/>
      <c r="D132" s="58"/>
      <c r="E132" s="58"/>
      <c r="F132" s="58" t="s">
        <v>2530</v>
      </c>
      <c r="G132" s="58" t="s">
        <v>904</v>
      </c>
      <c r="H132" s="58">
        <v>2210423</v>
      </c>
      <c r="I132" s="58" t="s">
        <v>2752</v>
      </c>
      <c r="J132" s="58"/>
      <c r="K132" s="58"/>
      <c r="L132" s="58" t="s">
        <v>55</v>
      </c>
      <c r="M132" s="83" t="s">
        <v>2572</v>
      </c>
      <c r="N132" s="58" t="s">
        <v>622</v>
      </c>
      <c r="O132" s="58" t="s">
        <v>933</v>
      </c>
      <c r="P132" s="58" t="s">
        <v>934</v>
      </c>
      <c r="Q132" s="58"/>
      <c r="R132" s="58"/>
      <c r="S132" s="58" t="s">
        <v>2786</v>
      </c>
      <c r="T132" s="58" t="s">
        <v>930</v>
      </c>
      <c r="U132" s="58"/>
      <c r="V132" s="58"/>
      <c r="W132" s="46" t="s">
        <v>2672</v>
      </c>
    </row>
    <row r="133" spans="1:23" s="46" customFormat="1" ht="13.5" customHeight="1" x14ac:dyDescent="0.25">
      <c r="A133" s="58"/>
      <c r="B133" s="58"/>
      <c r="C133" s="58"/>
      <c r="D133" s="58"/>
      <c r="E133" s="58"/>
      <c r="F133" s="58" t="s">
        <v>2531</v>
      </c>
      <c r="G133" s="58" t="s">
        <v>905</v>
      </c>
      <c r="H133" s="58">
        <v>2210424</v>
      </c>
      <c r="I133" s="58" t="s">
        <v>2752</v>
      </c>
      <c r="J133" s="58"/>
      <c r="K133" s="58"/>
      <c r="L133" s="58" t="s">
        <v>55</v>
      </c>
      <c r="M133" s="83" t="s">
        <v>2573</v>
      </c>
      <c r="N133" s="58" t="s">
        <v>622</v>
      </c>
      <c r="O133" s="58" t="s">
        <v>933</v>
      </c>
      <c r="P133" s="58" t="s">
        <v>934</v>
      </c>
      <c r="Q133" s="58"/>
      <c r="R133" s="58"/>
      <c r="S133" s="58" t="s">
        <v>2786</v>
      </c>
      <c r="T133" s="58" t="s">
        <v>930</v>
      </c>
      <c r="U133" s="58"/>
      <c r="V133" s="58"/>
      <c r="W133" s="46" t="s">
        <v>2672</v>
      </c>
    </row>
    <row r="134" spans="1:23" s="46" customFormat="1" ht="13.5" customHeight="1" x14ac:dyDescent="0.25">
      <c r="A134" s="58"/>
      <c r="B134" s="58"/>
      <c r="C134" s="58"/>
      <c r="D134" s="58"/>
      <c r="E134" s="58"/>
      <c r="F134" s="58" t="s">
        <v>2532</v>
      </c>
      <c r="G134" s="58" t="s">
        <v>906</v>
      </c>
      <c r="H134" s="58">
        <v>2210425</v>
      </c>
      <c r="I134" s="58" t="s">
        <v>2752</v>
      </c>
      <c r="J134" s="58"/>
      <c r="K134" s="58"/>
      <c r="L134" s="58" t="s">
        <v>55</v>
      </c>
      <c r="M134" s="83" t="s">
        <v>2574</v>
      </c>
      <c r="N134" s="58" t="s">
        <v>622</v>
      </c>
      <c r="O134" s="58" t="s">
        <v>933</v>
      </c>
      <c r="P134" s="58" t="s">
        <v>934</v>
      </c>
      <c r="Q134" s="58"/>
      <c r="R134" s="58"/>
      <c r="S134" s="58" t="s">
        <v>2786</v>
      </c>
      <c r="T134" s="58" t="s">
        <v>930</v>
      </c>
      <c r="U134" s="58"/>
      <c r="V134" s="58"/>
      <c r="W134" s="46" t="s">
        <v>2672</v>
      </c>
    </row>
    <row r="135" spans="1:23" s="46" customFormat="1" ht="13.5" customHeight="1" x14ac:dyDescent="0.25">
      <c r="A135" s="58"/>
      <c r="B135" s="58"/>
      <c r="C135" s="58"/>
      <c r="D135" s="58"/>
      <c r="E135" s="58"/>
      <c r="F135" s="58" t="s">
        <v>2533</v>
      </c>
      <c r="G135" s="58" t="s">
        <v>907</v>
      </c>
      <c r="H135" s="58">
        <v>2210426</v>
      </c>
      <c r="I135" s="58" t="s">
        <v>2752</v>
      </c>
      <c r="J135" s="58"/>
      <c r="K135" s="58"/>
      <c r="L135" s="58" t="s">
        <v>783</v>
      </c>
      <c r="M135" s="83" t="s">
        <v>2575</v>
      </c>
      <c r="N135" s="58" t="s">
        <v>635</v>
      </c>
      <c r="O135" s="58" t="s">
        <v>933</v>
      </c>
      <c r="P135" s="58" t="s">
        <v>934</v>
      </c>
      <c r="Q135" s="58"/>
      <c r="R135" s="58"/>
      <c r="S135" s="58" t="s">
        <v>2786</v>
      </c>
      <c r="T135" s="58" t="s">
        <v>930</v>
      </c>
      <c r="U135" s="58"/>
      <c r="V135" s="58"/>
      <c r="W135" s="46" t="s">
        <v>2672</v>
      </c>
    </row>
    <row r="136" spans="1:23" s="46" customFormat="1" ht="13.5" customHeight="1" x14ac:dyDescent="0.25">
      <c r="A136" s="58"/>
      <c r="B136" s="58"/>
      <c r="C136" s="58"/>
      <c r="D136" s="58"/>
      <c r="E136" s="58"/>
      <c r="F136" s="58" t="s">
        <v>2534</v>
      </c>
      <c r="G136" s="58" t="s">
        <v>908</v>
      </c>
      <c r="H136" s="58">
        <v>2210427</v>
      </c>
      <c r="I136" s="58" t="s">
        <v>2752</v>
      </c>
      <c r="J136" s="58"/>
      <c r="K136" s="58"/>
      <c r="L136" s="58" t="s">
        <v>783</v>
      </c>
      <c r="M136" s="83" t="s">
        <v>2576</v>
      </c>
      <c r="N136" s="58" t="s">
        <v>64</v>
      </c>
      <c r="O136" s="58" t="s">
        <v>933</v>
      </c>
      <c r="P136" s="58" t="s">
        <v>934</v>
      </c>
      <c r="Q136" s="58"/>
      <c r="R136" s="58"/>
      <c r="S136" s="58" t="s">
        <v>2786</v>
      </c>
      <c r="T136" s="58" t="s">
        <v>930</v>
      </c>
      <c r="U136" s="58"/>
      <c r="V136" s="58"/>
      <c r="W136" s="46" t="s">
        <v>2672</v>
      </c>
    </row>
    <row r="137" spans="1:23" s="46" customFormat="1" ht="13.5" customHeight="1" x14ac:dyDescent="0.25">
      <c r="A137" s="58"/>
      <c r="B137" s="58"/>
      <c r="C137" s="58"/>
      <c r="D137" s="58"/>
      <c r="E137" s="58"/>
      <c r="F137" s="58" t="s">
        <v>2535</v>
      </c>
      <c r="G137" s="58" t="s">
        <v>909</v>
      </c>
      <c r="H137" s="58">
        <v>2210428</v>
      </c>
      <c r="I137" s="58" t="s">
        <v>2752</v>
      </c>
      <c r="J137" s="58"/>
      <c r="K137" s="58"/>
      <c r="L137" s="58" t="s">
        <v>783</v>
      </c>
      <c r="M137" s="83" t="s">
        <v>2577</v>
      </c>
      <c r="N137" s="83" t="s">
        <v>2065</v>
      </c>
      <c r="O137" s="58" t="s">
        <v>933</v>
      </c>
      <c r="P137" s="58" t="s">
        <v>934</v>
      </c>
      <c r="Q137" s="58"/>
      <c r="R137" s="58"/>
      <c r="S137" s="58" t="s">
        <v>2786</v>
      </c>
      <c r="T137" s="58" t="s">
        <v>930</v>
      </c>
      <c r="U137" s="58"/>
      <c r="V137" s="58"/>
      <c r="W137" s="46" t="s">
        <v>2672</v>
      </c>
    </row>
    <row r="138" spans="1:23" s="46" customFormat="1" ht="13.5" customHeight="1" x14ac:dyDescent="0.25">
      <c r="A138" s="58"/>
      <c r="B138" s="58"/>
      <c r="C138" s="58"/>
      <c r="D138" s="58"/>
      <c r="E138" s="58"/>
      <c r="F138" s="58" t="s">
        <v>2537</v>
      </c>
      <c r="G138" s="58" t="s">
        <v>911</v>
      </c>
      <c r="H138" s="58">
        <v>2210430</v>
      </c>
      <c r="I138" s="58" t="s">
        <v>2752</v>
      </c>
      <c r="J138" s="58"/>
      <c r="K138" s="58"/>
      <c r="L138" s="58" t="s">
        <v>55</v>
      </c>
      <c r="M138" s="83" t="s">
        <v>2579</v>
      </c>
      <c r="N138" s="58" t="s">
        <v>83</v>
      </c>
      <c r="O138" s="58" t="s">
        <v>933</v>
      </c>
      <c r="P138" s="58" t="s">
        <v>934</v>
      </c>
      <c r="Q138" s="58"/>
      <c r="R138" s="58"/>
      <c r="S138" s="58" t="s">
        <v>2786</v>
      </c>
      <c r="T138" s="58" t="s">
        <v>932</v>
      </c>
      <c r="U138" s="58"/>
      <c r="V138" s="58"/>
    </row>
    <row r="139" spans="1:23" s="46" customFormat="1" ht="13.5" customHeight="1" x14ac:dyDescent="0.25">
      <c r="A139" s="58"/>
      <c r="B139" s="58"/>
      <c r="C139" s="58"/>
      <c r="D139" s="58"/>
      <c r="E139" s="58"/>
      <c r="F139" s="58" t="s">
        <v>2548</v>
      </c>
      <c r="G139" s="58" t="s">
        <v>912</v>
      </c>
      <c r="H139" s="58">
        <v>2210431</v>
      </c>
      <c r="I139" s="58" t="s">
        <v>2752</v>
      </c>
      <c r="J139" s="58"/>
      <c r="K139" s="58"/>
      <c r="L139" s="58" t="s">
        <v>783</v>
      </c>
      <c r="M139" s="58" t="s">
        <v>913</v>
      </c>
      <c r="N139" s="58" t="s">
        <v>914</v>
      </c>
      <c r="O139" s="58" t="s">
        <v>933</v>
      </c>
      <c r="P139" s="58" t="s">
        <v>934</v>
      </c>
      <c r="Q139" s="58"/>
      <c r="R139" s="58"/>
      <c r="S139" s="58" t="s">
        <v>2786</v>
      </c>
      <c r="T139" s="58" t="s">
        <v>930</v>
      </c>
      <c r="U139" s="58"/>
      <c r="V139" s="58"/>
      <c r="W139" s="46" t="s">
        <v>2672</v>
      </c>
    </row>
    <row r="140" spans="1:23" s="46" customFormat="1" ht="13.5" customHeight="1" x14ac:dyDescent="0.25">
      <c r="A140" s="58"/>
      <c r="B140" s="58"/>
      <c r="C140" s="58"/>
      <c r="D140" s="58"/>
      <c r="E140" s="58"/>
      <c r="F140" s="58" t="s">
        <v>2549</v>
      </c>
      <c r="G140" s="58" t="s">
        <v>915</v>
      </c>
      <c r="H140" s="58">
        <v>2210432</v>
      </c>
      <c r="I140" s="58" t="s">
        <v>2752</v>
      </c>
      <c r="J140" s="58"/>
      <c r="K140" s="58"/>
      <c r="L140" s="58" t="s">
        <v>783</v>
      </c>
      <c r="M140" s="58" t="s">
        <v>916</v>
      </c>
      <c r="N140" s="58" t="s">
        <v>914</v>
      </c>
      <c r="O140" s="58" t="s">
        <v>933</v>
      </c>
      <c r="P140" s="58" t="s">
        <v>934</v>
      </c>
      <c r="Q140" s="58"/>
      <c r="R140" s="58"/>
      <c r="S140" s="58" t="s">
        <v>2786</v>
      </c>
      <c r="T140" s="58" t="s">
        <v>930</v>
      </c>
      <c r="U140" s="58"/>
      <c r="V140" s="58"/>
      <c r="W140" s="46" t="s">
        <v>2672</v>
      </c>
    </row>
    <row r="141" spans="1:23" s="46" customFormat="1" ht="13.5" customHeight="1" x14ac:dyDescent="0.25">
      <c r="A141" s="58"/>
      <c r="B141" s="58"/>
      <c r="C141" s="58"/>
      <c r="D141" s="58"/>
      <c r="E141" s="58"/>
      <c r="F141" s="58" t="s">
        <v>2538</v>
      </c>
      <c r="G141" s="58" t="s">
        <v>917</v>
      </c>
      <c r="H141" s="58">
        <v>2210433</v>
      </c>
      <c r="I141" s="58" t="s">
        <v>2752</v>
      </c>
      <c r="J141" s="58"/>
      <c r="K141" s="58"/>
      <c r="L141" s="58" t="s">
        <v>783</v>
      </c>
      <c r="M141" s="83" t="s">
        <v>2580</v>
      </c>
      <c r="N141" s="83" t="s">
        <v>2070</v>
      </c>
      <c r="O141" s="58" t="s">
        <v>933</v>
      </c>
      <c r="P141" s="58" t="s">
        <v>934</v>
      </c>
      <c r="Q141" s="58"/>
      <c r="R141" s="58"/>
      <c r="S141" s="58" t="s">
        <v>2786</v>
      </c>
      <c r="T141" s="58" t="s">
        <v>930</v>
      </c>
      <c r="U141" s="58"/>
      <c r="V141" s="58"/>
      <c r="W141" s="46" t="s">
        <v>2672</v>
      </c>
    </row>
    <row r="142" spans="1:23" s="46" customFormat="1" ht="13.5" customHeight="1" x14ac:dyDescent="0.25">
      <c r="A142" s="58"/>
      <c r="B142" s="58"/>
      <c r="C142" s="58"/>
      <c r="D142" s="58"/>
      <c r="E142" s="58"/>
      <c r="F142" s="58" t="s">
        <v>2539</v>
      </c>
      <c r="G142" s="58" t="s">
        <v>919</v>
      </c>
      <c r="H142" s="58">
        <v>2210434</v>
      </c>
      <c r="I142" s="58" t="s">
        <v>2752</v>
      </c>
      <c r="J142" s="58"/>
      <c r="K142" s="58"/>
      <c r="L142" s="58" t="s">
        <v>783</v>
      </c>
      <c r="M142" s="83" t="s">
        <v>2581</v>
      </c>
      <c r="N142" s="58" t="s">
        <v>918</v>
      </c>
      <c r="O142" s="58" t="s">
        <v>933</v>
      </c>
      <c r="P142" s="58" t="s">
        <v>934</v>
      </c>
      <c r="Q142" s="58"/>
      <c r="R142" s="58"/>
      <c r="S142" s="58" t="s">
        <v>2786</v>
      </c>
      <c r="T142" s="58" t="s">
        <v>930</v>
      </c>
      <c r="U142" s="58"/>
      <c r="V142" s="58"/>
      <c r="W142" s="46" t="s">
        <v>2672</v>
      </c>
    </row>
    <row r="143" spans="1:23" s="46" customFormat="1" ht="13.5" customHeight="1" x14ac:dyDescent="0.25">
      <c r="A143" s="58"/>
      <c r="B143" s="58"/>
      <c r="C143" s="58"/>
      <c r="D143" s="58"/>
      <c r="E143" s="58"/>
      <c r="F143" s="58" t="s">
        <v>2540</v>
      </c>
      <c r="G143" s="58" t="s">
        <v>920</v>
      </c>
      <c r="H143" s="58">
        <v>2210435</v>
      </c>
      <c r="I143" s="58" t="s">
        <v>2752</v>
      </c>
      <c r="J143" s="58"/>
      <c r="K143" s="58"/>
      <c r="L143" s="58" t="s">
        <v>783</v>
      </c>
      <c r="M143" s="83" t="s">
        <v>2582</v>
      </c>
      <c r="N143" s="58" t="s">
        <v>918</v>
      </c>
      <c r="O143" s="58" t="s">
        <v>933</v>
      </c>
      <c r="P143" s="58" t="s">
        <v>934</v>
      </c>
      <c r="Q143" s="58"/>
      <c r="R143" s="58"/>
      <c r="S143" s="58" t="s">
        <v>2786</v>
      </c>
      <c r="T143" s="58" t="s">
        <v>930</v>
      </c>
      <c r="U143" s="58"/>
      <c r="V143" s="58"/>
      <c r="W143" s="46" t="s">
        <v>2672</v>
      </c>
    </row>
    <row r="144" spans="1:23" s="46" customFormat="1" ht="13.5" customHeight="1" x14ac:dyDescent="0.25">
      <c r="A144" s="58"/>
      <c r="B144" s="58"/>
      <c r="C144" s="58"/>
      <c r="D144" s="58"/>
      <c r="E144" s="58"/>
      <c r="F144" s="58" t="s">
        <v>2541</v>
      </c>
      <c r="G144" s="58" t="s">
        <v>921</v>
      </c>
      <c r="H144" s="58">
        <v>2210436</v>
      </c>
      <c r="I144" s="58" t="s">
        <v>2752</v>
      </c>
      <c r="J144" s="58"/>
      <c r="K144" s="58"/>
      <c r="L144" s="58" t="s">
        <v>55</v>
      </c>
      <c r="M144" s="83" t="s">
        <v>922</v>
      </c>
      <c r="N144" s="58" t="s">
        <v>83</v>
      </c>
      <c r="O144" s="58" t="s">
        <v>933</v>
      </c>
      <c r="P144" s="58" t="s">
        <v>934</v>
      </c>
      <c r="Q144" s="58"/>
      <c r="R144" s="58"/>
      <c r="S144" s="58" t="s">
        <v>2786</v>
      </c>
      <c r="T144" s="58" t="s">
        <v>930</v>
      </c>
      <c r="U144" s="58"/>
      <c r="V144" s="58"/>
      <c r="W144" s="46" t="s">
        <v>2672</v>
      </c>
    </row>
    <row r="145" spans="1:23" s="46" customFormat="1" ht="13.5" customHeight="1" x14ac:dyDescent="0.25">
      <c r="A145" s="58"/>
      <c r="B145" s="58"/>
      <c r="C145" s="58"/>
      <c r="D145" s="58"/>
      <c r="E145" s="58"/>
      <c r="F145" s="58" t="s">
        <v>2542</v>
      </c>
      <c r="G145" s="58" t="s">
        <v>923</v>
      </c>
      <c r="H145" s="58">
        <v>2210437</v>
      </c>
      <c r="I145" s="58" t="s">
        <v>2752</v>
      </c>
      <c r="J145" s="58"/>
      <c r="K145" s="58"/>
      <c r="L145" s="58" t="s">
        <v>55</v>
      </c>
      <c r="M145" s="83" t="s">
        <v>2583</v>
      </c>
      <c r="N145" s="58" t="s">
        <v>924</v>
      </c>
      <c r="O145" s="58" t="s">
        <v>933</v>
      </c>
      <c r="P145" s="58" t="s">
        <v>934</v>
      </c>
      <c r="Q145" s="58"/>
      <c r="R145" s="58"/>
      <c r="S145" s="58" t="s">
        <v>2786</v>
      </c>
      <c r="T145" s="58" t="s">
        <v>930</v>
      </c>
      <c r="U145" s="58"/>
      <c r="V145" s="58"/>
      <c r="W145" s="46" t="s">
        <v>2672</v>
      </c>
    </row>
    <row r="146" spans="1:23" s="46" customFormat="1" ht="13.5" customHeight="1" x14ac:dyDescent="0.25">
      <c r="A146" s="58"/>
      <c r="B146" s="58"/>
      <c r="C146" s="58"/>
      <c r="D146" s="58"/>
      <c r="E146" s="58"/>
      <c r="F146" s="58" t="s">
        <v>2543</v>
      </c>
      <c r="G146" s="58" t="s">
        <v>925</v>
      </c>
      <c r="H146" s="58">
        <v>2210438</v>
      </c>
      <c r="I146" s="58" t="s">
        <v>2752</v>
      </c>
      <c r="J146" s="58"/>
      <c r="K146" s="58"/>
      <c r="L146" s="58" t="s">
        <v>55</v>
      </c>
      <c r="M146" s="83" t="s">
        <v>2584</v>
      </c>
      <c r="N146" s="58" t="s">
        <v>924</v>
      </c>
      <c r="O146" s="58" t="s">
        <v>933</v>
      </c>
      <c r="P146" s="58" t="s">
        <v>934</v>
      </c>
      <c r="Q146" s="58"/>
      <c r="R146" s="58"/>
      <c r="S146" s="58" t="s">
        <v>2786</v>
      </c>
      <c r="T146" s="58" t="s">
        <v>930</v>
      </c>
      <c r="U146" s="58"/>
      <c r="V146" s="58"/>
      <c r="W146" s="46" t="s">
        <v>2672</v>
      </c>
    </row>
    <row r="147" spans="1:23" s="46" customFormat="1" ht="13.5" customHeight="1" x14ac:dyDescent="0.25">
      <c r="A147" s="58"/>
      <c r="B147" s="58"/>
      <c r="C147" s="58"/>
      <c r="D147" s="58"/>
      <c r="E147" s="58"/>
      <c r="F147" s="58" t="s">
        <v>2544</v>
      </c>
      <c r="G147" s="58" t="s">
        <v>926</v>
      </c>
      <c r="H147" s="58">
        <v>2210439</v>
      </c>
      <c r="I147" s="58" t="s">
        <v>2752</v>
      </c>
      <c r="J147" s="58"/>
      <c r="K147" s="58"/>
      <c r="L147" s="58" t="s">
        <v>55</v>
      </c>
      <c r="M147" s="83" t="s">
        <v>2585</v>
      </c>
      <c r="N147" s="58" t="s">
        <v>924</v>
      </c>
      <c r="O147" s="58" t="s">
        <v>933</v>
      </c>
      <c r="P147" s="58" t="s">
        <v>934</v>
      </c>
      <c r="Q147" s="58"/>
      <c r="R147" s="58"/>
      <c r="S147" s="58" t="s">
        <v>2786</v>
      </c>
      <c r="T147" s="58" t="s">
        <v>930</v>
      </c>
      <c r="U147" s="58"/>
      <c r="V147" s="58"/>
      <c r="W147" s="46" t="s">
        <v>2672</v>
      </c>
    </row>
    <row r="148" spans="1:23" s="46" customFormat="1" ht="13.5" customHeight="1" x14ac:dyDescent="0.25">
      <c r="A148" s="58"/>
      <c r="B148" s="58"/>
      <c r="C148" s="58"/>
      <c r="D148" s="58"/>
      <c r="E148" s="58"/>
      <c r="F148" s="58" t="s">
        <v>2545</v>
      </c>
      <c r="G148" s="58" t="s">
        <v>927</v>
      </c>
      <c r="H148" s="58">
        <v>2210440</v>
      </c>
      <c r="I148" s="58" t="s">
        <v>2752</v>
      </c>
      <c r="J148" s="58"/>
      <c r="K148" s="58"/>
      <c r="L148" s="58" t="s">
        <v>55</v>
      </c>
      <c r="M148" s="83" t="s">
        <v>2586</v>
      </c>
      <c r="N148" s="58" t="s">
        <v>924</v>
      </c>
      <c r="O148" s="58" t="s">
        <v>933</v>
      </c>
      <c r="P148" s="58" t="s">
        <v>934</v>
      </c>
      <c r="Q148" s="58"/>
      <c r="R148" s="58"/>
      <c r="S148" s="58" t="s">
        <v>2786</v>
      </c>
      <c r="T148" s="58" t="s">
        <v>930</v>
      </c>
      <c r="U148" s="58"/>
      <c r="V148" s="58"/>
      <c r="W148" s="46" t="s">
        <v>2672</v>
      </c>
    </row>
    <row r="149" spans="1:23" s="46" customFormat="1" ht="13.5" customHeight="1" x14ac:dyDescent="0.25">
      <c r="A149" s="58"/>
      <c r="B149" s="58"/>
      <c r="C149" s="58"/>
      <c r="D149" s="58"/>
      <c r="E149" s="58"/>
      <c r="F149" s="58" t="s">
        <v>2546</v>
      </c>
      <c r="G149" s="58" t="s">
        <v>928</v>
      </c>
      <c r="H149" s="58">
        <v>2210441</v>
      </c>
      <c r="I149" s="58" t="s">
        <v>2752</v>
      </c>
      <c r="J149" s="58"/>
      <c r="K149" s="58"/>
      <c r="L149" s="58" t="s">
        <v>55</v>
      </c>
      <c r="M149" s="83" t="s">
        <v>2587</v>
      </c>
      <c r="N149" s="58" t="s">
        <v>924</v>
      </c>
      <c r="O149" s="58" t="s">
        <v>933</v>
      </c>
      <c r="P149" s="58" t="s">
        <v>934</v>
      </c>
      <c r="Q149" s="58"/>
      <c r="R149" s="58"/>
      <c r="S149" s="58" t="s">
        <v>2786</v>
      </c>
      <c r="T149" s="58" t="s">
        <v>930</v>
      </c>
      <c r="U149" s="58"/>
      <c r="V149" s="58"/>
      <c r="W149" s="46" t="s">
        <v>2672</v>
      </c>
    </row>
    <row r="150" spans="1:23" s="46" customFormat="1" ht="13.5" customHeight="1" x14ac:dyDescent="0.25">
      <c r="A150" s="58"/>
      <c r="B150" s="58"/>
      <c r="C150" s="58"/>
      <c r="D150" s="58"/>
      <c r="E150" s="58"/>
      <c r="F150" s="58" t="s">
        <v>2547</v>
      </c>
      <c r="G150" s="58" t="s">
        <v>929</v>
      </c>
      <c r="H150" s="58">
        <v>2210442</v>
      </c>
      <c r="I150" s="58" t="s">
        <v>2752</v>
      </c>
      <c r="J150" s="58"/>
      <c r="K150" s="58"/>
      <c r="L150" s="58" t="s">
        <v>783</v>
      </c>
      <c r="M150" s="83" t="s">
        <v>2588</v>
      </c>
      <c r="N150" s="58" t="s">
        <v>914</v>
      </c>
      <c r="O150" s="58" t="s">
        <v>933</v>
      </c>
      <c r="P150" s="58" t="s">
        <v>934</v>
      </c>
      <c r="Q150" s="58"/>
      <c r="R150" s="58"/>
      <c r="S150" s="58" t="s">
        <v>2786</v>
      </c>
      <c r="T150" s="58" t="s">
        <v>930</v>
      </c>
      <c r="U150" s="58"/>
      <c r="V150" s="58"/>
      <c r="W150" s="46" t="s">
        <v>2672</v>
      </c>
    </row>
    <row r="151" spans="1:23" ht="13" customHeight="1" x14ac:dyDescent="0.25">
      <c r="A151" s="58"/>
      <c r="B151" s="58"/>
      <c r="C151" s="58"/>
      <c r="D151" s="58" t="s">
        <v>1638</v>
      </c>
      <c r="E151" s="58"/>
      <c r="F151" s="58"/>
      <c r="G151" s="58"/>
      <c r="H151" s="58"/>
      <c r="I151" s="58"/>
      <c r="J151" s="58"/>
      <c r="K151" s="58"/>
      <c r="L151" s="58"/>
      <c r="M151" s="58"/>
      <c r="N151" s="58"/>
      <c r="O151" s="58"/>
      <c r="P151" s="58"/>
      <c r="Q151" s="58"/>
      <c r="R151" s="58"/>
      <c r="S151" s="58"/>
      <c r="T151" s="58"/>
      <c r="U151" s="58"/>
      <c r="V151" s="58"/>
    </row>
    <row r="152" spans="1:23" ht="13.5" customHeight="1" x14ac:dyDescent="0.25">
      <c r="A152" s="58"/>
      <c r="B152" s="58"/>
      <c r="C152" s="58"/>
      <c r="D152" s="58"/>
      <c r="E152" s="58" t="s">
        <v>217</v>
      </c>
      <c r="F152" s="58"/>
      <c r="G152" s="58"/>
      <c r="H152" s="58"/>
      <c r="I152" s="58"/>
      <c r="J152" s="58"/>
      <c r="K152" s="58"/>
      <c r="L152" s="58"/>
      <c r="M152" s="58"/>
      <c r="N152" s="58"/>
      <c r="O152" s="58"/>
      <c r="P152" s="58"/>
      <c r="Q152" s="58"/>
      <c r="R152" s="58"/>
      <c r="S152" s="58"/>
      <c r="T152" s="58"/>
      <c r="U152" s="58"/>
      <c r="V152" s="58"/>
    </row>
    <row r="153" spans="1:23" ht="13.5" customHeight="1" x14ac:dyDescent="0.25">
      <c r="A153" s="58"/>
      <c r="B153" s="58"/>
      <c r="C153" s="58"/>
      <c r="D153" s="58"/>
      <c r="E153" s="58"/>
      <c r="F153" s="58" t="s">
        <v>2254</v>
      </c>
      <c r="G153" s="58" t="s">
        <v>2255</v>
      </c>
      <c r="H153" s="58">
        <v>2211101</v>
      </c>
      <c r="I153" s="58" t="s">
        <v>2754</v>
      </c>
      <c r="J153" s="58"/>
      <c r="K153" s="58"/>
      <c r="L153" s="58" t="s">
        <v>783</v>
      </c>
      <c r="M153" s="83" t="s">
        <v>2713</v>
      </c>
      <c r="N153" s="58" t="s">
        <v>1639</v>
      </c>
      <c r="O153" s="58" t="s">
        <v>933</v>
      </c>
      <c r="P153" s="58" t="s">
        <v>934</v>
      </c>
      <c r="Q153" s="58"/>
      <c r="R153" s="58"/>
      <c r="S153" s="58" t="s">
        <v>113</v>
      </c>
      <c r="T153" s="58" t="s">
        <v>930</v>
      </c>
      <c r="U153" s="58"/>
      <c r="V153" s="58"/>
      <c r="W153" t="s">
        <v>2453</v>
      </c>
    </row>
    <row r="154" spans="1:23" ht="13.5" customHeight="1" x14ac:dyDescent="0.25">
      <c r="A154" s="58"/>
      <c r="B154" s="58"/>
      <c r="C154" s="58"/>
      <c r="D154" s="58"/>
      <c r="E154" s="58"/>
      <c r="F154" s="58" t="s">
        <v>2708</v>
      </c>
      <c r="G154" s="58" t="s">
        <v>2256</v>
      </c>
      <c r="H154" s="58">
        <v>2211102</v>
      </c>
      <c r="I154" s="58" t="s">
        <v>2754</v>
      </c>
      <c r="J154" s="58"/>
      <c r="K154" s="58"/>
      <c r="L154" s="58" t="s">
        <v>783</v>
      </c>
      <c r="M154" s="83" t="s">
        <v>2714</v>
      </c>
      <c r="N154" s="58" t="s">
        <v>1639</v>
      </c>
      <c r="O154" s="58" t="s">
        <v>933</v>
      </c>
      <c r="P154" s="58" t="s">
        <v>934</v>
      </c>
      <c r="Q154" s="58"/>
      <c r="R154" s="58"/>
      <c r="S154" s="58" t="s">
        <v>113</v>
      </c>
      <c r="T154" s="58" t="s">
        <v>930</v>
      </c>
      <c r="U154" s="58"/>
      <c r="V154" s="58"/>
      <c r="W154" s="46" t="s">
        <v>2709</v>
      </c>
    </row>
    <row r="155" spans="1:23" ht="13.5" customHeight="1" x14ac:dyDescent="0.25">
      <c r="A155" s="58"/>
      <c r="B155" s="58"/>
      <c r="C155" s="58"/>
      <c r="D155" s="58"/>
      <c r="E155" s="58"/>
      <c r="F155" s="58" t="s">
        <v>2129</v>
      </c>
      <c r="G155" s="58" t="s">
        <v>2257</v>
      </c>
      <c r="H155" s="58">
        <v>2211103</v>
      </c>
      <c r="I155" s="58" t="s">
        <v>2754</v>
      </c>
      <c r="J155" s="58"/>
      <c r="K155" s="58"/>
      <c r="L155" s="58" t="s">
        <v>783</v>
      </c>
      <c r="M155" s="83" t="s">
        <v>2715</v>
      </c>
      <c r="N155" s="58" t="s">
        <v>1639</v>
      </c>
      <c r="O155" s="58" t="s">
        <v>933</v>
      </c>
      <c r="P155" s="58" t="s">
        <v>934</v>
      </c>
      <c r="Q155" s="58"/>
      <c r="R155" s="58"/>
      <c r="S155" s="58" t="s">
        <v>113</v>
      </c>
      <c r="T155" s="58" t="s">
        <v>930</v>
      </c>
      <c r="U155" s="58"/>
      <c r="V155" s="58"/>
      <c r="W155" s="46" t="s">
        <v>2695</v>
      </c>
    </row>
    <row r="156" spans="1:23" ht="13.5" customHeight="1" x14ac:dyDescent="0.25">
      <c r="A156" s="58"/>
      <c r="B156" s="58"/>
      <c r="C156" s="58"/>
      <c r="D156" s="58"/>
      <c r="E156" s="58"/>
      <c r="F156" s="58" t="s">
        <v>2130</v>
      </c>
      <c r="G156" s="58" t="s">
        <v>2258</v>
      </c>
      <c r="H156" s="58">
        <v>2211104</v>
      </c>
      <c r="I156" s="58" t="s">
        <v>2754</v>
      </c>
      <c r="J156" s="58"/>
      <c r="K156" s="58"/>
      <c r="L156" s="58" t="s">
        <v>783</v>
      </c>
      <c r="M156" s="83" t="s">
        <v>2716</v>
      </c>
      <c r="N156" s="58" t="s">
        <v>1639</v>
      </c>
      <c r="O156" s="58" t="s">
        <v>933</v>
      </c>
      <c r="P156" s="58" t="s">
        <v>934</v>
      </c>
      <c r="Q156" s="58"/>
      <c r="R156" s="58"/>
      <c r="S156" s="58" t="s">
        <v>113</v>
      </c>
      <c r="T156" s="58" t="s">
        <v>930</v>
      </c>
      <c r="U156" s="58"/>
      <c r="V156" s="58"/>
      <c r="W156" s="46" t="s">
        <v>2695</v>
      </c>
    </row>
    <row r="157" spans="1:23" ht="13.5" customHeight="1" x14ac:dyDescent="0.25">
      <c r="A157" s="58"/>
      <c r="B157" s="58"/>
      <c r="C157" s="58"/>
      <c r="D157" s="58"/>
      <c r="E157" s="58"/>
      <c r="F157" s="58" t="s">
        <v>2259</v>
      </c>
      <c r="G157" s="58" t="s">
        <v>2260</v>
      </c>
      <c r="H157" s="58">
        <v>2211105</v>
      </c>
      <c r="I157" s="58" t="s">
        <v>2754</v>
      </c>
      <c r="J157" s="58"/>
      <c r="K157" s="58"/>
      <c r="L157" s="58" t="s">
        <v>783</v>
      </c>
      <c r="M157" s="83" t="s">
        <v>2717</v>
      </c>
      <c r="N157" s="58" t="s">
        <v>1639</v>
      </c>
      <c r="O157" s="58" t="s">
        <v>933</v>
      </c>
      <c r="P157" s="58" t="s">
        <v>934</v>
      </c>
      <c r="Q157" s="58"/>
      <c r="R157" s="58"/>
      <c r="S157" s="58" t="s">
        <v>113</v>
      </c>
      <c r="T157" s="58" t="s">
        <v>930</v>
      </c>
      <c r="U157" s="58"/>
      <c r="V157" s="58"/>
      <c r="W157" s="46" t="s">
        <v>2695</v>
      </c>
    </row>
    <row r="158" spans="1:23" ht="13.5" customHeight="1" x14ac:dyDescent="0.25">
      <c r="A158" s="58"/>
      <c r="B158" s="58"/>
      <c r="C158" s="58"/>
      <c r="D158" s="58"/>
      <c r="E158" s="58"/>
      <c r="F158" s="58" t="s">
        <v>2261</v>
      </c>
      <c r="G158" s="58" t="s">
        <v>2262</v>
      </c>
      <c r="H158" s="58">
        <v>2211106</v>
      </c>
      <c r="I158" s="58" t="s">
        <v>2754</v>
      </c>
      <c r="J158" s="58"/>
      <c r="K158" s="58"/>
      <c r="L158" s="58" t="s">
        <v>783</v>
      </c>
      <c r="M158" s="83" t="s">
        <v>2718</v>
      </c>
      <c r="N158" s="58" t="s">
        <v>1639</v>
      </c>
      <c r="O158" s="58" t="s">
        <v>933</v>
      </c>
      <c r="P158" s="58" t="s">
        <v>934</v>
      </c>
      <c r="Q158" s="58"/>
      <c r="R158" s="58"/>
      <c r="S158" s="58" t="s">
        <v>113</v>
      </c>
      <c r="T158" s="58" t="s">
        <v>930</v>
      </c>
      <c r="U158" s="58"/>
      <c r="V158" s="58"/>
      <c r="W158" s="46" t="s">
        <v>2695</v>
      </c>
    </row>
    <row r="159" spans="1:23" ht="13.5" customHeight="1" x14ac:dyDescent="0.25">
      <c r="A159" s="58"/>
      <c r="B159" s="58"/>
      <c r="C159" s="58"/>
      <c r="D159" s="58"/>
      <c r="E159" s="58"/>
      <c r="F159" s="58" t="s">
        <v>2449</v>
      </c>
      <c r="G159" s="58" t="s">
        <v>2458</v>
      </c>
      <c r="H159" s="58">
        <v>2211107</v>
      </c>
      <c r="I159" s="58" t="s">
        <v>2754</v>
      </c>
      <c r="J159" s="58"/>
      <c r="K159" s="58"/>
      <c r="L159" s="58" t="s">
        <v>783</v>
      </c>
      <c r="M159" s="83" t="s">
        <v>2719</v>
      </c>
      <c r="N159" s="83" t="s">
        <v>2450</v>
      </c>
      <c r="O159" s="58" t="s">
        <v>933</v>
      </c>
      <c r="P159" s="58" t="s">
        <v>934</v>
      </c>
      <c r="Q159" s="58"/>
      <c r="R159" s="58"/>
      <c r="S159" s="58" t="s">
        <v>113</v>
      </c>
      <c r="T159" s="58" t="s">
        <v>930</v>
      </c>
      <c r="U159" s="58"/>
      <c r="V159" s="58"/>
      <c r="W159" t="s">
        <v>2453</v>
      </c>
    </row>
    <row r="160" spans="1:23" ht="13.5" customHeight="1" x14ac:dyDescent="0.25">
      <c r="A160" s="58"/>
      <c r="B160" s="58"/>
      <c r="C160" s="58"/>
      <c r="D160" s="58"/>
      <c r="E160" s="58"/>
      <c r="F160" s="58" t="s">
        <v>2263</v>
      </c>
      <c r="G160" s="58" t="s">
        <v>2264</v>
      </c>
      <c r="H160" s="58">
        <v>2211108</v>
      </c>
      <c r="I160" s="58" t="s">
        <v>2754</v>
      </c>
      <c r="J160" s="58"/>
      <c r="K160" s="58"/>
      <c r="L160" s="58" t="s">
        <v>783</v>
      </c>
      <c r="M160" s="83" t="s">
        <v>2720</v>
      </c>
      <c r="N160" s="83" t="s">
        <v>2450</v>
      </c>
      <c r="O160" s="58" t="s">
        <v>933</v>
      </c>
      <c r="P160" s="58" t="s">
        <v>934</v>
      </c>
      <c r="Q160" s="58"/>
      <c r="R160" s="58"/>
      <c r="S160" s="58" t="s">
        <v>113</v>
      </c>
      <c r="T160" s="58" t="s">
        <v>930</v>
      </c>
      <c r="U160" s="58"/>
      <c r="V160" s="58"/>
      <c r="W160" t="s">
        <v>2453</v>
      </c>
    </row>
    <row r="161" spans="1:23" ht="13.5" customHeight="1" x14ac:dyDescent="0.25">
      <c r="A161" s="58"/>
      <c r="B161" s="58"/>
      <c r="C161" s="58"/>
      <c r="D161" s="58"/>
      <c r="E161" s="58"/>
      <c r="F161" s="58" t="s">
        <v>2265</v>
      </c>
      <c r="G161" s="58" t="s">
        <v>2266</v>
      </c>
      <c r="H161" s="58">
        <v>2211109</v>
      </c>
      <c r="I161" s="58" t="s">
        <v>2754</v>
      </c>
      <c r="J161" s="58"/>
      <c r="K161" s="58"/>
      <c r="L161" s="58" t="s">
        <v>783</v>
      </c>
      <c r="M161" s="83" t="s">
        <v>2721</v>
      </c>
      <c r="N161" s="83" t="s">
        <v>2450</v>
      </c>
      <c r="O161" s="58" t="s">
        <v>933</v>
      </c>
      <c r="P161" s="58" t="s">
        <v>934</v>
      </c>
      <c r="Q161" s="58"/>
      <c r="R161" s="58"/>
      <c r="S161" s="58" t="s">
        <v>113</v>
      </c>
      <c r="T161" s="58" t="s">
        <v>930</v>
      </c>
      <c r="U161" s="58"/>
      <c r="V161" s="58"/>
      <c r="W161" t="s">
        <v>2454</v>
      </c>
    </row>
    <row r="162" spans="1:23" ht="13.5" customHeight="1" x14ac:dyDescent="0.25">
      <c r="A162" s="58"/>
      <c r="B162" s="58"/>
      <c r="C162" s="58"/>
      <c r="D162" s="58"/>
      <c r="E162" s="58"/>
      <c r="F162" s="58" t="s">
        <v>2267</v>
      </c>
      <c r="G162" s="58" t="s">
        <v>2268</v>
      </c>
      <c r="H162" s="58">
        <v>2211110</v>
      </c>
      <c r="I162" s="58" t="s">
        <v>2754</v>
      </c>
      <c r="J162" s="58"/>
      <c r="K162" s="58"/>
      <c r="L162" s="58" t="s">
        <v>783</v>
      </c>
      <c r="M162" s="83" t="s">
        <v>2722</v>
      </c>
      <c r="N162" s="83" t="s">
        <v>2450</v>
      </c>
      <c r="O162" s="58" t="s">
        <v>933</v>
      </c>
      <c r="P162" s="58" t="s">
        <v>934</v>
      </c>
      <c r="Q162" s="58"/>
      <c r="R162" s="58"/>
      <c r="S162" s="58" t="s">
        <v>113</v>
      </c>
      <c r="T162" s="58" t="s">
        <v>930</v>
      </c>
      <c r="U162" s="58"/>
      <c r="V162" s="58"/>
      <c r="W162" t="s">
        <v>2453</v>
      </c>
    </row>
    <row r="163" spans="1:23" ht="13.5" customHeight="1" x14ac:dyDescent="0.25">
      <c r="A163" s="58"/>
      <c r="B163" s="58"/>
      <c r="C163" s="58"/>
      <c r="D163" s="58"/>
      <c r="E163" s="58"/>
      <c r="F163" s="58" t="s">
        <v>2269</v>
      </c>
      <c r="G163" s="58" t="s">
        <v>2270</v>
      </c>
      <c r="H163" s="58">
        <v>2211111</v>
      </c>
      <c r="I163" s="58" t="s">
        <v>2754</v>
      </c>
      <c r="J163" s="58"/>
      <c r="K163" s="58"/>
      <c r="L163" s="58" t="s">
        <v>783</v>
      </c>
      <c r="M163" s="83" t="s">
        <v>2723</v>
      </c>
      <c r="N163" s="83" t="s">
        <v>2450</v>
      </c>
      <c r="O163" s="58" t="s">
        <v>933</v>
      </c>
      <c r="P163" s="58" t="s">
        <v>934</v>
      </c>
      <c r="Q163" s="58"/>
      <c r="R163" s="58"/>
      <c r="S163" s="58" t="s">
        <v>113</v>
      </c>
      <c r="T163" s="58" t="s">
        <v>930</v>
      </c>
      <c r="U163" s="58"/>
      <c r="V163" s="58"/>
      <c r="W163" t="s">
        <v>2455</v>
      </c>
    </row>
    <row r="164" spans="1:23" ht="13.5" customHeight="1" x14ac:dyDescent="0.25">
      <c r="A164" s="58"/>
      <c r="B164" s="58"/>
      <c r="C164" s="58"/>
      <c r="D164" s="58"/>
      <c r="E164" s="58"/>
      <c r="F164" s="58" t="s">
        <v>2271</v>
      </c>
      <c r="G164" s="58" t="s">
        <v>2272</v>
      </c>
      <c r="H164" s="58">
        <v>2211112</v>
      </c>
      <c r="I164" s="58" t="s">
        <v>2754</v>
      </c>
      <c r="J164" s="58"/>
      <c r="K164" s="58"/>
      <c r="L164" s="58" t="s">
        <v>783</v>
      </c>
      <c r="M164" s="83" t="s">
        <v>2724</v>
      </c>
      <c r="N164" s="83" t="s">
        <v>2450</v>
      </c>
      <c r="O164" s="58" t="s">
        <v>933</v>
      </c>
      <c r="P164" s="58" t="s">
        <v>934</v>
      </c>
      <c r="Q164" s="58"/>
      <c r="R164" s="58"/>
      <c r="S164" s="58" t="s">
        <v>113</v>
      </c>
      <c r="T164" s="58" t="s">
        <v>930</v>
      </c>
      <c r="U164" s="58"/>
      <c r="V164" s="58"/>
      <c r="W164" t="s">
        <v>2455</v>
      </c>
    </row>
    <row r="165" spans="1:23" s="46" customFormat="1" ht="13.5" customHeight="1" x14ac:dyDescent="0.25">
      <c r="A165" s="58"/>
      <c r="B165" s="58"/>
      <c r="C165" s="58"/>
      <c r="D165" s="58"/>
      <c r="E165" s="58"/>
      <c r="F165" s="58" t="s">
        <v>2795</v>
      </c>
      <c r="G165" s="58" t="s">
        <v>2797</v>
      </c>
      <c r="H165" s="58">
        <v>2211113</v>
      </c>
      <c r="I165" s="58" t="s">
        <v>2754</v>
      </c>
      <c r="J165" s="58"/>
      <c r="K165" s="58"/>
      <c r="L165" s="58" t="s">
        <v>783</v>
      </c>
      <c r="M165" s="83" t="s">
        <v>2799</v>
      </c>
      <c r="N165" s="83" t="s">
        <v>2450</v>
      </c>
      <c r="O165" s="58" t="s">
        <v>933</v>
      </c>
      <c r="P165" s="58" t="s">
        <v>934</v>
      </c>
      <c r="Q165" s="58"/>
      <c r="R165" s="58"/>
      <c r="S165" s="58" t="s">
        <v>113</v>
      </c>
      <c r="T165" s="58" t="s">
        <v>930</v>
      </c>
      <c r="U165" s="58"/>
      <c r="V165" s="58"/>
      <c r="W165" s="46" t="s">
        <v>2672</v>
      </c>
    </row>
    <row r="166" spans="1:23" s="46" customFormat="1" ht="13.5" customHeight="1" x14ac:dyDescent="0.25">
      <c r="A166" s="58"/>
      <c r="B166" s="58"/>
      <c r="C166" s="58"/>
      <c r="D166" s="58"/>
      <c r="E166" s="58"/>
      <c r="F166" s="58" t="s">
        <v>2796</v>
      </c>
      <c r="G166" s="58" t="s">
        <v>2798</v>
      </c>
      <c r="H166" s="58">
        <v>2211114</v>
      </c>
      <c r="I166" s="58" t="s">
        <v>2754</v>
      </c>
      <c r="J166" s="58"/>
      <c r="K166" s="58"/>
      <c r="L166" s="58" t="s">
        <v>783</v>
      </c>
      <c r="M166" s="83" t="s">
        <v>2800</v>
      </c>
      <c r="N166" s="83" t="s">
        <v>2450</v>
      </c>
      <c r="O166" s="58" t="s">
        <v>933</v>
      </c>
      <c r="P166" s="58" t="s">
        <v>934</v>
      </c>
      <c r="Q166" s="58"/>
      <c r="R166" s="58"/>
      <c r="S166" s="58" t="s">
        <v>113</v>
      </c>
      <c r="T166" s="58" t="s">
        <v>930</v>
      </c>
      <c r="U166" s="58"/>
      <c r="V166" s="58"/>
      <c r="W166" s="46" t="s">
        <v>2672</v>
      </c>
    </row>
    <row r="167" spans="1:23" ht="13.5" customHeight="1" x14ac:dyDescent="0.25">
      <c r="A167" s="58"/>
      <c r="B167" s="58"/>
      <c r="C167" s="58"/>
      <c r="D167" s="58"/>
      <c r="E167" s="58"/>
      <c r="F167" s="58" t="s">
        <v>2273</v>
      </c>
      <c r="G167" s="58" t="s">
        <v>2274</v>
      </c>
      <c r="H167" s="58">
        <v>2211115</v>
      </c>
      <c r="I167" s="58" t="s">
        <v>2754</v>
      </c>
      <c r="J167" s="58"/>
      <c r="K167" s="58"/>
      <c r="L167" s="58" t="s">
        <v>783</v>
      </c>
      <c r="M167" s="83" t="s">
        <v>2725</v>
      </c>
      <c r="N167" s="83" t="s">
        <v>2450</v>
      </c>
      <c r="O167" s="58" t="s">
        <v>933</v>
      </c>
      <c r="P167" s="58" t="s">
        <v>934</v>
      </c>
      <c r="Q167" s="58"/>
      <c r="R167" s="58"/>
      <c r="S167" s="58" t="s">
        <v>113</v>
      </c>
      <c r="T167" s="58" t="s">
        <v>930</v>
      </c>
      <c r="U167" s="58"/>
      <c r="V167" s="58"/>
      <c r="W167" s="46" t="s">
        <v>2457</v>
      </c>
    </row>
    <row r="168" spans="1:23" ht="13.5" customHeight="1" x14ac:dyDescent="0.25">
      <c r="A168" s="58"/>
      <c r="B168" s="58"/>
      <c r="C168" s="58"/>
      <c r="D168" s="58"/>
      <c r="E168" s="58"/>
      <c r="F168" s="58" t="s">
        <v>2275</v>
      </c>
      <c r="G168" s="58" t="s">
        <v>2276</v>
      </c>
      <c r="H168" s="58">
        <v>2211116</v>
      </c>
      <c r="I168" s="58" t="s">
        <v>2754</v>
      </c>
      <c r="J168" s="58"/>
      <c r="K168" s="58"/>
      <c r="L168" s="58" t="s">
        <v>783</v>
      </c>
      <c r="M168" s="83" t="s">
        <v>2726</v>
      </c>
      <c r="N168" s="58" t="s">
        <v>1639</v>
      </c>
      <c r="O168" s="58" t="s">
        <v>933</v>
      </c>
      <c r="P168" s="58" t="s">
        <v>934</v>
      </c>
      <c r="Q168" s="58"/>
      <c r="R168" s="58"/>
      <c r="S168" s="58" t="s">
        <v>113</v>
      </c>
      <c r="T168" s="58" t="s">
        <v>930</v>
      </c>
      <c r="U168" s="58"/>
      <c r="V168" s="58"/>
      <c r="W168" s="46" t="s">
        <v>2741</v>
      </c>
    </row>
    <row r="169" spans="1:23" ht="13.5" customHeight="1" x14ac:dyDescent="0.25">
      <c r="A169" s="58"/>
      <c r="B169" s="58"/>
      <c r="C169" s="58"/>
      <c r="D169" s="58"/>
      <c r="E169" s="58"/>
      <c r="F169" s="58" t="s">
        <v>2277</v>
      </c>
      <c r="G169" s="58" t="s">
        <v>2278</v>
      </c>
      <c r="H169" s="58">
        <v>2211117</v>
      </c>
      <c r="I169" s="58" t="s">
        <v>2754</v>
      </c>
      <c r="J169" s="58"/>
      <c r="K169" s="58"/>
      <c r="L169" s="58" t="s">
        <v>783</v>
      </c>
      <c r="M169" s="83" t="s">
        <v>2727</v>
      </c>
      <c r="N169" s="58" t="s">
        <v>1639</v>
      </c>
      <c r="O169" s="58" t="s">
        <v>933</v>
      </c>
      <c r="P169" s="58" t="s">
        <v>934</v>
      </c>
      <c r="Q169" s="58"/>
      <c r="R169" s="58"/>
      <c r="S169" s="58" t="s">
        <v>113</v>
      </c>
      <c r="T169" s="58" t="s">
        <v>930</v>
      </c>
      <c r="U169" s="58"/>
      <c r="V169" s="58"/>
      <c r="W169" s="46" t="s">
        <v>2695</v>
      </c>
    </row>
    <row r="170" spans="1:23" ht="13.5" customHeight="1" x14ac:dyDescent="0.25">
      <c r="A170" s="58"/>
      <c r="B170" s="58"/>
      <c r="C170" s="58"/>
      <c r="D170" s="58"/>
      <c r="E170" s="58"/>
      <c r="F170" s="58" t="s">
        <v>2135</v>
      </c>
      <c r="G170" s="58" t="s">
        <v>2279</v>
      </c>
      <c r="H170" s="58">
        <v>2211118</v>
      </c>
      <c r="I170" s="58" t="s">
        <v>2754</v>
      </c>
      <c r="J170" s="58"/>
      <c r="K170" s="58"/>
      <c r="L170" s="58" t="s">
        <v>783</v>
      </c>
      <c r="M170" s="83" t="s">
        <v>2728</v>
      </c>
      <c r="N170" s="58" t="s">
        <v>1639</v>
      </c>
      <c r="O170" s="58" t="s">
        <v>933</v>
      </c>
      <c r="P170" s="58" t="s">
        <v>934</v>
      </c>
      <c r="Q170" s="58"/>
      <c r="R170" s="58"/>
      <c r="S170" s="58" t="s">
        <v>113</v>
      </c>
      <c r="T170" s="58" t="s">
        <v>930</v>
      </c>
      <c r="U170" s="58"/>
      <c r="V170" s="58"/>
      <c r="W170" s="46" t="s">
        <v>2695</v>
      </c>
    </row>
    <row r="171" spans="1:23" ht="13.5" customHeight="1" x14ac:dyDescent="0.25">
      <c r="A171" s="58"/>
      <c r="B171" s="58"/>
      <c r="C171" s="58"/>
      <c r="D171" s="58"/>
      <c r="E171" s="58"/>
      <c r="F171" s="58" t="s">
        <v>2136</v>
      </c>
      <c r="G171" s="58" t="s">
        <v>2280</v>
      </c>
      <c r="H171" s="58">
        <v>2211119</v>
      </c>
      <c r="I171" s="58" t="s">
        <v>2754</v>
      </c>
      <c r="J171" s="58"/>
      <c r="K171" s="58"/>
      <c r="L171" s="58" t="s">
        <v>783</v>
      </c>
      <c r="M171" s="83" t="s">
        <v>2729</v>
      </c>
      <c r="N171" s="58" t="s">
        <v>1639</v>
      </c>
      <c r="O171" s="58" t="s">
        <v>933</v>
      </c>
      <c r="P171" s="58" t="s">
        <v>934</v>
      </c>
      <c r="Q171" s="58"/>
      <c r="R171" s="58"/>
      <c r="S171" s="58" t="s">
        <v>113</v>
      </c>
      <c r="T171" s="58" t="s">
        <v>930</v>
      </c>
      <c r="U171" s="58"/>
      <c r="V171" s="58"/>
      <c r="W171" s="46" t="s">
        <v>2695</v>
      </c>
    </row>
    <row r="172" spans="1:23" s="46" customFormat="1" ht="13.5" customHeight="1" x14ac:dyDescent="0.25">
      <c r="A172" s="58"/>
      <c r="B172" s="58"/>
      <c r="C172" s="58"/>
      <c r="D172" s="58"/>
      <c r="E172" s="58"/>
      <c r="F172" s="58" t="s">
        <v>2281</v>
      </c>
      <c r="G172" s="58" t="s">
        <v>2282</v>
      </c>
      <c r="H172" s="58">
        <v>2211120</v>
      </c>
      <c r="I172" s="58" t="s">
        <v>2754</v>
      </c>
      <c r="J172" s="58"/>
      <c r="K172" s="58"/>
      <c r="L172" s="58" t="s">
        <v>783</v>
      </c>
      <c r="M172" s="83" t="s">
        <v>2730</v>
      </c>
      <c r="N172" s="58" t="s">
        <v>1639</v>
      </c>
      <c r="O172" s="58" t="s">
        <v>933</v>
      </c>
      <c r="P172" s="58" t="s">
        <v>934</v>
      </c>
      <c r="Q172" s="58"/>
      <c r="R172" s="58"/>
      <c r="S172" s="58" t="s">
        <v>113</v>
      </c>
      <c r="T172" s="58" t="s">
        <v>930</v>
      </c>
      <c r="U172" s="58"/>
      <c r="V172" s="58"/>
      <c r="W172" s="46" t="s">
        <v>2695</v>
      </c>
    </row>
    <row r="173" spans="1:23" s="46" customFormat="1" ht="13.5" customHeight="1" x14ac:dyDescent="0.25">
      <c r="A173" s="58"/>
      <c r="B173" s="58"/>
      <c r="C173" s="58"/>
      <c r="D173" s="58"/>
      <c r="E173" s="58"/>
      <c r="F173" s="58" t="s">
        <v>2283</v>
      </c>
      <c r="G173" s="58" t="s">
        <v>2284</v>
      </c>
      <c r="H173" s="58">
        <v>2211121</v>
      </c>
      <c r="I173" s="58" t="s">
        <v>2754</v>
      </c>
      <c r="J173" s="58"/>
      <c r="K173" s="58"/>
      <c r="L173" s="58" t="s">
        <v>783</v>
      </c>
      <c r="M173" s="83" t="s">
        <v>2731</v>
      </c>
      <c r="N173" s="58" t="s">
        <v>1639</v>
      </c>
      <c r="O173" s="58" t="s">
        <v>933</v>
      </c>
      <c r="P173" s="58" t="s">
        <v>934</v>
      </c>
      <c r="Q173" s="58"/>
      <c r="R173" s="58"/>
      <c r="S173" s="58" t="s">
        <v>113</v>
      </c>
      <c r="T173" s="58" t="s">
        <v>930</v>
      </c>
      <c r="U173" s="58"/>
      <c r="V173" s="58"/>
      <c r="W173" s="46" t="s">
        <v>2695</v>
      </c>
    </row>
    <row r="174" spans="1:23" s="46" customFormat="1" ht="13.5" customHeight="1" x14ac:dyDescent="0.25">
      <c r="A174" s="58"/>
      <c r="B174" s="58"/>
      <c r="C174" s="58"/>
      <c r="D174" s="58"/>
      <c r="E174" s="58"/>
      <c r="F174" s="58" t="s">
        <v>2746</v>
      </c>
      <c r="G174" s="58" t="s">
        <v>2459</v>
      </c>
      <c r="H174" s="58">
        <v>2211122</v>
      </c>
      <c r="I174" s="58" t="s">
        <v>2754</v>
      </c>
      <c r="J174" s="58"/>
      <c r="K174" s="58"/>
      <c r="L174" s="58" t="s">
        <v>783</v>
      </c>
      <c r="M174" s="83" t="s">
        <v>2732</v>
      </c>
      <c r="N174" s="83" t="s">
        <v>2450</v>
      </c>
      <c r="O174" s="58" t="s">
        <v>933</v>
      </c>
      <c r="P174" s="58" t="s">
        <v>934</v>
      </c>
      <c r="Q174" s="58"/>
      <c r="R174" s="58"/>
      <c r="S174" s="58" t="s">
        <v>113</v>
      </c>
      <c r="T174" s="58" t="s">
        <v>930</v>
      </c>
      <c r="U174" s="58"/>
      <c r="V174" s="58"/>
      <c r="W174" s="46" t="s">
        <v>2742</v>
      </c>
    </row>
    <row r="175" spans="1:23" s="46" customFormat="1" ht="13.5" customHeight="1" x14ac:dyDescent="0.25">
      <c r="A175" s="58"/>
      <c r="B175" s="58"/>
      <c r="C175" s="58"/>
      <c r="D175" s="58"/>
      <c r="E175" s="58"/>
      <c r="F175" s="58" t="s">
        <v>2285</v>
      </c>
      <c r="G175" s="58" t="s">
        <v>2286</v>
      </c>
      <c r="H175" s="58">
        <v>2211123</v>
      </c>
      <c r="I175" s="58" t="s">
        <v>2754</v>
      </c>
      <c r="J175" s="58"/>
      <c r="K175" s="58"/>
      <c r="L175" s="58" t="s">
        <v>783</v>
      </c>
      <c r="M175" s="83" t="s">
        <v>2733</v>
      </c>
      <c r="N175" s="83" t="s">
        <v>2450</v>
      </c>
      <c r="O175" s="58" t="s">
        <v>933</v>
      </c>
      <c r="P175" s="58" t="s">
        <v>934</v>
      </c>
      <c r="Q175" s="58"/>
      <c r="R175" s="58"/>
      <c r="S175" s="58" t="s">
        <v>113</v>
      </c>
      <c r="T175" s="58" t="s">
        <v>930</v>
      </c>
      <c r="U175" s="58"/>
      <c r="V175" s="58"/>
      <c r="W175" s="46" t="s">
        <v>2672</v>
      </c>
    </row>
    <row r="176" spans="1:23" s="46" customFormat="1" ht="13.5" customHeight="1" x14ac:dyDescent="0.25">
      <c r="A176" s="58"/>
      <c r="B176" s="58"/>
      <c r="C176" s="58"/>
      <c r="D176" s="58"/>
      <c r="E176" s="58"/>
      <c r="F176" s="58" t="s">
        <v>2287</v>
      </c>
      <c r="G176" s="58" t="s">
        <v>2288</v>
      </c>
      <c r="H176" s="58">
        <v>2211124</v>
      </c>
      <c r="I176" s="58" t="s">
        <v>2754</v>
      </c>
      <c r="J176" s="58"/>
      <c r="K176" s="58"/>
      <c r="L176" s="58" t="s">
        <v>783</v>
      </c>
      <c r="M176" s="83" t="s">
        <v>2734</v>
      </c>
      <c r="N176" s="83" t="s">
        <v>2450</v>
      </c>
      <c r="O176" s="58" t="s">
        <v>933</v>
      </c>
      <c r="P176" s="58" t="s">
        <v>934</v>
      </c>
      <c r="Q176" s="58"/>
      <c r="R176" s="58"/>
      <c r="S176" s="58" t="s">
        <v>113</v>
      </c>
      <c r="T176" s="58" t="s">
        <v>930</v>
      </c>
      <c r="U176" s="58"/>
      <c r="V176" s="58"/>
      <c r="W176" s="46" t="s">
        <v>2672</v>
      </c>
    </row>
    <row r="177" spans="1:23" s="46" customFormat="1" ht="13.5" customHeight="1" x14ac:dyDescent="0.25">
      <c r="A177" s="58"/>
      <c r="B177" s="58"/>
      <c r="C177" s="58"/>
      <c r="D177" s="58"/>
      <c r="E177" s="58"/>
      <c r="F177" s="58" t="s">
        <v>2289</v>
      </c>
      <c r="G177" s="58" t="s">
        <v>2290</v>
      </c>
      <c r="H177" s="58">
        <v>2211125</v>
      </c>
      <c r="I177" s="58" t="s">
        <v>2754</v>
      </c>
      <c r="J177" s="58"/>
      <c r="K177" s="58"/>
      <c r="L177" s="58" t="s">
        <v>783</v>
      </c>
      <c r="M177" s="83" t="s">
        <v>2735</v>
      </c>
      <c r="N177" s="83" t="s">
        <v>2450</v>
      </c>
      <c r="O177" s="58" t="s">
        <v>933</v>
      </c>
      <c r="P177" s="58" t="s">
        <v>934</v>
      </c>
      <c r="Q177" s="58"/>
      <c r="R177" s="58"/>
      <c r="S177" s="58" t="s">
        <v>113</v>
      </c>
      <c r="T177" s="58" t="s">
        <v>930</v>
      </c>
      <c r="U177" s="58"/>
      <c r="V177" s="58"/>
      <c r="W177" s="46" t="s">
        <v>2672</v>
      </c>
    </row>
    <row r="178" spans="1:23" s="46" customFormat="1" ht="13.5" customHeight="1" x14ac:dyDescent="0.25">
      <c r="A178" s="58"/>
      <c r="B178" s="58"/>
      <c r="C178" s="58"/>
      <c r="D178" s="58"/>
      <c r="E178" s="58"/>
      <c r="F178" s="58" t="s">
        <v>2291</v>
      </c>
      <c r="G178" s="58" t="s">
        <v>2292</v>
      </c>
      <c r="H178" s="58">
        <v>2211126</v>
      </c>
      <c r="I178" s="58" t="s">
        <v>2754</v>
      </c>
      <c r="J178" s="58"/>
      <c r="K178" s="58"/>
      <c r="L178" s="58" t="s">
        <v>783</v>
      </c>
      <c r="M178" s="83" t="s">
        <v>2736</v>
      </c>
      <c r="N178" s="83" t="s">
        <v>2450</v>
      </c>
      <c r="O178" s="58" t="s">
        <v>933</v>
      </c>
      <c r="P178" s="58" t="s">
        <v>934</v>
      </c>
      <c r="Q178" s="58"/>
      <c r="R178" s="58"/>
      <c r="S178" s="58" t="s">
        <v>113</v>
      </c>
      <c r="T178" s="58" t="s">
        <v>930</v>
      </c>
      <c r="U178" s="58"/>
      <c r="V178" s="58"/>
      <c r="W178" s="46" t="s">
        <v>2672</v>
      </c>
    </row>
    <row r="179" spans="1:23" s="46" customFormat="1" ht="13.5" customHeight="1" x14ac:dyDescent="0.25">
      <c r="A179" s="58"/>
      <c r="B179" s="58"/>
      <c r="C179" s="58"/>
      <c r="D179" s="58"/>
      <c r="E179" s="58"/>
      <c r="F179" s="58" t="s">
        <v>2293</v>
      </c>
      <c r="G179" s="58" t="s">
        <v>2294</v>
      </c>
      <c r="H179" s="58">
        <v>2211127</v>
      </c>
      <c r="I179" s="58" t="s">
        <v>2754</v>
      </c>
      <c r="J179" s="58"/>
      <c r="K179" s="58"/>
      <c r="L179" s="58" t="s">
        <v>783</v>
      </c>
      <c r="M179" s="83" t="s">
        <v>2737</v>
      </c>
      <c r="N179" s="83" t="s">
        <v>2450</v>
      </c>
      <c r="O179" s="58" t="s">
        <v>933</v>
      </c>
      <c r="P179" s="58" t="s">
        <v>934</v>
      </c>
      <c r="Q179" s="58"/>
      <c r="R179" s="58"/>
      <c r="S179" s="58" t="s">
        <v>113</v>
      </c>
      <c r="T179" s="58" t="s">
        <v>930</v>
      </c>
      <c r="U179" s="58"/>
      <c r="V179" s="58"/>
      <c r="W179" s="46" t="s">
        <v>2672</v>
      </c>
    </row>
    <row r="180" spans="1:23" s="46" customFormat="1" ht="13.5" customHeight="1" x14ac:dyDescent="0.25">
      <c r="A180" s="58"/>
      <c r="B180" s="58"/>
      <c r="C180" s="58"/>
      <c r="D180" s="58"/>
      <c r="E180" s="58"/>
      <c r="F180" s="58" t="s">
        <v>2295</v>
      </c>
      <c r="G180" s="58" t="s">
        <v>2296</v>
      </c>
      <c r="H180" s="58">
        <v>2211128</v>
      </c>
      <c r="I180" s="58" t="s">
        <v>2754</v>
      </c>
      <c r="J180" s="58"/>
      <c r="K180" s="58"/>
      <c r="L180" s="58" t="s">
        <v>783</v>
      </c>
      <c r="M180" s="83" t="s">
        <v>2738</v>
      </c>
      <c r="N180" s="83" t="s">
        <v>2450</v>
      </c>
      <c r="O180" s="58" t="s">
        <v>933</v>
      </c>
      <c r="P180" s="58" t="s">
        <v>934</v>
      </c>
      <c r="Q180" s="58"/>
      <c r="R180" s="58"/>
      <c r="S180" s="58" t="s">
        <v>113</v>
      </c>
      <c r="T180" s="58" t="s">
        <v>930</v>
      </c>
      <c r="U180" s="58"/>
      <c r="V180" s="58"/>
      <c r="W180" s="46" t="s">
        <v>2672</v>
      </c>
    </row>
    <row r="181" spans="1:23" s="46" customFormat="1" ht="13.5" customHeight="1" x14ac:dyDescent="0.25">
      <c r="A181" s="58"/>
      <c r="B181" s="58"/>
      <c r="C181" s="58"/>
      <c r="D181" s="58"/>
      <c r="E181" s="58"/>
      <c r="F181" s="58" t="s">
        <v>2297</v>
      </c>
      <c r="G181" s="58" t="s">
        <v>2298</v>
      </c>
      <c r="H181" s="58">
        <v>2211129</v>
      </c>
      <c r="I181" s="58" t="s">
        <v>2754</v>
      </c>
      <c r="J181" s="58"/>
      <c r="K181" s="58"/>
      <c r="L181" s="58" t="s">
        <v>783</v>
      </c>
      <c r="M181" s="83" t="s">
        <v>2739</v>
      </c>
      <c r="N181" s="83" t="s">
        <v>2450</v>
      </c>
      <c r="O181" s="58" t="s">
        <v>933</v>
      </c>
      <c r="P181" s="58" t="s">
        <v>934</v>
      </c>
      <c r="Q181" s="58"/>
      <c r="R181" s="58"/>
      <c r="S181" s="58" t="s">
        <v>113</v>
      </c>
      <c r="T181" s="58" t="s">
        <v>930</v>
      </c>
      <c r="U181" s="58"/>
      <c r="V181" s="58"/>
      <c r="W181" s="46" t="s">
        <v>2672</v>
      </c>
    </row>
    <row r="182" spans="1:23" s="46" customFormat="1" ht="13.5" customHeight="1" x14ac:dyDescent="0.25">
      <c r="A182" s="58"/>
      <c r="B182" s="58"/>
      <c r="C182" s="58"/>
      <c r="D182" s="58"/>
      <c r="E182" s="58"/>
      <c r="F182" s="58" t="s">
        <v>2299</v>
      </c>
      <c r="G182" s="58" t="s">
        <v>2300</v>
      </c>
      <c r="H182" s="58">
        <v>2211130</v>
      </c>
      <c r="I182" s="58" t="s">
        <v>2754</v>
      </c>
      <c r="J182" s="58"/>
      <c r="K182" s="58"/>
      <c r="L182" s="58" t="s">
        <v>783</v>
      </c>
      <c r="M182" s="83" t="s">
        <v>2740</v>
      </c>
      <c r="N182" s="83" t="s">
        <v>2450</v>
      </c>
      <c r="O182" s="58" t="s">
        <v>933</v>
      </c>
      <c r="P182" s="58" t="s">
        <v>934</v>
      </c>
      <c r="Q182" s="58"/>
      <c r="R182" s="58"/>
      <c r="S182" s="58" t="s">
        <v>113</v>
      </c>
      <c r="T182" s="58" t="s">
        <v>930</v>
      </c>
      <c r="U182" s="58"/>
      <c r="V182" s="58"/>
      <c r="W182" s="46" t="s">
        <v>2672</v>
      </c>
    </row>
    <row r="183" spans="1:23" s="46" customFormat="1" ht="13.5" customHeight="1" x14ac:dyDescent="0.25">
      <c r="A183" s="58"/>
      <c r="B183" s="58"/>
      <c r="C183" s="58"/>
      <c r="D183" s="58"/>
      <c r="E183" s="58"/>
      <c r="F183" s="58" t="s">
        <v>2710</v>
      </c>
      <c r="G183" s="58" t="s">
        <v>1640</v>
      </c>
      <c r="H183" s="58">
        <v>2211131</v>
      </c>
      <c r="I183" s="58" t="s">
        <v>2754</v>
      </c>
      <c r="J183" s="58"/>
      <c r="K183" s="58"/>
      <c r="L183" s="58" t="s">
        <v>783</v>
      </c>
      <c r="M183" s="58" t="s">
        <v>1641</v>
      </c>
      <c r="N183" s="58" t="s">
        <v>1639</v>
      </c>
      <c r="O183" s="58" t="s">
        <v>933</v>
      </c>
      <c r="P183" s="58" t="s">
        <v>934</v>
      </c>
      <c r="Q183" s="58"/>
      <c r="R183" s="58"/>
      <c r="S183" s="58" t="s">
        <v>113</v>
      </c>
      <c r="T183" s="58" t="s">
        <v>930</v>
      </c>
      <c r="U183" s="58"/>
      <c r="V183" s="58"/>
      <c r="W183" s="46" t="s">
        <v>2456</v>
      </c>
    </row>
    <row r="184" spans="1:23" s="46" customFormat="1" ht="13.5" customHeight="1" x14ac:dyDescent="0.25">
      <c r="A184" s="58"/>
      <c r="B184" s="58"/>
      <c r="C184" s="58"/>
      <c r="D184" s="58"/>
      <c r="E184" s="58"/>
      <c r="F184" s="58" t="s">
        <v>2629</v>
      </c>
      <c r="G184" s="58" t="s">
        <v>1642</v>
      </c>
      <c r="H184" s="58">
        <v>2211132</v>
      </c>
      <c r="I184" s="58" t="s">
        <v>2754</v>
      </c>
      <c r="J184" s="58"/>
      <c r="K184" s="58"/>
      <c r="L184" s="58" t="s">
        <v>783</v>
      </c>
      <c r="M184" s="83" t="s">
        <v>2631</v>
      </c>
      <c r="N184" s="58" t="s">
        <v>1639</v>
      </c>
      <c r="O184" s="58" t="s">
        <v>933</v>
      </c>
      <c r="P184" s="58" t="s">
        <v>934</v>
      </c>
      <c r="Q184" s="58"/>
      <c r="R184" s="58"/>
      <c r="S184" s="58" t="s">
        <v>113</v>
      </c>
      <c r="T184" s="58" t="s">
        <v>930</v>
      </c>
      <c r="U184" s="58"/>
      <c r="V184" s="58"/>
      <c r="W184" s="46" t="s">
        <v>2456</v>
      </c>
    </row>
    <row r="185" spans="1:23" s="46" customFormat="1" ht="13.5" customHeight="1" x14ac:dyDescent="0.25">
      <c r="A185" s="58"/>
      <c r="B185" s="58"/>
      <c r="C185" s="58"/>
      <c r="D185" s="58"/>
      <c r="E185" s="58"/>
      <c r="F185" s="58" t="s">
        <v>2630</v>
      </c>
      <c r="G185" s="58" t="s">
        <v>1643</v>
      </c>
      <c r="H185" s="58">
        <v>2211133</v>
      </c>
      <c r="I185" s="58" t="s">
        <v>2754</v>
      </c>
      <c r="J185" s="58"/>
      <c r="K185" s="58"/>
      <c r="L185" s="58" t="s">
        <v>783</v>
      </c>
      <c r="M185" s="83" t="s">
        <v>2632</v>
      </c>
      <c r="N185" s="58" t="s">
        <v>1639</v>
      </c>
      <c r="O185" s="58" t="s">
        <v>933</v>
      </c>
      <c r="P185" s="58" t="s">
        <v>934</v>
      </c>
      <c r="Q185" s="58"/>
      <c r="R185" s="58"/>
      <c r="S185" s="58" t="s">
        <v>113</v>
      </c>
      <c r="T185" s="58" t="s">
        <v>930</v>
      </c>
      <c r="U185" s="58"/>
      <c r="V185" s="58"/>
      <c r="W185" s="46" t="s">
        <v>2672</v>
      </c>
    </row>
    <row r="186" spans="1:23" s="46" customFormat="1" ht="13.5" customHeight="1" x14ac:dyDescent="0.25">
      <c r="A186" s="58"/>
      <c r="B186" s="58"/>
      <c r="C186" s="58"/>
      <c r="D186" s="58"/>
      <c r="E186" s="58"/>
      <c r="F186" s="58" t="s">
        <v>1644</v>
      </c>
      <c r="G186" s="58" t="s">
        <v>1645</v>
      </c>
      <c r="H186" s="58">
        <v>2211134</v>
      </c>
      <c r="I186" s="58" t="s">
        <v>2754</v>
      </c>
      <c r="J186" s="58"/>
      <c r="K186" s="58"/>
      <c r="L186" s="58" t="s">
        <v>783</v>
      </c>
      <c r="M186" s="58" t="s">
        <v>1646</v>
      </c>
      <c r="N186" s="58" t="s">
        <v>1639</v>
      </c>
      <c r="O186" s="58" t="s">
        <v>933</v>
      </c>
      <c r="P186" s="58" t="s">
        <v>934</v>
      </c>
      <c r="Q186" s="58"/>
      <c r="R186" s="58"/>
      <c r="S186" s="58" t="s">
        <v>113</v>
      </c>
      <c r="T186" s="58" t="s">
        <v>930</v>
      </c>
      <c r="U186" s="58"/>
      <c r="V186" s="58"/>
      <c r="W186" s="46" t="s">
        <v>2456</v>
      </c>
    </row>
    <row r="187" spans="1:23" s="46" customFormat="1" ht="13.5" customHeight="1" x14ac:dyDescent="0.25">
      <c r="A187" s="58"/>
      <c r="B187" s="58"/>
      <c r="C187" s="58"/>
      <c r="D187" s="58"/>
      <c r="E187" s="58"/>
      <c r="F187" s="58" t="s">
        <v>1647</v>
      </c>
      <c r="G187" s="58" t="s">
        <v>1648</v>
      </c>
      <c r="H187" s="58">
        <v>2211135</v>
      </c>
      <c r="I187" s="58" t="s">
        <v>2756</v>
      </c>
      <c r="J187" s="58"/>
      <c r="K187" s="58"/>
      <c r="L187" s="58" t="s">
        <v>783</v>
      </c>
      <c r="M187" s="58" t="s">
        <v>1649</v>
      </c>
      <c r="N187" s="58" t="s">
        <v>1639</v>
      </c>
      <c r="O187" s="58" t="s">
        <v>933</v>
      </c>
      <c r="P187" s="58" t="s">
        <v>934</v>
      </c>
      <c r="Q187" s="58"/>
      <c r="R187" s="58"/>
      <c r="S187" s="58" t="s">
        <v>113</v>
      </c>
      <c r="T187" s="58" t="s">
        <v>930</v>
      </c>
      <c r="U187" s="58"/>
      <c r="V187" s="58"/>
      <c r="W187" s="46" t="s">
        <v>2695</v>
      </c>
    </row>
    <row r="188" spans="1:23" s="46" customFormat="1" ht="13.5" customHeight="1" x14ac:dyDescent="0.25">
      <c r="A188" s="58"/>
      <c r="B188" s="58"/>
      <c r="C188" s="58"/>
      <c r="D188" s="58"/>
      <c r="E188" s="58"/>
      <c r="F188" s="58" t="s">
        <v>1650</v>
      </c>
      <c r="G188" s="58" t="s">
        <v>1651</v>
      </c>
      <c r="H188" s="58">
        <v>2211136</v>
      </c>
      <c r="I188" s="58" t="s">
        <v>2756</v>
      </c>
      <c r="J188" s="58"/>
      <c r="K188" s="58"/>
      <c r="L188" s="58" t="s">
        <v>783</v>
      </c>
      <c r="M188" s="58" t="s">
        <v>1652</v>
      </c>
      <c r="N188" s="58" t="s">
        <v>1639</v>
      </c>
      <c r="O188" s="58" t="s">
        <v>933</v>
      </c>
      <c r="P188" s="58" t="s">
        <v>934</v>
      </c>
      <c r="Q188" s="58"/>
      <c r="R188" s="58"/>
      <c r="S188" s="58" t="s">
        <v>113</v>
      </c>
      <c r="T188" s="58" t="s">
        <v>930</v>
      </c>
      <c r="U188" s="58"/>
      <c r="V188" s="58"/>
      <c r="W188" s="46" t="s">
        <v>2695</v>
      </c>
    </row>
    <row r="189" spans="1:23" s="46" customFormat="1" ht="13.5" customHeight="1" x14ac:dyDescent="0.25">
      <c r="A189" s="58"/>
      <c r="B189" s="58"/>
      <c r="C189" s="58"/>
      <c r="D189" s="58"/>
      <c r="E189" s="58"/>
      <c r="F189" s="58" t="s">
        <v>1653</v>
      </c>
      <c r="G189" s="58" t="s">
        <v>1654</v>
      </c>
      <c r="H189" s="58">
        <v>2211137</v>
      </c>
      <c r="I189" s="58" t="s">
        <v>2754</v>
      </c>
      <c r="J189" s="58"/>
      <c r="K189" s="58"/>
      <c r="L189" s="58" t="s">
        <v>783</v>
      </c>
      <c r="M189" s="58" t="s">
        <v>1655</v>
      </c>
      <c r="N189" s="58" t="s">
        <v>1639</v>
      </c>
      <c r="O189" s="58" t="s">
        <v>933</v>
      </c>
      <c r="P189" s="58" t="s">
        <v>934</v>
      </c>
      <c r="Q189" s="58"/>
      <c r="R189" s="58"/>
      <c r="S189" s="58" t="s">
        <v>113</v>
      </c>
      <c r="T189" s="58" t="s">
        <v>930</v>
      </c>
      <c r="U189" s="58"/>
      <c r="V189" s="58"/>
      <c r="W189" s="46" t="s">
        <v>2456</v>
      </c>
    </row>
    <row r="190" spans="1:23" s="46" customFormat="1" ht="13.5" customHeight="1" x14ac:dyDescent="0.25">
      <c r="A190" s="58"/>
      <c r="B190" s="58"/>
      <c r="C190" s="58"/>
      <c r="D190" s="58"/>
      <c r="E190" s="58"/>
      <c r="F190" s="58" t="s">
        <v>1656</v>
      </c>
      <c r="G190" s="58" t="s">
        <v>1657</v>
      </c>
      <c r="H190" s="58">
        <v>2211138</v>
      </c>
      <c r="I190" s="58" t="s">
        <v>2754</v>
      </c>
      <c r="J190" s="58"/>
      <c r="K190" s="58"/>
      <c r="L190" s="58" t="s">
        <v>783</v>
      </c>
      <c r="M190" s="58" t="s">
        <v>1658</v>
      </c>
      <c r="N190" s="58" t="s">
        <v>1639</v>
      </c>
      <c r="O190" s="58" t="s">
        <v>933</v>
      </c>
      <c r="P190" s="58" t="s">
        <v>934</v>
      </c>
      <c r="Q190" s="58"/>
      <c r="R190" s="58"/>
      <c r="S190" s="58" t="s">
        <v>113</v>
      </c>
      <c r="T190" s="58" t="s">
        <v>930</v>
      </c>
      <c r="U190" s="58"/>
      <c r="V190" s="58"/>
      <c r="W190" s="46" t="s">
        <v>2456</v>
      </c>
    </row>
    <row r="191" spans="1:23" s="46" customFormat="1" ht="13.5" customHeight="1" x14ac:dyDescent="0.25">
      <c r="A191" s="58"/>
      <c r="B191" s="58"/>
      <c r="C191" s="58"/>
      <c r="D191" s="58"/>
      <c r="E191" s="58"/>
      <c r="F191" s="58" t="s">
        <v>2301</v>
      </c>
      <c r="G191" s="58" t="s">
        <v>2302</v>
      </c>
      <c r="H191" s="58">
        <v>2211139</v>
      </c>
      <c r="I191" s="58" t="s">
        <v>2754</v>
      </c>
      <c r="J191" s="58"/>
      <c r="K191" s="58"/>
      <c r="L191" s="58" t="s">
        <v>783</v>
      </c>
      <c r="M191" s="58" t="s">
        <v>2303</v>
      </c>
      <c r="N191" s="58" t="s">
        <v>1639</v>
      </c>
      <c r="O191" s="58" t="s">
        <v>933</v>
      </c>
      <c r="P191" s="58" t="s">
        <v>934</v>
      </c>
      <c r="Q191" s="58"/>
      <c r="R191" s="58"/>
      <c r="S191" s="58" t="s">
        <v>113</v>
      </c>
      <c r="T191" s="58" t="s">
        <v>930</v>
      </c>
      <c r="U191" s="58"/>
      <c r="V191" s="58"/>
      <c r="W191" s="46" t="s">
        <v>2695</v>
      </c>
    </row>
    <row r="192" spans="1:23" s="46" customFormat="1" ht="13.5" customHeight="1" x14ac:dyDescent="0.25">
      <c r="A192" s="58"/>
      <c r="B192" s="58"/>
      <c r="C192" s="58"/>
      <c r="D192" s="58"/>
      <c r="E192" s="58"/>
      <c r="F192" s="58" t="s">
        <v>2304</v>
      </c>
      <c r="G192" s="58" t="s">
        <v>2305</v>
      </c>
      <c r="H192" s="58">
        <v>2211140</v>
      </c>
      <c r="I192" s="58" t="s">
        <v>2754</v>
      </c>
      <c r="J192" s="58"/>
      <c r="K192" s="58"/>
      <c r="L192" s="58" t="s">
        <v>783</v>
      </c>
      <c r="M192" s="58" t="s">
        <v>2306</v>
      </c>
      <c r="N192" s="58" t="s">
        <v>1639</v>
      </c>
      <c r="O192" s="58" t="s">
        <v>933</v>
      </c>
      <c r="P192" s="58" t="s">
        <v>934</v>
      </c>
      <c r="Q192" s="58"/>
      <c r="R192" s="58"/>
      <c r="S192" s="58" t="s">
        <v>113</v>
      </c>
      <c r="T192" s="58" t="s">
        <v>930</v>
      </c>
      <c r="U192" s="58"/>
      <c r="V192" s="58"/>
      <c r="W192" s="46" t="s">
        <v>2695</v>
      </c>
    </row>
    <row r="193" spans="1:23" ht="13.5" customHeight="1" x14ac:dyDescent="0.25">
      <c r="A193" s="58"/>
      <c r="B193" s="58"/>
      <c r="C193" s="58"/>
      <c r="D193" s="58"/>
      <c r="E193" s="58"/>
      <c r="F193" s="58" t="s">
        <v>2058</v>
      </c>
      <c r="G193" s="58" t="s">
        <v>1659</v>
      </c>
      <c r="H193" s="58">
        <v>2211141</v>
      </c>
      <c r="I193" s="58" t="s">
        <v>2754</v>
      </c>
      <c r="J193" s="58"/>
      <c r="K193" s="58"/>
      <c r="L193" s="58" t="s">
        <v>1660</v>
      </c>
      <c r="M193" s="58" t="s">
        <v>1661</v>
      </c>
      <c r="N193" s="58" t="s">
        <v>1662</v>
      </c>
      <c r="O193" s="58" t="s">
        <v>933</v>
      </c>
      <c r="P193" s="58" t="s">
        <v>934</v>
      </c>
      <c r="Q193" s="58"/>
      <c r="R193" s="58"/>
      <c r="S193" s="58" t="s">
        <v>113</v>
      </c>
      <c r="T193" s="58" t="s">
        <v>930</v>
      </c>
      <c r="U193" s="58"/>
      <c r="V193" s="58"/>
      <c r="W193" s="46" t="s">
        <v>2456</v>
      </c>
    </row>
    <row r="194" spans="1:23" ht="13.5" customHeight="1" x14ac:dyDescent="0.25">
      <c r="A194" s="58"/>
      <c r="B194" s="58"/>
      <c r="C194" s="58"/>
      <c r="D194" s="58"/>
      <c r="E194" s="58"/>
      <c r="F194" s="58" t="s">
        <v>1663</v>
      </c>
      <c r="G194" s="58" t="s">
        <v>1664</v>
      </c>
      <c r="H194" s="58">
        <v>2211142</v>
      </c>
      <c r="I194" s="58" t="s">
        <v>2754</v>
      </c>
      <c r="J194" s="58"/>
      <c r="K194" s="58"/>
      <c r="L194" s="58" t="s">
        <v>1660</v>
      </c>
      <c r="M194" s="58" t="s">
        <v>1665</v>
      </c>
      <c r="N194" s="58" t="s">
        <v>1662</v>
      </c>
      <c r="O194" s="58" t="s">
        <v>933</v>
      </c>
      <c r="P194" s="58" t="s">
        <v>934</v>
      </c>
      <c r="Q194" s="58"/>
      <c r="R194" s="58"/>
      <c r="S194" s="58" t="s">
        <v>113</v>
      </c>
      <c r="T194" s="58" t="s">
        <v>930</v>
      </c>
      <c r="U194" s="58"/>
      <c r="V194" s="58"/>
      <c r="W194" s="46" t="s">
        <v>2456</v>
      </c>
    </row>
    <row r="195" spans="1:23" ht="13.5" customHeight="1" x14ac:dyDescent="0.25">
      <c r="A195" s="58"/>
      <c r="B195" s="58"/>
      <c r="C195" s="58"/>
      <c r="D195" s="58"/>
      <c r="E195" s="58"/>
      <c r="F195" s="58" t="s">
        <v>1666</v>
      </c>
      <c r="G195" s="58" t="s">
        <v>1667</v>
      </c>
      <c r="H195" s="58">
        <v>2211143</v>
      </c>
      <c r="I195" s="58" t="s">
        <v>2754</v>
      </c>
      <c r="J195" s="58"/>
      <c r="K195" s="58"/>
      <c r="L195" s="58" t="s">
        <v>1660</v>
      </c>
      <c r="M195" s="58" t="s">
        <v>1668</v>
      </c>
      <c r="N195" s="58" t="s">
        <v>1662</v>
      </c>
      <c r="O195" s="58" t="s">
        <v>933</v>
      </c>
      <c r="P195" s="58" t="s">
        <v>934</v>
      </c>
      <c r="Q195" s="58"/>
      <c r="R195" s="58"/>
      <c r="S195" s="58" t="s">
        <v>113</v>
      </c>
      <c r="T195" s="58" t="s">
        <v>930</v>
      </c>
      <c r="U195" s="58"/>
      <c r="V195" s="58"/>
      <c r="W195" s="46" t="s">
        <v>2456</v>
      </c>
    </row>
    <row r="196" spans="1:23" ht="13.5" customHeight="1" x14ac:dyDescent="0.25">
      <c r="A196" s="58"/>
      <c r="B196" s="58"/>
      <c r="C196" s="58"/>
      <c r="D196" s="58"/>
      <c r="E196" s="58"/>
      <c r="F196" s="58" t="s">
        <v>1669</v>
      </c>
      <c r="G196" s="58" t="s">
        <v>1670</v>
      </c>
      <c r="H196" s="58">
        <v>2211144</v>
      </c>
      <c r="I196" s="58" t="s">
        <v>2754</v>
      </c>
      <c r="J196" s="58"/>
      <c r="K196" s="58"/>
      <c r="L196" s="58" t="s">
        <v>1660</v>
      </c>
      <c r="M196" s="58" t="s">
        <v>1671</v>
      </c>
      <c r="N196" s="58" t="s">
        <v>1672</v>
      </c>
      <c r="O196" s="58" t="s">
        <v>933</v>
      </c>
      <c r="P196" s="58" t="s">
        <v>934</v>
      </c>
      <c r="Q196" s="58"/>
      <c r="R196" s="58"/>
      <c r="S196" s="58" t="s">
        <v>113</v>
      </c>
      <c r="T196" s="58" t="s">
        <v>930</v>
      </c>
      <c r="U196" s="58"/>
      <c r="V196" s="58"/>
      <c r="W196" s="46" t="s">
        <v>2456</v>
      </c>
    </row>
    <row r="197" spans="1:23" ht="13.5" customHeight="1" x14ac:dyDescent="0.25">
      <c r="A197" s="58"/>
      <c r="B197" s="58"/>
      <c r="C197" s="58"/>
      <c r="D197" s="58"/>
      <c r="E197" s="58"/>
      <c r="F197" s="58" t="s">
        <v>1673</v>
      </c>
      <c r="G197" s="58" t="s">
        <v>1674</v>
      </c>
      <c r="H197" s="58">
        <v>2211145</v>
      </c>
      <c r="I197" s="58" t="s">
        <v>2754</v>
      </c>
      <c r="J197" s="58"/>
      <c r="K197" s="58"/>
      <c r="L197" s="58" t="s">
        <v>1660</v>
      </c>
      <c r="M197" s="58" t="s">
        <v>1675</v>
      </c>
      <c r="N197" s="58" t="s">
        <v>1672</v>
      </c>
      <c r="O197" s="58" t="s">
        <v>933</v>
      </c>
      <c r="P197" s="58" t="s">
        <v>934</v>
      </c>
      <c r="Q197" s="58"/>
      <c r="R197" s="58"/>
      <c r="S197" s="58" t="s">
        <v>113</v>
      </c>
      <c r="T197" s="58" t="s">
        <v>930</v>
      </c>
      <c r="U197" s="58"/>
      <c r="V197" s="58"/>
      <c r="W197" s="46" t="s">
        <v>2456</v>
      </c>
    </row>
    <row r="198" spans="1:23" ht="13.5" customHeight="1" x14ac:dyDescent="0.25">
      <c r="A198" s="58"/>
      <c r="B198" s="58"/>
      <c r="C198" s="58"/>
      <c r="D198" s="58"/>
      <c r="E198" s="58"/>
      <c r="F198" s="58" t="s">
        <v>1676</v>
      </c>
      <c r="G198" s="58" t="s">
        <v>1677</v>
      </c>
      <c r="H198" s="58">
        <v>2211146</v>
      </c>
      <c r="I198" s="58" t="s">
        <v>2754</v>
      </c>
      <c r="J198" s="58"/>
      <c r="K198" s="58"/>
      <c r="L198" s="58" t="s">
        <v>1660</v>
      </c>
      <c r="M198" s="58" t="s">
        <v>1678</v>
      </c>
      <c r="N198" s="58" t="s">
        <v>1672</v>
      </c>
      <c r="O198" s="58" t="s">
        <v>933</v>
      </c>
      <c r="P198" s="58" t="s">
        <v>934</v>
      </c>
      <c r="Q198" s="58"/>
      <c r="R198" s="58"/>
      <c r="S198" s="58" t="s">
        <v>113</v>
      </c>
      <c r="T198" s="58" t="s">
        <v>930</v>
      </c>
      <c r="U198" s="58"/>
      <c r="V198" s="58"/>
      <c r="W198" s="46" t="s">
        <v>2456</v>
      </c>
    </row>
    <row r="199" spans="1:23" ht="13.5" customHeight="1" x14ac:dyDescent="0.25">
      <c r="A199" s="58"/>
      <c r="B199" s="58"/>
      <c r="C199" s="58"/>
      <c r="D199" s="58"/>
      <c r="E199" s="58"/>
      <c r="F199" s="58" t="s">
        <v>1679</v>
      </c>
      <c r="G199" s="58" t="s">
        <v>1680</v>
      </c>
      <c r="H199" s="58">
        <v>2211147</v>
      </c>
      <c r="I199" s="58" t="s">
        <v>2754</v>
      </c>
      <c r="J199" s="58"/>
      <c r="K199" s="58"/>
      <c r="L199" s="58" t="s">
        <v>1660</v>
      </c>
      <c r="M199" s="58" t="s">
        <v>1681</v>
      </c>
      <c r="N199" s="58" t="s">
        <v>1682</v>
      </c>
      <c r="O199" s="58" t="s">
        <v>933</v>
      </c>
      <c r="P199" s="58" t="s">
        <v>934</v>
      </c>
      <c r="Q199" s="58"/>
      <c r="R199" s="58"/>
      <c r="S199" s="58" t="s">
        <v>113</v>
      </c>
      <c r="T199" s="58" t="s">
        <v>930</v>
      </c>
      <c r="U199" s="58"/>
      <c r="V199" s="58"/>
      <c r="W199" s="46" t="s">
        <v>2456</v>
      </c>
    </row>
    <row r="200" spans="1:23" ht="13.5" customHeight="1" x14ac:dyDescent="0.25">
      <c r="A200" s="58"/>
      <c r="B200" s="58"/>
      <c r="C200" s="58"/>
      <c r="D200" s="58"/>
      <c r="E200" s="58"/>
      <c r="F200" s="58" t="s">
        <v>1683</v>
      </c>
      <c r="G200" s="58" t="s">
        <v>1684</v>
      </c>
      <c r="H200" s="58">
        <v>2211148</v>
      </c>
      <c r="I200" s="58" t="s">
        <v>2754</v>
      </c>
      <c r="J200" s="58"/>
      <c r="K200" s="58"/>
      <c r="L200" s="58" t="s">
        <v>1660</v>
      </c>
      <c r="M200" s="58" t="s">
        <v>1685</v>
      </c>
      <c r="N200" s="58" t="s">
        <v>1682</v>
      </c>
      <c r="O200" s="58" t="s">
        <v>933</v>
      </c>
      <c r="P200" s="58" t="s">
        <v>934</v>
      </c>
      <c r="Q200" s="58"/>
      <c r="R200" s="58"/>
      <c r="S200" s="58" t="s">
        <v>113</v>
      </c>
      <c r="T200" s="58" t="s">
        <v>930</v>
      </c>
      <c r="U200" s="58"/>
      <c r="V200" s="58"/>
      <c r="W200" s="46" t="s">
        <v>2456</v>
      </c>
    </row>
    <row r="201" spans="1:23" ht="13.5" customHeight="1" x14ac:dyDescent="0.25">
      <c r="A201" s="58"/>
      <c r="B201" s="58"/>
      <c r="C201" s="58"/>
      <c r="D201" s="58"/>
      <c r="E201" s="58"/>
      <c r="F201" s="58" t="s">
        <v>1686</v>
      </c>
      <c r="G201" s="58" t="s">
        <v>1687</v>
      </c>
      <c r="H201" s="58">
        <v>2211149</v>
      </c>
      <c r="I201" s="58" t="s">
        <v>2754</v>
      </c>
      <c r="J201" s="58"/>
      <c r="K201" s="58"/>
      <c r="L201" s="58" t="s">
        <v>1660</v>
      </c>
      <c r="M201" s="58" t="s">
        <v>1688</v>
      </c>
      <c r="N201" s="58" t="s">
        <v>1682</v>
      </c>
      <c r="O201" s="58" t="s">
        <v>933</v>
      </c>
      <c r="P201" s="58" t="s">
        <v>934</v>
      </c>
      <c r="Q201" s="58"/>
      <c r="R201" s="58"/>
      <c r="S201" s="58" t="s">
        <v>113</v>
      </c>
      <c r="T201" s="58" t="s">
        <v>930</v>
      </c>
      <c r="U201" s="58"/>
      <c r="V201" s="58"/>
      <c r="W201" s="46" t="s">
        <v>2456</v>
      </c>
    </row>
    <row r="202" spans="1:23" ht="13.5" customHeight="1" x14ac:dyDescent="0.25">
      <c r="A202" s="58"/>
      <c r="B202" s="58"/>
      <c r="C202" s="58"/>
      <c r="D202" s="58"/>
      <c r="E202" s="58"/>
      <c r="F202" s="58" t="s">
        <v>1689</v>
      </c>
      <c r="G202" s="58" t="s">
        <v>1690</v>
      </c>
      <c r="H202" s="58">
        <v>2211150</v>
      </c>
      <c r="I202" s="58" t="s">
        <v>2754</v>
      </c>
      <c r="J202" s="58"/>
      <c r="K202" s="58"/>
      <c r="L202" s="58" t="s">
        <v>1660</v>
      </c>
      <c r="M202" s="58" t="s">
        <v>1691</v>
      </c>
      <c r="N202" s="58" t="s">
        <v>1692</v>
      </c>
      <c r="O202" s="58" t="s">
        <v>933</v>
      </c>
      <c r="P202" s="58" t="s">
        <v>934</v>
      </c>
      <c r="Q202" s="58"/>
      <c r="R202" s="58"/>
      <c r="S202" s="58" t="s">
        <v>113</v>
      </c>
      <c r="T202" s="58" t="s">
        <v>930</v>
      </c>
      <c r="U202" s="58"/>
      <c r="V202" s="58"/>
      <c r="W202" s="46" t="s">
        <v>2456</v>
      </c>
    </row>
    <row r="203" spans="1:23" ht="13.5" customHeight="1" x14ac:dyDescent="0.25">
      <c r="A203" s="58"/>
      <c r="B203" s="58"/>
      <c r="C203" s="58"/>
      <c r="D203" s="58"/>
      <c r="E203" s="58"/>
      <c r="F203" s="58" t="s">
        <v>1693</v>
      </c>
      <c r="G203" s="58" t="s">
        <v>1694</v>
      </c>
      <c r="H203" s="58">
        <v>2211151</v>
      </c>
      <c r="I203" s="58" t="s">
        <v>2754</v>
      </c>
      <c r="J203" s="58"/>
      <c r="K203" s="58"/>
      <c r="L203" s="58" t="s">
        <v>1660</v>
      </c>
      <c r="M203" s="58" t="s">
        <v>1695</v>
      </c>
      <c r="N203" s="58" t="s">
        <v>1692</v>
      </c>
      <c r="O203" s="58" t="s">
        <v>933</v>
      </c>
      <c r="P203" s="58" t="s">
        <v>934</v>
      </c>
      <c r="Q203" s="58"/>
      <c r="R203" s="58"/>
      <c r="S203" s="58" t="s">
        <v>113</v>
      </c>
      <c r="T203" s="58" t="s">
        <v>930</v>
      </c>
      <c r="U203" s="58"/>
      <c r="V203" s="58"/>
      <c r="W203" s="46" t="s">
        <v>2456</v>
      </c>
    </row>
    <row r="204" spans="1:23" ht="13.5" customHeight="1" x14ac:dyDescent="0.25">
      <c r="A204" s="58"/>
      <c r="B204" s="58"/>
      <c r="C204" s="58"/>
      <c r="D204" s="58"/>
      <c r="E204" s="58"/>
      <c r="F204" s="58" t="s">
        <v>1696</v>
      </c>
      <c r="G204" s="58" t="s">
        <v>1697</v>
      </c>
      <c r="H204" s="58">
        <v>2211152</v>
      </c>
      <c r="I204" s="58" t="s">
        <v>2754</v>
      </c>
      <c r="J204" s="58"/>
      <c r="K204" s="58"/>
      <c r="L204" s="58" t="s">
        <v>1660</v>
      </c>
      <c r="M204" s="58" t="s">
        <v>1698</v>
      </c>
      <c r="N204" s="58" t="s">
        <v>1692</v>
      </c>
      <c r="O204" s="58" t="s">
        <v>933</v>
      </c>
      <c r="P204" s="58" t="s">
        <v>934</v>
      </c>
      <c r="Q204" s="58"/>
      <c r="R204" s="58"/>
      <c r="S204" s="58" t="s">
        <v>113</v>
      </c>
      <c r="T204" s="58" t="s">
        <v>930</v>
      </c>
      <c r="U204" s="58"/>
      <c r="V204" s="58"/>
      <c r="W204" s="46" t="s">
        <v>2456</v>
      </c>
    </row>
    <row r="205" spans="1:23" ht="13.5" customHeight="1" x14ac:dyDescent="0.25">
      <c r="A205" s="58"/>
      <c r="B205" s="58"/>
      <c r="C205" s="58"/>
      <c r="D205" s="58"/>
      <c r="E205" s="58"/>
      <c r="F205" s="58" t="s">
        <v>1699</v>
      </c>
      <c r="G205" s="58" t="s">
        <v>1700</v>
      </c>
      <c r="H205" s="58">
        <v>2211153</v>
      </c>
      <c r="I205" s="58" t="s">
        <v>2754</v>
      </c>
      <c r="J205" s="58"/>
      <c r="K205" s="58"/>
      <c r="L205" s="58" t="s">
        <v>1660</v>
      </c>
      <c r="M205" s="58" t="s">
        <v>1701</v>
      </c>
      <c r="N205" s="58" t="s">
        <v>1702</v>
      </c>
      <c r="O205" s="58" t="s">
        <v>933</v>
      </c>
      <c r="P205" s="58" t="s">
        <v>934</v>
      </c>
      <c r="Q205" s="58"/>
      <c r="R205" s="58"/>
      <c r="S205" s="58" t="s">
        <v>113</v>
      </c>
      <c r="T205" s="58" t="s">
        <v>930</v>
      </c>
      <c r="U205" s="58"/>
      <c r="V205" s="58"/>
      <c r="W205" s="46" t="s">
        <v>2456</v>
      </c>
    </row>
    <row r="206" spans="1:23" ht="13.5" customHeight="1" x14ac:dyDescent="0.25">
      <c r="A206" s="58"/>
      <c r="B206" s="58"/>
      <c r="C206" s="58"/>
      <c r="D206" s="58"/>
      <c r="E206" s="58"/>
      <c r="F206" s="58" t="s">
        <v>1703</v>
      </c>
      <c r="G206" s="58" t="s">
        <v>1704</v>
      </c>
      <c r="H206" s="58">
        <v>2211154</v>
      </c>
      <c r="I206" s="58" t="s">
        <v>2756</v>
      </c>
      <c r="J206" s="58"/>
      <c r="K206" s="58"/>
      <c r="L206" s="58" t="s">
        <v>1660</v>
      </c>
      <c r="M206" s="58" t="s">
        <v>1705</v>
      </c>
      <c r="N206" s="58" t="s">
        <v>1692</v>
      </c>
      <c r="O206" s="58" t="s">
        <v>933</v>
      </c>
      <c r="P206" s="58" t="s">
        <v>934</v>
      </c>
      <c r="Q206" s="58"/>
      <c r="R206" s="58"/>
      <c r="S206" s="58" t="s">
        <v>113</v>
      </c>
      <c r="T206" s="58" t="s">
        <v>930</v>
      </c>
      <c r="U206" s="58"/>
      <c r="V206" s="58"/>
      <c r="W206" s="46" t="s">
        <v>2456</v>
      </c>
    </row>
    <row r="207" spans="1:23" ht="13.5" customHeight="1" x14ac:dyDescent="0.25">
      <c r="A207" s="58"/>
      <c r="B207" s="58"/>
      <c r="C207" s="58"/>
      <c r="D207" s="58"/>
      <c r="E207" s="58"/>
      <c r="F207" s="58" t="s">
        <v>1706</v>
      </c>
      <c r="G207" s="58" t="s">
        <v>1707</v>
      </c>
      <c r="H207" s="58">
        <v>2211155</v>
      </c>
      <c r="I207" s="58" t="s">
        <v>2756</v>
      </c>
      <c r="J207" s="58"/>
      <c r="K207" s="58"/>
      <c r="L207" s="58" t="s">
        <v>1660</v>
      </c>
      <c r="M207" s="58" t="s">
        <v>1708</v>
      </c>
      <c r="N207" s="58" t="s">
        <v>1692</v>
      </c>
      <c r="O207" s="58" t="s">
        <v>933</v>
      </c>
      <c r="P207" s="58" t="s">
        <v>934</v>
      </c>
      <c r="Q207" s="58"/>
      <c r="R207" s="58"/>
      <c r="S207" s="58" t="s">
        <v>113</v>
      </c>
      <c r="T207" s="58" t="s">
        <v>930</v>
      </c>
      <c r="U207" s="58"/>
      <c r="V207" s="58"/>
      <c r="W207" s="46" t="s">
        <v>2456</v>
      </c>
    </row>
    <row r="208" spans="1:23" s="46" customFormat="1" ht="13.5" customHeight="1" x14ac:dyDescent="0.25">
      <c r="A208" s="58"/>
      <c r="B208" s="58"/>
      <c r="C208" s="58"/>
      <c r="D208" s="58"/>
      <c r="E208" s="58"/>
      <c r="F208" s="58" t="s">
        <v>2420</v>
      </c>
      <c r="G208" s="58" t="s">
        <v>2418</v>
      </c>
      <c r="H208" s="58">
        <v>2211156</v>
      </c>
      <c r="I208" s="58" t="s">
        <v>2754</v>
      </c>
      <c r="J208" s="58"/>
      <c r="K208" s="58"/>
      <c r="L208" s="58" t="s">
        <v>783</v>
      </c>
      <c r="M208" s="83" t="s">
        <v>2711</v>
      </c>
      <c r="N208" s="83" t="s">
        <v>2450</v>
      </c>
      <c r="O208" s="58" t="s">
        <v>933</v>
      </c>
      <c r="P208" s="58" t="s">
        <v>934</v>
      </c>
      <c r="Q208" s="58"/>
      <c r="R208" s="58"/>
      <c r="S208" s="58" t="s">
        <v>113</v>
      </c>
      <c r="T208" s="58" t="s">
        <v>930</v>
      </c>
      <c r="U208" s="58"/>
      <c r="V208" s="58"/>
    </row>
    <row r="209" spans="1:23" s="46" customFormat="1" ht="13.5" customHeight="1" x14ac:dyDescent="0.25">
      <c r="A209" s="58"/>
      <c r="B209" s="58"/>
      <c r="C209" s="58"/>
      <c r="D209" s="58"/>
      <c r="E209" s="58"/>
      <c r="F209" s="58" t="s">
        <v>2421</v>
      </c>
      <c r="G209" s="58" t="s">
        <v>2419</v>
      </c>
      <c r="H209" s="58">
        <v>2211157</v>
      </c>
      <c r="I209" s="58" t="s">
        <v>2754</v>
      </c>
      <c r="J209" s="58"/>
      <c r="K209" s="58"/>
      <c r="L209" s="58" t="s">
        <v>783</v>
      </c>
      <c r="M209" s="83" t="s">
        <v>2658</v>
      </c>
      <c r="N209" s="83" t="s">
        <v>2450</v>
      </c>
      <c r="O209" s="58" t="s">
        <v>933</v>
      </c>
      <c r="P209" s="58" t="s">
        <v>934</v>
      </c>
      <c r="Q209" s="58"/>
      <c r="R209" s="58"/>
      <c r="S209" s="58" t="s">
        <v>113</v>
      </c>
      <c r="T209" s="58" t="s">
        <v>930</v>
      </c>
      <c r="U209" s="58"/>
      <c r="V209" s="58"/>
      <c r="W209" s="46" t="s">
        <v>2672</v>
      </c>
    </row>
    <row r="210" spans="1:23" ht="13.5" customHeight="1" x14ac:dyDescent="0.25">
      <c r="A210" s="58"/>
      <c r="B210" s="58"/>
      <c r="C210" s="58"/>
      <c r="D210" s="58"/>
      <c r="E210" s="58"/>
      <c r="F210" s="58" t="s">
        <v>2647</v>
      </c>
      <c r="G210" s="58" t="s">
        <v>1709</v>
      </c>
      <c r="H210" s="58">
        <v>2211158</v>
      </c>
      <c r="I210" s="58" t="s">
        <v>2758</v>
      </c>
      <c r="J210" s="58"/>
      <c r="K210" s="58"/>
      <c r="L210" s="58" t="s">
        <v>1660</v>
      </c>
      <c r="M210" s="83" t="s">
        <v>2659</v>
      </c>
      <c r="N210" s="83" t="s">
        <v>2460</v>
      </c>
      <c r="O210" s="58" t="s">
        <v>933</v>
      </c>
      <c r="P210" s="58" t="s">
        <v>934</v>
      </c>
      <c r="Q210" s="58"/>
      <c r="R210" s="58"/>
      <c r="S210" s="58" t="s">
        <v>114</v>
      </c>
      <c r="T210" s="58" t="s">
        <v>2706</v>
      </c>
      <c r="U210" s="58"/>
      <c r="V210" s="58"/>
      <c r="W210" s="46" t="s">
        <v>2454</v>
      </c>
    </row>
    <row r="211" spans="1:23" ht="13.5" customHeight="1" x14ac:dyDescent="0.25">
      <c r="A211" s="58"/>
      <c r="B211" s="58"/>
      <c r="C211" s="58"/>
      <c r="D211" s="58"/>
      <c r="E211" s="58"/>
      <c r="F211" s="58" t="s">
        <v>2648</v>
      </c>
      <c r="G211" s="58" t="s">
        <v>1710</v>
      </c>
      <c r="H211" s="58">
        <v>2211159</v>
      </c>
      <c r="I211" s="58" t="s">
        <v>2758</v>
      </c>
      <c r="J211" s="58"/>
      <c r="K211" s="58"/>
      <c r="L211" s="58" t="s">
        <v>1660</v>
      </c>
      <c r="M211" s="83" t="s">
        <v>2660</v>
      </c>
      <c r="N211" s="58" t="s">
        <v>1639</v>
      </c>
      <c r="O211" s="58" t="s">
        <v>933</v>
      </c>
      <c r="P211" s="58" t="s">
        <v>934</v>
      </c>
      <c r="Q211" s="58"/>
      <c r="R211" s="58"/>
      <c r="S211" s="58" t="s">
        <v>114</v>
      </c>
      <c r="T211" s="58" t="s">
        <v>2706</v>
      </c>
      <c r="U211" s="58"/>
      <c r="V211" s="58"/>
      <c r="W211" s="46" t="s">
        <v>2455</v>
      </c>
    </row>
    <row r="212" spans="1:23" ht="13.5" customHeight="1" x14ac:dyDescent="0.25">
      <c r="A212" s="58"/>
      <c r="B212" s="58"/>
      <c r="C212" s="58"/>
      <c r="D212" s="58"/>
      <c r="E212" s="58"/>
      <c r="F212" s="58" t="s">
        <v>2649</v>
      </c>
      <c r="G212" s="58" t="s">
        <v>1711</v>
      </c>
      <c r="H212" s="58">
        <v>2211160</v>
      </c>
      <c r="I212" s="58" t="s">
        <v>2758</v>
      </c>
      <c r="J212" s="58"/>
      <c r="K212" s="58"/>
      <c r="L212" s="58" t="s">
        <v>1660</v>
      </c>
      <c r="M212" s="83" t="s">
        <v>2661</v>
      </c>
      <c r="N212" s="58" t="s">
        <v>1639</v>
      </c>
      <c r="O212" s="58" t="s">
        <v>933</v>
      </c>
      <c r="P212" s="58" t="s">
        <v>934</v>
      </c>
      <c r="Q212" s="58"/>
      <c r="R212" s="58"/>
      <c r="S212" s="58" t="s">
        <v>114</v>
      </c>
      <c r="T212" s="58" t="s">
        <v>2706</v>
      </c>
      <c r="U212" s="58"/>
      <c r="V212" s="58"/>
      <c r="W212" s="46" t="s">
        <v>930</v>
      </c>
    </row>
    <row r="213" spans="1:23" ht="13.5" customHeight="1" x14ac:dyDescent="0.25">
      <c r="A213" s="58"/>
      <c r="B213" s="58"/>
      <c r="C213" s="58"/>
      <c r="D213" s="58"/>
      <c r="E213" s="58"/>
      <c r="F213" s="58" t="s">
        <v>2650</v>
      </c>
      <c r="G213" s="58" t="s">
        <v>1712</v>
      </c>
      <c r="H213" s="58">
        <v>2211161</v>
      </c>
      <c r="I213" s="58" t="s">
        <v>2758</v>
      </c>
      <c r="J213" s="58"/>
      <c r="K213" s="58"/>
      <c r="L213" s="58" t="s">
        <v>1660</v>
      </c>
      <c r="M213" s="83" t="s">
        <v>2662</v>
      </c>
      <c r="N213" s="58" t="s">
        <v>1639</v>
      </c>
      <c r="O213" s="58" t="s">
        <v>933</v>
      </c>
      <c r="P213" s="58" t="s">
        <v>934</v>
      </c>
      <c r="Q213" s="58"/>
      <c r="R213" s="58"/>
      <c r="S213" s="58" t="s">
        <v>114</v>
      </c>
      <c r="T213" s="58" t="s">
        <v>2706</v>
      </c>
      <c r="U213" s="58"/>
      <c r="V213" s="58"/>
      <c r="W213" s="46" t="s">
        <v>930</v>
      </c>
    </row>
    <row r="214" spans="1:23" ht="13.5" customHeight="1" x14ac:dyDescent="0.25">
      <c r="A214" s="58"/>
      <c r="B214" s="58"/>
      <c r="C214" s="58"/>
      <c r="D214" s="58"/>
      <c r="E214" s="58"/>
      <c r="F214" s="58" t="s">
        <v>2651</v>
      </c>
      <c r="G214" s="58" t="s">
        <v>1713</v>
      </c>
      <c r="H214" s="58">
        <v>2211162</v>
      </c>
      <c r="I214" s="58" t="s">
        <v>2758</v>
      </c>
      <c r="J214" s="58"/>
      <c r="K214" s="58"/>
      <c r="L214" s="58" t="s">
        <v>1660</v>
      </c>
      <c r="M214" s="83" t="s">
        <v>2663</v>
      </c>
      <c r="N214" s="58" t="s">
        <v>1639</v>
      </c>
      <c r="O214" s="58" t="s">
        <v>933</v>
      </c>
      <c r="P214" s="58" t="s">
        <v>934</v>
      </c>
      <c r="Q214" s="58"/>
      <c r="R214" s="58"/>
      <c r="S214" s="58" t="s">
        <v>114</v>
      </c>
      <c r="T214" s="58" t="s">
        <v>2706</v>
      </c>
      <c r="U214" s="58"/>
      <c r="V214" s="58"/>
      <c r="W214" s="46" t="s">
        <v>930</v>
      </c>
    </row>
    <row r="215" spans="1:23" ht="13.5" customHeight="1" x14ac:dyDescent="0.25">
      <c r="A215" s="58"/>
      <c r="B215" s="58"/>
      <c r="C215" s="58"/>
      <c r="D215" s="58"/>
      <c r="E215" s="58"/>
      <c r="F215" s="58" t="s">
        <v>2652</v>
      </c>
      <c r="G215" s="58" t="s">
        <v>1714</v>
      </c>
      <c r="H215" s="58">
        <v>2211163</v>
      </c>
      <c r="I215" s="58" t="s">
        <v>2758</v>
      </c>
      <c r="J215" s="58"/>
      <c r="K215" s="58"/>
      <c r="L215" s="58" t="s">
        <v>1660</v>
      </c>
      <c r="M215" s="83" t="s">
        <v>2664</v>
      </c>
      <c r="N215" s="58" t="s">
        <v>1639</v>
      </c>
      <c r="O215" s="58" t="s">
        <v>933</v>
      </c>
      <c r="P215" s="58" t="s">
        <v>934</v>
      </c>
      <c r="Q215" s="58"/>
      <c r="R215" s="58"/>
      <c r="S215" s="58" t="s">
        <v>114</v>
      </c>
      <c r="T215" s="58" t="s">
        <v>2706</v>
      </c>
      <c r="U215" s="58"/>
      <c r="V215" s="58"/>
      <c r="W215" s="46" t="s">
        <v>930</v>
      </c>
    </row>
    <row r="216" spans="1:23" ht="13.5" customHeight="1" x14ac:dyDescent="0.25">
      <c r="A216" s="58"/>
      <c r="B216" s="58"/>
      <c r="C216" s="58"/>
      <c r="D216" s="58"/>
      <c r="E216" s="58"/>
      <c r="F216" s="58" t="s">
        <v>2653</v>
      </c>
      <c r="G216" s="58" t="s">
        <v>1715</v>
      </c>
      <c r="H216" s="58">
        <v>2211164</v>
      </c>
      <c r="I216" s="58" t="s">
        <v>2758</v>
      </c>
      <c r="J216" s="58"/>
      <c r="K216" s="58"/>
      <c r="L216" s="58" t="s">
        <v>1660</v>
      </c>
      <c r="M216" s="83" t="s">
        <v>2665</v>
      </c>
      <c r="N216" s="58" t="s">
        <v>1639</v>
      </c>
      <c r="O216" s="58" t="s">
        <v>933</v>
      </c>
      <c r="P216" s="58" t="s">
        <v>934</v>
      </c>
      <c r="Q216" s="58"/>
      <c r="R216" s="58"/>
      <c r="S216" s="58" t="s">
        <v>114</v>
      </c>
      <c r="T216" s="58" t="s">
        <v>2706</v>
      </c>
      <c r="U216" s="58"/>
      <c r="V216" s="58"/>
      <c r="W216" s="46" t="s">
        <v>930</v>
      </c>
    </row>
    <row r="217" spans="1:23" ht="13.5" customHeight="1" x14ac:dyDescent="0.25">
      <c r="A217" s="58"/>
      <c r="B217" s="58"/>
      <c r="C217" s="58"/>
      <c r="D217" s="58"/>
      <c r="E217" s="58"/>
      <c r="F217" s="58" t="s">
        <v>2654</v>
      </c>
      <c r="G217" s="58" t="s">
        <v>1716</v>
      </c>
      <c r="H217" s="58">
        <v>2211165</v>
      </c>
      <c r="I217" s="58" t="s">
        <v>2758</v>
      </c>
      <c r="J217" s="58"/>
      <c r="K217" s="58"/>
      <c r="L217" s="58" t="s">
        <v>1660</v>
      </c>
      <c r="M217" s="83" t="s">
        <v>2666</v>
      </c>
      <c r="N217" s="58" t="s">
        <v>1639</v>
      </c>
      <c r="O217" s="58" t="s">
        <v>933</v>
      </c>
      <c r="P217" s="58" t="s">
        <v>934</v>
      </c>
      <c r="Q217" s="58"/>
      <c r="R217" s="58"/>
      <c r="S217" s="58" t="s">
        <v>114</v>
      </c>
      <c r="T217" s="58" t="s">
        <v>2706</v>
      </c>
      <c r="U217" s="58"/>
      <c r="V217" s="58"/>
      <c r="W217" s="46" t="s">
        <v>930</v>
      </c>
    </row>
    <row r="218" spans="1:23" ht="13.5" customHeight="1" x14ac:dyDescent="0.25">
      <c r="A218" s="58"/>
      <c r="B218" s="58"/>
      <c r="C218" s="58"/>
      <c r="D218" s="58"/>
      <c r="E218" s="58"/>
      <c r="F218" s="58" t="s">
        <v>2655</v>
      </c>
      <c r="G218" s="58" t="s">
        <v>1717</v>
      </c>
      <c r="H218" s="58">
        <v>2211166</v>
      </c>
      <c r="I218" s="58" t="s">
        <v>2758</v>
      </c>
      <c r="J218" s="58"/>
      <c r="K218" s="58"/>
      <c r="L218" s="58" t="s">
        <v>1660</v>
      </c>
      <c r="M218" s="83" t="s">
        <v>2667</v>
      </c>
      <c r="N218" s="58" t="s">
        <v>1718</v>
      </c>
      <c r="O218" s="58" t="s">
        <v>933</v>
      </c>
      <c r="P218" s="58" t="s">
        <v>934</v>
      </c>
      <c r="Q218" s="58"/>
      <c r="R218" s="58"/>
      <c r="S218" s="58" t="s">
        <v>114</v>
      </c>
      <c r="T218" s="58" t="s">
        <v>932</v>
      </c>
      <c r="U218" s="58"/>
      <c r="V218" s="58"/>
    </row>
    <row r="219" spans="1:23" ht="13.5" customHeight="1" x14ac:dyDescent="0.25">
      <c r="A219" s="58"/>
      <c r="B219" s="58"/>
      <c r="C219" s="58"/>
      <c r="D219" s="58"/>
      <c r="E219" s="58"/>
      <c r="F219" s="58" t="s">
        <v>2656</v>
      </c>
      <c r="G219" s="58" t="s">
        <v>1719</v>
      </c>
      <c r="H219" s="58">
        <v>2211167</v>
      </c>
      <c r="I219" s="58" t="s">
        <v>2758</v>
      </c>
      <c r="J219" s="58"/>
      <c r="K219" s="58"/>
      <c r="L219" s="58" t="s">
        <v>1720</v>
      </c>
      <c r="M219" s="83" t="s">
        <v>2668</v>
      </c>
      <c r="N219" s="58" t="s">
        <v>1639</v>
      </c>
      <c r="O219" s="58" t="s">
        <v>933</v>
      </c>
      <c r="P219" s="58" t="s">
        <v>934</v>
      </c>
      <c r="Q219" s="58"/>
      <c r="R219" s="58"/>
      <c r="S219" s="58" t="s">
        <v>114</v>
      </c>
      <c r="T219" s="58" t="s">
        <v>2706</v>
      </c>
      <c r="U219" s="58"/>
      <c r="V219" s="58"/>
      <c r="W219" s="46" t="s">
        <v>2695</v>
      </c>
    </row>
    <row r="220" spans="1:23" ht="13.5" customHeight="1" x14ac:dyDescent="0.25">
      <c r="A220" s="58"/>
      <c r="B220" s="58"/>
      <c r="C220" s="58"/>
      <c r="D220" s="58"/>
      <c r="E220" s="58"/>
      <c r="F220" s="58" t="s">
        <v>2657</v>
      </c>
      <c r="G220" s="58" t="s">
        <v>1721</v>
      </c>
      <c r="H220" s="58">
        <v>2211168</v>
      </c>
      <c r="I220" s="58" t="s">
        <v>2758</v>
      </c>
      <c r="J220" s="58"/>
      <c r="K220" s="58"/>
      <c r="L220" s="58" t="s">
        <v>1720</v>
      </c>
      <c r="M220" s="83" t="s">
        <v>2669</v>
      </c>
      <c r="N220" s="58" t="s">
        <v>1639</v>
      </c>
      <c r="O220" s="58" t="s">
        <v>933</v>
      </c>
      <c r="P220" s="58" t="s">
        <v>934</v>
      </c>
      <c r="Q220" s="58"/>
      <c r="R220" s="58"/>
      <c r="S220" s="58" t="s">
        <v>114</v>
      </c>
      <c r="T220" s="58" t="s">
        <v>2706</v>
      </c>
      <c r="U220" s="58"/>
      <c r="V220" s="58"/>
      <c r="W220" s="46" t="s">
        <v>2695</v>
      </c>
    </row>
    <row r="221" spans="1:23" ht="13.5" customHeight="1" x14ac:dyDescent="0.25">
      <c r="A221" s="58"/>
      <c r="B221" s="58"/>
      <c r="C221" s="58"/>
      <c r="D221" s="58"/>
      <c r="E221" s="58"/>
      <c r="F221" s="58" t="s">
        <v>2628</v>
      </c>
      <c r="G221" s="58" t="s">
        <v>1722</v>
      </c>
      <c r="H221" s="58">
        <v>2211169</v>
      </c>
      <c r="I221" s="58" t="s">
        <v>2758</v>
      </c>
      <c r="J221" s="58"/>
      <c r="K221" s="58"/>
      <c r="L221" s="58" t="s">
        <v>783</v>
      </c>
      <c r="M221" s="58" t="s">
        <v>1723</v>
      </c>
      <c r="N221" s="58" t="s">
        <v>1724</v>
      </c>
      <c r="O221" s="58" t="s">
        <v>933</v>
      </c>
      <c r="P221" s="58" t="s">
        <v>934</v>
      </c>
      <c r="Q221" s="58"/>
      <c r="R221" s="58"/>
      <c r="S221" s="58" t="s">
        <v>115</v>
      </c>
      <c r="T221" s="58" t="s">
        <v>932</v>
      </c>
      <c r="U221" s="58"/>
      <c r="V221" s="58"/>
    </row>
    <row r="222" spans="1:23" ht="13.5" customHeight="1" x14ac:dyDescent="0.25">
      <c r="A222" s="58"/>
      <c r="B222" s="58"/>
      <c r="C222" s="58"/>
      <c r="D222" s="58"/>
      <c r="E222" s="58"/>
      <c r="F222" s="58" t="s">
        <v>2671</v>
      </c>
      <c r="G222" s="58" t="s">
        <v>1725</v>
      </c>
      <c r="H222" s="58">
        <v>2211170</v>
      </c>
      <c r="I222" s="58" t="s">
        <v>2758</v>
      </c>
      <c r="J222" s="58"/>
      <c r="K222" s="58"/>
      <c r="L222" s="58" t="s">
        <v>783</v>
      </c>
      <c r="M222" s="83" t="s">
        <v>2670</v>
      </c>
      <c r="N222" s="58" t="s">
        <v>1724</v>
      </c>
      <c r="O222" s="58" t="s">
        <v>933</v>
      </c>
      <c r="P222" s="58" t="s">
        <v>934</v>
      </c>
      <c r="Q222" s="58"/>
      <c r="R222" s="58"/>
      <c r="S222" s="58" t="s">
        <v>115</v>
      </c>
      <c r="T222" s="58" t="s">
        <v>932</v>
      </c>
      <c r="U222" s="58"/>
      <c r="V222" s="58"/>
      <c r="W222" s="46"/>
    </row>
    <row r="223" spans="1:23" s="46" customFormat="1" ht="13.5" customHeight="1" x14ac:dyDescent="0.25">
      <c r="A223" s="58"/>
      <c r="B223" s="58"/>
      <c r="C223" s="58"/>
      <c r="D223" s="58"/>
      <c r="E223" s="58"/>
      <c r="F223" s="58" t="s">
        <v>2691</v>
      </c>
      <c r="G223" s="58" t="s">
        <v>1709</v>
      </c>
      <c r="H223" s="58">
        <v>2211171</v>
      </c>
      <c r="I223" s="58" t="s">
        <v>2758</v>
      </c>
      <c r="J223" s="58"/>
      <c r="K223" s="58"/>
      <c r="L223" s="58" t="s">
        <v>1660</v>
      </c>
      <c r="M223" s="83" t="s">
        <v>2693</v>
      </c>
      <c r="N223" s="83" t="s">
        <v>959</v>
      </c>
      <c r="O223" s="58" t="s">
        <v>933</v>
      </c>
      <c r="P223" s="58" t="s">
        <v>934</v>
      </c>
      <c r="Q223" s="58"/>
      <c r="R223" s="58"/>
      <c r="S223" s="58" t="s">
        <v>114</v>
      </c>
      <c r="T223" s="58" t="s">
        <v>2707</v>
      </c>
      <c r="U223" s="58"/>
      <c r="V223" s="58"/>
      <c r="W223" s="46" t="s">
        <v>2672</v>
      </c>
    </row>
    <row r="224" spans="1:23" s="46" customFormat="1" ht="13.5" customHeight="1" x14ac:dyDescent="0.25">
      <c r="A224" s="58"/>
      <c r="B224" s="58"/>
      <c r="C224" s="58"/>
      <c r="D224" s="58"/>
      <c r="E224" s="58"/>
      <c r="F224" s="58" t="s">
        <v>2692</v>
      </c>
      <c r="G224" s="58" t="s">
        <v>1711</v>
      </c>
      <c r="H224" s="58">
        <v>2211172</v>
      </c>
      <c r="I224" s="58" t="s">
        <v>2758</v>
      </c>
      <c r="J224" s="58"/>
      <c r="K224" s="58"/>
      <c r="L224" s="58" t="s">
        <v>1660</v>
      </c>
      <c r="M224" s="83" t="s">
        <v>2694</v>
      </c>
      <c r="N224" s="58" t="s">
        <v>1639</v>
      </c>
      <c r="O224" s="58" t="s">
        <v>933</v>
      </c>
      <c r="P224" s="58" t="s">
        <v>934</v>
      </c>
      <c r="Q224" s="58"/>
      <c r="R224" s="58"/>
      <c r="S224" s="58" t="s">
        <v>114</v>
      </c>
      <c r="T224" s="58" t="s">
        <v>2707</v>
      </c>
      <c r="U224" s="58"/>
      <c r="V224" s="58"/>
      <c r="W224" s="46" t="s">
        <v>2672</v>
      </c>
    </row>
    <row r="225" spans="1:23" s="46" customFormat="1" ht="13.5" customHeight="1" x14ac:dyDescent="0.25">
      <c r="A225" s="58"/>
      <c r="B225" s="58"/>
      <c r="C225" s="58"/>
      <c r="D225" s="58"/>
      <c r="E225" s="58"/>
      <c r="F225" s="58" t="s">
        <v>2673</v>
      </c>
      <c r="G225" s="58" t="s">
        <v>1711</v>
      </c>
      <c r="H225" s="58">
        <v>2211173</v>
      </c>
      <c r="I225" s="58" t="s">
        <v>2758</v>
      </c>
      <c r="J225" s="58"/>
      <c r="K225" s="58"/>
      <c r="L225" s="58" t="s">
        <v>1660</v>
      </c>
      <c r="M225" s="83" t="s">
        <v>2674</v>
      </c>
      <c r="N225" s="58" t="s">
        <v>1639</v>
      </c>
      <c r="O225" s="58" t="s">
        <v>933</v>
      </c>
      <c r="P225" s="58" t="s">
        <v>934</v>
      </c>
      <c r="Q225" s="58"/>
      <c r="R225" s="58"/>
      <c r="S225" s="58" t="s">
        <v>114</v>
      </c>
      <c r="T225" s="58" t="s">
        <v>2707</v>
      </c>
      <c r="U225" s="58"/>
      <c r="V225" s="58"/>
      <c r="W225" s="46" t="s">
        <v>2672</v>
      </c>
    </row>
    <row r="226" spans="1:23" s="46" customFormat="1" ht="13.5" customHeight="1" x14ac:dyDescent="0.25">
      <c r="A226" s="58"/>
      <c r="B226" s="58"/>
      <c r="C226" s="58"/>
      <c r="D226" s="58"/>
      <c r="E226" s="58"/>
      <c r="F226" s="58" t="s">
        <v>2675</v>
      </c>
      <c r="G226" s="58" t="s">
        <v>1712</v>
      </c>
      <c r="H226" s="58">
        <v>2211174</v>
      </c>
      <c r="I226" s="58" t="s">
        <v>2758</v>
      </c>
      <c r="J226" s="58"/>
      <c r="K226" s="58"/>
      <c r="L226" s="58" t="s">
        <v>1660</v>
      </c>
      <c r="M226" s="83" t="s">
        <v>2676</v>
      </c>
      <c r="N226" s="58" t="s">
        <v>1639</v>
      </c>
      <c r="O226" s="58" t="s">
        <v>933</v>
      </c>
      <c r="P226" s="58" t="s">
        <v>934</v>
      </c>
      <c r="Q226" s="58"/>
      <c r="R226" s="58"/>
      <c r="S226" s="58" t="s">
        <v>114</v>
      </c>
      <c r="T226" s="58" t="s">
        <v>2707</v>
      </c>
      <c r="U226" s="58"/>
      <c r="V226" s="58"/>
      <c r="W226" s="46" t="s">
        <v>2672</v>
      </c>
    </row>
    <row r="227" spans="1:23" s="46" customFormat="1" ht="13.5" customHeight="1" x14ac:dyDescent="0.25">
      <c r="A227" s="58"/>
      <c r="B227" s="58"/>
      <c r="C227" s="58"/>
      <c r="D227" s="58"/>
      <c r="E227" s="58"/>
      <c r="F227" s="58" t="s">
        <v>2677</v>
      </c>
      <c r="G227" s="58" t="s">
        <v>1713</v>
      </c>
      <c r="H227" s="58">
        <v>2211175</v>
      </c>
      <c r="I227" s="58" t="s">
        <v>2758</v>
      </c>
      <c r="J227" s="58"/>
      <c r="K227" s="58"/>
      <c r="L227" s="58" t="s">
        <v>1660</v>
      </c>
      <c r="M227" s="83" t="s">
        <v>2678</v>
      </c>
      <c r="N227" s="58" t="s">
        <v>1639</v>
      </c>
      <c r="O227" s="58" t="s">
        <v>933</v>
      </c>
      <c r="P227" s="58" t="s">
        <v>934</v>
      </c>
      <c r="Q227" s="58"/>
      <c r="R227" s="58"/>
      <c r="S227" s="58" t="s">
        <v>114</v>
      </c>
      <c r="T227" s="58" t="s">
        <v>2707</v>
      </c>
      <c r="U227" s="58"/>
      <c r="V227" s="58"/>
      <c r="W227" s="46" t="s">
        <v>2672</v>
      </c>
    </row>
    <row r="228" spans="1:23" s="46" customFormat="1" ht="13.5" customHeight="1" x14ac:dyDescent="0.25">
      <c r="A228" s="58"/>
      <c r="B228" s="58"/>
      <c r="C228" s="58"/>
      <c r="D228" s="58"/>
      <c r="E228" s="58"/>
      <c r="F228" s="58" t="s">
        <v>2679</v>
      </c>
      <c r="G228" s="58" t="s">
        <v>1714</v>
      </c>
      <c r="H228" s="58">
        <v>2211176</v>
      </c>
      <c r="I228" s="58" t="s">
        <v>2758</v>
      </c>
      <c r="J228" s="58"/>
      <c r="K228" s="58"/>
      <c r="L228" s="58" t="s">
        <v>1660</v>
      </c>
      <c r="M228" s="83" t="s">
        <v>2680</v>
      </c>
      <c r="N228" s="58" t="s">
        <v>1639</v>
      </c>
      <c r="O228" s="58" t="s">
        <v>933</v>
      </c>
      <c r="P228" s="58" t="s">
        <v>934</v>
      </c>
      <c r="Q228" s="58"/>
      <c r="R228" s="58"/>
      <c r="S228" s="58" t="s">
        <v>114</v>
      </c>
      <c r="T228" s="58" t="s">
        <v>2707</v>
      </c>
      <c r="U228" s="58"/>
      <c r="V228" s="58"/>
      <c r="W228" s="46" t="s">
        <v>2672</v>
      </c>
    </row>
    <row r="229" spans="1:23" s="46" customFormat="1" ht="13.5" customHeight="1" x14ac:dyDescent="0.25">
      <c r="A229" s="58"/>
      <c r="B229" s="58"/>
      <c r="C229" s="58"/>
      <c r="D229" s="58"/>
      <c r="E229" s="58"/>
      <c r="F229" s="58" t="s">
        <v>2681</v>
      </c>
      <c r="G229" s="58" t="s">
        <v>1715</v>
      </c>
      <c r="H229" s="58">
        <v>2211177</v>
      </c>
      <c r="I229" s="58" t="s">
        <v>2758</v>
      </c>
      <c r="J229" s="58"/>
      <c r="K229" s="58"/>
      <c r="L229" s="58" t="s">
        <v>1660</v>
      </c>
      <c r="M229" s="83" t="s">
        <v>2682</v>
      </c>
      <c r="N229" s="58" t="s">
        <v>1639</v>
      </c>
      <c r="O229" s="58" t="s">
        <v>933</v>
      </c>
      <c r="P229" s="58" t="s">
        <v>934</v>
      </c>
      <c r="Q229" s="58"/>
      <c r="R229" s="58"/>
      <c r="S229" s="58" t="s">
        <v>114</v>
      </c>
      <c r="T229" s="58" t="s">
        <v>2707</v>
      </c>
      <c r="U229" s="58"/>
      <c r="V229" s="58"/>
      <c r="W229" s="46" t="s">
        <v>2672</v>
      </c>
    </row>
    <row r="230" spans="1:23" s="46" customFormat="1" ht="13.5" customHeight="1" x14ac:dyDescent="0.25">
      <c r="A230" s="58"/>
      <c r="B230" s="58"/>
      <c r="C230" s="58"/>
      <c r="D230" s="58"/>
      <c r="E230" s="58"/>
      <c r="F230" s="58" t="s">
        <v>2683</v>
      </c>
      <c r="G230" s="58" t="s">
        <v>1716</v>
      </c>
      <c r="H230" s="58">
        <v>2211178</v>
      </c>
      <c r="I230" s="58" t="s">
        <v>2758</v>
      </c>
      <c r="J230" s="58"/>
      <c r="K230" s="58"/>
      <c r="L230" s="58" t="s">
        <v>1660</v>
      </c>
      <c r="M230" s="83" t="s">
        <v>2684</v>
      </c>
      <c r="N230" s="58" t="s">
        <v>1639</v>
      </c>
      <c r="O230" s="58" t="s">
        <v>933</v>
      </c>
      <c r="P230" s="58" t="s">
        <v>934</v>
      </c>
      <c r="Q230" s="58"/>
      <c r="R230" s="58"/>
      <c r="S230" s="58" t="s">
        <v>114</v>
      </c>
      <c r="T230" s="58" t="s">
        <v>2707</v>
      </c>
      <c r="U230" s="58"/>
      <c r="V230" s="58"/>
      <c r="W230" s="46" t="s">
        <v>2672</v>
      </c>
    </row>
    <row r="231" spans="1:23" s="46" customFormat="1" ht="13.5" customHeight="1" x14ac:dyDescent="0.25">
      <c r="A231" s="58"/>
      <c r="B231" s="58"/>
      <c r="C231" s="58"/>
      <c r="D231" s="58"/>
      <c r="E231" s="58"/>
      <c r="F231" s="58" t="s">
        <v>2685</v>
      </c>
      <c r="G231" s="58" t="s">
        <v>1717</v>
      </c>
      <c r="H231" s="58">
        <v>2211179</v>
      </c>
      <c r="I231" s="58" t="s">
        <v>2758</v>
      </c>
      <c r="J231" s="58"/>
      <c r="K231" s="58"/>
      <c r="L231" s="58" t="s">
        <v>1660</v>
      </c>
      <c r="M231" s="83" t="s">
        <v>2686</v>
      </c>
      <c r="N231" s="58" t="s">
        <v>1718</v>
      </c>
      <c r="O231" s="58" t="s">
        <v>933</v>
      </c>
      <c r="P231" s="58" t="s">
        <v>934</v>
      </c>
      <c r="Q231" s="58"/>
      <c r="R231" s="58"/>
      <c r="S231" s="58" t="s">
        <v>114</v>
      </c>
      <c r="T231" s="58" t="s">
        <v>2707</v>
      </c>
      <c r="U231" s="58"/>
      <c r="V231" s="58"/>
      <c r="W231" s="46" t="s">
        <v>2672</v>
      </c>
    </row>
    <row r="232" spans="1:23" s="46" customFormat="1" ht="13.5" customHeight="1" x14ac:dyDescent="0.25">
      <c r="A232" s="58"/>
      <c r="B232" s="58"/>
      <c r="C232" s="58"/>
      <c r="D232" s="58"/>
      <c r="E232" s="58"/>
      <c r="F232" s="58" t="s">
        <v>2687</v>
      </c>
      <c r="G232" s="58" t="s">
        <v>1719</v>
      </c>
      <c r="H232" s="58">
        <v>2211180</v>
      </c>
      <c r="I232" s="58" t="s">
        <v>2758</v>
      </c>
      <c r="J232" s="58"/>
      <c r="K232" s="58"/>
      <c r="L232" s="58" t="s">
        <v>1720</v>
      </c>
      <c r="M232" s="83" t="s">
        <v>2688</v>
      </c>
      <c r="N232" s="58" t="s">
        <v>1639</v>
      </c>
      <c r="O232" s="58" t="s">
        <v>933</v>
      </c>
      <c r="P232" s="58" t="s">
        <v>934</v>
      </c>
      <c r="Q232" s="58"/>
      <c r="R232" s="58"/>
      <c r="S232" s="58" t="s">
        <v>114</v>
      </c>
      <c r="T232" s="58" t="s">
        <v>2707</v>
      </c>
      <c r="U232" s="58"/>
      <c r="V232" s="58"/>
      <c r="W232" s="46" t="s">
        <v>2695</v>
      </c>
    </row>
    <row r="233" spans="1:23" s="46" customFormat="1" ht="13.5" customHeight="1" x14ac:dyDescent="0.25">
      <c r="A233" s="58"/>
      <c r="B233" s="58"/>
      <c r="C233" s="58"/>
      <c r="D233" s="58"/>
      <c r="E233" s="58"/>
      <c r="F233" s="58" t="s">
        <v>2689</v>
      </c>
      <c r="G233" s="58" t="s">
        <v>1721</v>
      </c>
      <c r="H233" s="58">
        <v>2211181</v>
      </c>
      <c r="I233" s="58" t="s">
        <v>2758</v>
      </c>
      <c r="J233" s="58"/>
      <c r="K233" s="58"/>
      <c r="L233" s="58" t="s">
        <v>1720</v>
      </c>
      <c r="M233" s="83" t="s">
        <v>2690</v>
      </c>
      <c r="N233" s="58" t="s">
        <v>1639</v>
      </c>
      <c r="O233" s="58" t="s">
        <v>933</v>
      </c>
      <c r="P233" s="58" t="s">
        <v>934</v>
      </c>
      <c r="Q233" s="58"/>
      <c r="R233" s="58"/>
      <c r="S233" s="58" t="s">
        <v>114</v>
      </c>
      <c r="T233" s="58" t="s">
        <v>2707</v>
      </c>
      <c r="U233" s="58"/>
      <c r="V233" s="58"/>
      <c r="W233" s="46" t="s">
        <v>2695</v>
      </c>
    </row>
    <row r="234" spans="1:23" ht="13.5" customHeight="1" x14ac:dyDescent="0.25">
      <c r="A234" s="58"/>
      <c r="B234" s="58"/>
      <c r="C234" s="58"/>
      <c r="D234" s="58"/>
      <c r="E234" s="58" t="s">
        <v>227</v>
      </c>
      <c r="F234" s="58"/>
      <c r="G234" s="58"/>
      <c r="H234" s="58"/>
      <c r="I234" s="58"/>
      <c r="J234" s="58"/>
      <c r="K234" s="58"/>
      <c r="L234" s="58"/>
      <c r="M234" s="58"/>
      <c r="N234" s="58"/>
      <c r="O234" s="58"/>
      <c r="P234" s="58"/>
      <c r="Q234" s="58"/>
      <c r="R234" s="58"/>
      <c r="S234" s="58"/>
      <c r="T234" s="58"/>
      <c r="U234" s="58"/>
      <c r="V234" s="58"/>
    </row>
    <row r="235" spans="1:23" ht="13.5" customHeight="1" x14ac:dyDescent="0.25">
      <c r="A235" s="58"/>
      <c r="B235" s="58"/>
      <c r="C235" s="58"/>
      <c r="D235" s="58"/>
      <c r="E235" s="58"/>
      <c r="F235" s="58" t="s">
        <v>2230</v>
      </c>
      <c r="G235" s="58" t="s">
        <v>2244</v>
      </c>
      <c r="H235" s="58">
        <v>2211201</v>
      </c>
      <c r="I235" s="58" t="s">
        <v>2756</v>
      </c>
      <c r="J235" s="58"/>
      <c r="K235" s="58"/>
      <c r="L235" s="58" t="s">
        <v>1660</v>
      </c>
      <c r="M235" s="58" t="s">
        <v>1726</v>
      </c>
      <c r="N235" s="58" t="s">
        <v>1727</v>
      </c>
      <c r="O235" s="58" t="s">
        <v>933</v>
      </c>
      <c r="P235" s="58" t="s">
        <v>934</v>
      </c>
      <c r="Q235" s="58"/>
      <c r="R235" s="58"/>
      <c r="S235" s="58" t="s">
        <v>113</v>
      </c>
      <c r="T235" s="58" t="s">
        <v>930</v>
      </c>
      <c r="U235" s="58"/>
      <c r="V235" s="58"/>
      <c r="W235" t="s">
        <v>2696</v>
      </c>
    </row>
    <row r="236" spans="1:23" ht="13.5" customHeight="1" x14ac:dyDescent="0.25">
      <c r="A236" s="58"/>
      <c r="B236" s="58"/>
      <c r="C236" s="58"/>
      <c r="D236" s="58"/>
      <c r="E236" s="58"/>
      <c r="F236" s="58" t="s">
        <v>2236</v>
      </c>
      <c r="G236" s="58" t="s">
        <v>2245</v>
      </c>
      <c r="H236" s="58">
        <v>2211202</v>
      </c>
      <c r="I236" s="58" t="s">
        <v>2756</v>
      </c>
      <c r="J236" s="58"/>
      <c r="K236" s="58"/>
      <c r="L236" s="58" t="s">
        <v>1660</v>
      </c>
      <c r="M236" s="58" t="s">
        <v>1728</v>
      </c>
      <c r="N236" s="58" t="s">
        <v>1639</v>
      </c>
      <c r="O236" s="58" t="s">
        <v>933</v>
      </c>
      <c r="P236" s="58" t="s">
        <v>934</v>
      </c>
      <c r="Q236" s="58"/>
      <c r="R236" s="58"/>
      <c r="S236" s="58" t="s">
        <v>113</v>
      </c>
      <c r="T236" s="58" t="s">
        <v>930</v>
      </c>
      <c r="U236" s="58"/>
      <c r="V236" s="58"/>
      <c r="W236" s="46" t="s">
        <v>2696</v>
      </c>
    </row>
    <row r="237" spans="1:23" ht="13.5" customHeight="1" x14ac:dyDescent="0.25">
      <c r="A237" s="58"/>
      <c r="B237" s="58"/>
      <c r="C237" s="58"/>
      <c r="D237" s="58"/>
      <c r="E237" s="58"/>
      <c r="F237" s="58" t="s">
        <v>2237</v>
      </c>
      <c r="G237" s="58" t="s">
        <v>2246</v>
      </c>
      <c r="H237" s="58">
        <v>2211203</v>
      </c>
      <c r="I237" s="58" t="s">
        <v>2756</v>
      </c>
      <c r="J237" s="58"/>
      <c r="K237" s="58"/>
      <c r="L237" s="58" t="s">
        <v>1660</v>
      </c>
      <c r="M237" s="58" t="s">
        <v>1729</v>
      </c>
      <c r="N237" s="58" t="s">
        <v>1639</v>
      </c>
      <c r="O237" s="58" t="s">
        <v>933</v>
      </c>
      <c r="P237" s="58" t="s">
        <v>934</v>
      </c>
      <c r="Q237" s="58"/>
      <c r="R237" s="58"/>
      <c r="S237" s="58" t="s">
        <v>113</v>
      </c>
      <c r="T237" s="58" t="s">
        <v>930</v>
      </c>
      <c r="U237" s="58"/>
      <c r="V237" s="58"/>
      <c r="W237" s="46" t="s">
        <v>2696</v>
      </c>
    </row>
    <row r="238" spans="1:23" ht="13.5" customHeight="1" x14ac:dyDescent="0.25">
      <c r="A238" s="58"/>
      <c r="B238" s="58"/>
      <c r="C238" s="58"/>
      <c r="D238" s="58"/>
      <c r="E238" s="58"/>
      <c r="F238" s="58" t="s">
        <v>2238</v>
      </c>
      <c r="G238" s="58" t="s">
        <v>2247</v>
      </c>
      <c r="H238" s="58">
        <v>2211204</v>
      </c>
      <c r="I238" s="58" t="s">
        <v>2756</v>
      </c>
      <c r="J238" s="58"/>
      <c r="K238" s="58"/>
      <c r="L238" s="58" t="s">
        <v>1660</v>
      </c>
      <c r="M238" s="58" t="s">
        <v>1730</v>
      </c>
      <c r="N238" s="58" t="s">
        <v>1639</v>
      </c>
      <c r="O238" s="58" t="s">
        <v>933</v>
      </c>
      <c r="P238" s="58" t="s">
        <v>934</v>
      </c>
      <c r="Q238" s="58"/>
      <c r="R238" s="58"/>
      <c r="S238" s="58" t="s">
        <v>113</v>
      </c>
      <c r="T238" s="58" t="s">
        <v>930</v>
      </c>
      <c r="U238" s="58"/>
      <c r="V238" s="58"/>
      <c r="W238" s="46" t="s">
        <v>2696</v>
      </c>
    </row>
    <row r="239" spans="1:23" ht="13.5" customHeight="1" x14ac:dyDescent="0.25">
      <c r="A239" s="58"/>
      <c r="B239" s="58"/>
      <c r="C239" s="58"/>
      <c r="D239" s="58"/>
      <c r="E239" s="58"/>
      <c r="F239" s="58" t="s">
        <v>2239</v>
      </c>
      <c r="G239" s="58" t="s">
        <v>2248</v>
      </c>
      <c r="H239" s="58">
        <v>2211205</v>
      </c>
      <c r="I239" s="58" t="s">
        <v>2756</v>
      </c>
      <c r="J239" s="58"/>
      <c r="K239" s="58"/>
      <c r="L239" s="58" t="s">
        <v>1660</v>
      </c>
      <c r="M239" s="58" t="s">
        <v>1731</v>
      </c>
      <c r="N239" s="58" t="s">
        <v>1639</v>
      </c>
      <c r="O239" s="58" t="s">
        <v>933</v>
      </c>
      <c r="P239" s="58" t="s">
        <v>934</v>
      </c>
      <c r="Q239" s="58"/>
      <c r="R239" s="58"/>
      <c r="S239" s="58" t="s">
        <v>113</v>
      </c>
      <c r="T239" s="58" t="s">
        <v>930</v>
      </c>
      <c r="U239" s="58"/>
      <c r="V239" s="58"/>
      <c r="W239" s="46" t="s">
        <v>2696</v>
      </c>
    </row>
    <row r="240" spans="1:23" s="46" customFormat="1" ht="13.5" customHeight="1" x14ac:dyDescent="0.25">
      <c r="A240" s="58"/>
      <c r="B240" s="58"/>
      <c r="C240" s="58"/>
      <c r="D240" s="58"/>
      <c r="E240" s="58"/>
      <c r="F240" s="58" t="s">
        <v>2228</v>
      </c>
      <c r="G240" s="58" t="s">
        <v>2249</v>
      </c>
      <c r="H240" s="58">
        <v>2211206</v>
      </c>
      <c r="I240" s="58" t="s">
        <v>2756</v>
      </c>
      <c r="J240" s="58"/>
      <c r="K240" s="58"/>
      <c r="L240" s="58" t="s">
        <v>1660</v>
      </c>
      <c r="M240" s="58" t="s">
        <v>1726</v>
      </c>
      <c r="N240" s="58" t="s">
        <v>1727</v>
      </c>
      <c r="O240" s="58" t="s">
        <v>933</v>
      </c>
      <c r="P240" s="58" t="s">
        <v>934</v>
      </c>
      <c r="Q240" s="58"/>
      <c r="R240" s="58"/>
      <c r="S240" s="58" t="s">
        <v>113</v>
      </c>
      <c r="T240" s="58" t="s">
        <v>930</v>
      </c>
      <c r="U240" s="58"/>
      <c r="V240" s="58"/>
      <c r="W240" s="46" t="s">
        <v>2672</v>
      </c>
    </row>
    <row r="241" spans="1:23" s="46" customFormat="1" ht="13.5" customHeight="1" x14ac:dyDescent="0.25">
      <c r="A241" s="58"/>
      <c r="B241" s="58"/>
      <c r="C241" s="58"/>
      <c r="D241" s="58"/>
      <c r="E241" s="58"/>
      <c r="F241" s="58" t="s">
        <v>2240</v>
      </c>
      <c r="G241" s="58" t="s">
        <v>2250</v>
      </c>
      <c r="H241" s="58">
        <v>2211207</v>
      </c>
      <c r="I241" s="58" t="s">
        <v>2756</v>
      </c>
      <c r="J241" s="58"/>
      <c r="K241" s="58"/>
      <c r="L241" s="58" t="s">
        <v>1660</v>
      </c>
      <c r="M241" s="58" t="s">
        <v>1728</v>
      </c>
      <c r="N241" s="58" t="s">
        <v>1639</v>
      </c>
      <c r="O241" s="58" t="s">
        <v>933</v>
      </c>
      <c r="P241" s="58" t="s">
        <v>934</v>
      </c>
      <c r="Q241" s="58"/>
      <c r="R241" s="58"/>
      <c r="S241" s="58" t="s">
        <v>113</v>
      </c>
      <c r="T241" s="58" t="s">
        <v>930</v>
      </c>
      <c r="U241" s="58"/>
      <c r="V241" s="58"/>
      <c r="W241" s="46" t="s">
        <v>2672</v>
      </c>
    </row>
    <row r="242" spans="1:23" s="46" customFormat="1" ht="13.5" customHeight="1" x14ac:dyDescent="0.25">
      <c r="A242" s="58"/>
      <c r="B242" s="58"/>
      <c r="C242" s="58"/>
      <c r="D242" s="58"/>
      <c r="E242" s="58"/>
      <c r="F242" s="58" t="s">
        <v>2241</v>
      </c>
      <c r="G242" s="58" t="s">
        <v>2251</v>
      </c>
      <c r="H242" s="58">
        <v>2211208</v>
      </c>
      <c r="I242" s="58" t="s">
        <v>2756</v>
      </c>
      <c r="J242" s="58"/>
      <c r="K242" s="58"/>
      <c r="L242" s="58" t="s">
        <v>1660</v>
      </c>
      <c r="M242" s="58" t="s">
        <v>1729</v>
      </c>
      <c r="N242" s="58" t="s">
        <v>1639</v>
      </c>
      <c r="O242" s="58" t="s">
        <v>933</v>
      </c>
      <c r="P242" s="58" t="s">
        <v>934</v>
      </c>
      <c r="Q242" s="58"/>
      <c r="R242" s="58"/>
      <c r="S242" s="58" t="s">
        <v>113</v>
      </c>
      <c r="T242" s="58" t="s">
        <v>930</v>
      </c>
      <c r="U242" s="58"/>
      <c r="V242" s="58"/>
      <c r="W242" s="46" t="s">
        <v>2672</v>
      </c>
    </row>
    <row r="243" spans="1:23" s="46" customFormat="1" ht="13.5" customHeight="1" x14ac:dyDescent="0.25">
      <c r="A243" s="58"/>
      <c r="B243" s="58"/>
      <c r="C243" s="58"/>
      <c r="D243" s="58"/>
      <c r="E243" s="58"/>
      <c r="F243" s="58" t="s">
        <v>2242</v>
      </c>
      <c r="G243" s="58" t="s">
        <v>2252</v>
      </c>
      <c r="H243" s="58">
        <v>2211209</v>
      </c>
      <c r="I243" s="58" t="s">
        <v>2756</v>
      </c>
      <c r="J243" s="58"/>
      <c r="K243" s="58"/>
      <c r="L243" s="58" t="s">
        <v>1660</v>
      </c>
      <c r="M243" s="58" t="s">
        <v>1730</v>
      </c>
      <c r="N243" s="58" t="s">
        <v>1639</v>
      </c>
      <c r="O243" s="58" t="s">
        <v>933</v>
      </c>
      <c r="P243" s="58" t="s">
        <v>934</v>
      </c>
      <c r="Q243" s="58"/>
      <c r="R243" s="58"/>
      <c r="S243" s="58" t="s">
        <v>113</v>
      </c>
      <c r="T243" s="58" t="s">
        <v>930</v>
      </c>
      <c r="U243" s="58"/>
      <c r="V243" s="58"/>
      <c r="W243" s="46" t="s">
        <v>2672</v>
      </c>
    </row>
    <row r="244" spans="1:23" s="46" customFormat="1" ht="13.5" customHeight="1" x14ac:dyDescent="0.25">
      <c r="A244" s="58"/>
      <c r="B244" s="58"/>
      <c r="C244" s="58"/>
      <c r="D244" s="58"/>
      <c r="E244" s="58"/>
      <c r="F244" s="58" t="s">
        <v>2243</v>
      </c>
      <c r="G244" s="58" t="s">
        <v>2253</v>
      </c>
      <c r="H244" s="58">
        <v>2211210</v>
      </c>
      <c r="I244" s="58" t="s">
        <v>2756</v>
      </c>
      <c r="J244" s="58"/>
      <c r="K244" s="58"/>
      <c r="L244" s="58" t="s">
        <v>1660</v>
      </c>
      <c r="M244" s="58" t="s">
        <v>1731</v>
      </c>
      <c r="N244" s="58" t="s">
        <v>1639</v>
      </c>
      <c r="O244" s="58" t="s">
        <v>933</v>
      </c>
      <c r="P244" s="58" t="s">
        <v>934</v>
      </c>
      <c r="Q244" s="58"/>
      <c r="R244" s="58"/>
      <c r="S244" s="58" t="s">
        <v>113</v>
      </c>
      <c r="T244" s="58" t="s">
        <v>930</v>
      </c>
      <c r="U244" s="58"/>
      <c r="V244" s="58"/>
      <c r="W244" s="46" t="s">
        <v>2672</v>
      </c>
    </row>
    <row r="245" spans="1:23" ht="13.5" customHeight="1" x14ac:dyDescent="0.25">
      <c r="A245" s="58"/>
      <c r="B245" s="58"/>
      <c r="C245" s="58"/>
      <c r="D245" s="58"/>
      <c r="E245" s="58" t="s">
        <v>232</v>
      </c>
      <c r="F245" s="58"/>
      <c r="G245" s="58"/>
      <c r="H245" s="58"/>
      <c r="I245" s="58"/>
      <c r="J245" s="58"/>
      <c r="K245" s="58"/>
      <c r="L245" s="58"/>
      <c r="M245" s="58"/>
      <c r="N245" s="58"/>
      <c r="O245" s="58"/>
      <c r="P245" s="58"/>
      <c r="Q245" s="58"/>
      <c r="R245" s="58"/>
      <c r="S245" s="58"/>
      <c r="T245" s="58"/>
      <c r="U245" s="58"/>
      <c r="V245" s="58"/>
    </row>
    <row r="246" spans="1:23" ht="13.5" customHeight="1" x14ac:dyDescent="0.25">
      <c r="A246" s="58"/>
      <c r="B246" s="58"/>
      <c r="C246" s="58"/>
      <c r="D246" s="58"/>
      <c r="E246" s="58"/>
      <c r="F246" s="58" t="s">
        <v>1732</v>
      </c>
      <c r="G246" s="58" t="s">
        <v>1733</v>
      </c>
      <c r="H246" s="58">
        <v>2211301</v>
      </c>
      <c r="I246" s="58" t="s">
        <v>2754</v>
      </c>
      <c r="J246" s="58"/>
      <c r="K246" s="58"/>
      <c r="L246" s="58" t="s">
        <v>55</v>
      </c>
      <c r="M246" s="58" t="s">
        <v>1734</v>
      </c>
      <c r="N246" s="58" t="s">
        <v>1735</v>
      </c>
      <c r="O246" s="58" t="s">
        <v>933</v>
      </c>
      <c r="P246" s="58" t="s">
        <v>934</v>
      </c>
      <c r="Q246" s="58"/>
      <c r="R246" s="58"/>
      <c r="S246" s="58" t="s">
        <v>113</v>
      </c>
      <c r="T246" s="58" t="s">
        <v>930</v>
      </c>
      <c r="U246" s="58"/>
      <c r="V246" s="58"/>
      <c r="W246" t="s">
        <v>2697</v>
      </c>
    </row>
    <row r="247" spans="1:23" ht="13.5" customHeight="1" x14ac:dyDescent="0.25">
      <c r="A247" s="58"/>
      <c r="B247" s="58"/>
      <c r="C247" s="58"/>
      <c r="D247" s="58"/>
      <c r="E247" s="58"/>
      <c r="F247" s="58" t="s">
        <v>1736</v>
      </c>
      <c r="G247" s="58" t="s">
        <v>1737</v>
      </c>
      <c r="H247" s="58">
        <v>2211302</v>
      </c>
      <c r="I247" s="58" t="s">
        <v>2754</v>
      </c>
      <c r="J247" s="58"/>
      <c r="K247" s="58"/>
      <c r="L247" s="58" t="s">
        <v>55</v>
      </c>
      <c r="M247" s="58" t="s">
        <v>1738</v>
      </c>
      <c r="N247" s="58" t="s">
        <v>1739</v>
      </c>
      <c r="O247" s="58" t="s">
        <v>933</v>
      </c>
      <c r="P247" s="58" t="s">
        <v>934</v>
      </c>
      <c r="Q247" s="58"/>
      <c r="R247" s="58"/>
      <c r="S247" s="58" t="s">
        <v>113</v>
      </c>
      <c r="T247" s="58" t="s">
        <v>930</v>
      </c>
      <c r="U247" s="58"/>
      <c r="V247" s="58"/>
      <c r="W247" s="46" t="s">
        <v>2697</v>
      </c>
    </row>
    <row r="248" spans="1:23" ht="13.5" customHeight="1" x14ac:dyDescent="0.25">
      <c r="A248" s="58"/>
      <c r="B248" s="58"/>
      <c r="C248" s="58"/>
      <c r="D248" s="58"/>
      <c r="E248" s="58"/>
      <c r="F248" s="58" t="s">
        <v>1740</v>
      </c>
      <c r="G248" s="58" t="s">
        <v>1741</v>
      </c>
      <c r="H248" s="58">
        <v>2211303</v>
      </c>
      <c r="I248" s="58" t="s">
        <v>2754</v>
      </c>
      <c r="J248" s="58"/>
      <c r="K248" s="58"/>
      <c r="L248" s="58" t="s">
        <v>55</v>
      </c>
      <c r="M248" s="58" t="s">
        <v>1742</v>
      </c>
      <c r="N248" s="58" t="s">
        <v>1743</v>
      </c>
      <c r="O248" s="58" t="s">
        <v>933</v>
      </c>
      <c r="P248" s="58" t="s">
        <v>934</v>
      </c>
      <c r="Q248" s="58"/>
      <c r="R248" s="58"/>
      <c r="S248" s="58" t="s">
        <v>113</v>
      </c>
      <c r="T248" s="58" t="s">
        <v>930</v>
      </c>
      <c r="U248" s="58"/>
      <c r="V248" s="58"/>
      <c r="W248" s="46" t="s">
        <v>2697</v>
      </c>
    </row>
    <row r="249" spans="1:23" ht="13.5" customHeight="1" x14ac:dyDescent="0.25">
      <c r="A249" s="58"/>
      <c r="B249" s="58"/>
      <c r="C249" s="58"/>
      <c r="D249" s="58"/>
      <c r="E249" s="58"/>
      <c r="F249" s="58" t="s">
        <v>1744</v>
      </c>
      <c r="G249" s="58" t="s">
        <v>1745</v>
      </c>
      <c r="H249" s="58">
        <v>2211304</v>
      </c>
      <c r="I249" s="58" t="s">
        <v>2754</v>
      </c>
      <c r="J249" s="58"/>
      <c r="K249" s="58"/>
      <c r="L249" s="58" t="s">
        <v>55</v>
      </c>
      <c r="M249" s="58" t="s">
        <v>1746</v>
      </c>
      <c r="N249" s="58" t="s">
        <v>1747</v>
      </c>
      <c r="O249" s="58" t="s">
        <v>933</v>
      </c>
      <c r="P249" s="58" t="s">
        <v>934</v>
      </c>
      <c r="Q249" s="58"/>
      <c r="R249" s="58"/>
      <c r="S249" s="58" t="s">
        <v>113</v>
      </c>
      <c r="T249" s="58" t="s">
        <v>930</v>
      </c>
      <c r="U249" s="58"/>
      <c r="V249" s="58"/>
      <c r="W249" s="46" t="s">
        <v>2697</v>
      </c>
    </row>
    <row r="250" spans="1:23" ht="13.5" customHeight="1" x14ac:dyDescent="0.25">
      <c r="A250" s="58"/>
      <c r="B250" s="58"/>
      <c r="C250" s="58"/>
      <c r="D250" s="58"/>
      <c r="E250" s="58"/>
      <c r="F250" s="58" t="s">
        <v>1748</v>
      </c>
      <c r="G250" s="58" t="s">
        <v>1749</v>
      </c>
      <c r="H250" s="58">
        <v>2211305</v>
      </c>
      <c r="I250" s="58" t="s">
        <v>2754</v>
      </c>
      <c r="J250" s="58"/>
      <c r="K250" s="58"/>
      <c r="L250" s="58" t="s">
        <v>55</v>
      </c>
      <c r="M250" s="58" t="s">
        <v>1750</v>
      </c>
      <c r="N250" s="58" t="s">
        <v>1751</v>
      </c>
      <c r="O250" s="58" t="s">
        <v>933</v>
      </c>
      <c r="P250" s="58" t="s">
        <v>934</v>
      </c>
      <c r="Q250" s="58"/>
      <c r="R250" s="58"/>
      <c r="S250" s="58" t="s">
        <v>113</v>
      </c>
      <c r="T250" s="58" t="s">
        <v>930</v>
      </c>
      <c r="U250" s="58"/>
      <c r="V250" s="58"/>
      <c r="W250" s="46" t="s">
        <v>2697</v>
      </c>
    </row>
    <row r="251" spans="1:23" ht="13.5" customHeight="1" x14ac:dyDescent="0.25">
      <c r="A251" s="58"/>
      <c r="B251" s="58"/>
      <c r="C251" s="58"/>
      <c r="D251" s="58"/>
      <c r="E251" s="58"/>
      <c r="F251" s="58" t="s">
        <v>1752</v>
      </c>
      <c r="G251" s="58" t="s">
        <v>1753</v>
      </c>
      <c r="H251" s="58">
        <v>2211306</v>
      </c>
      <c r="I251" s="58" t="s">
        <v>2754</v>
      </c>
      <c r="J251" s="58"/>
      <c r="K251" s="58"/>
      <c r="L251" s="58" t="s">
        <v>55</v>
      </c>
      <c r="M251" s="58" t="s">
        <v>1754</v>
      </c>
      <c r="N251" s="58" t="s">
        <v>1755</v>
      </c>
      <c r="O251" s="58" t="s">
        <v>933</v>
      </c>
      <c r="P251" s="58" t="s">
        <v>934</v>
      </c>
      <c r="Q251" s="58"/>
      <c r="R251" s="58"/>
      <c r="S251" s="58" t="s">
        <v>113</v>
      </c>
      <c r="T251" s="58" t="s">
        <v>930</v>
      </c>
      <c r="U251" s="58"/>
      <c r="V251" s="58"/>
      <c r="W251" s="46" t="s">
        <v>2697</v>
      </c>
    </row>
    <row r="252" spans="1:23" ht="13.5" customHeight="1" x14ac:dyDescent="0.25">
      <c r="A252" s="58"/>
      <c r="B252" s="58"/>
      <c r="C252" s="58"/>
      <c r="D252" s="58"/>
      <c r="E252" s="58"/>
      <c r="F252" s="58" t="s">
        <v>1756</v>
      </c>
      <c r="G252" s="58" t="s">
        <v>1757</v>
      </c>
      <c r="H252" s="58">
        <v>2211307</v>
      </c>
      <c r="I252" s="58" t="s">
        <v>2754</v>
      </c>
      <c r="J252" s="58"/>
      <c r="K252" s="58"/>
      <c r="L252" s="58" t="s">
        <v>55</v>
      </c>
      <c r="M252" s="58" t="s">
        <v>1758</v>
      </c>
      <c r="N252" s="58" t="s">
        <v>1759</v>
      </c>
      <c r="O252" s="58" t="s">
        <v>933</v>
      </c>
      <c r="P252" s="58" t="s">
        <v>934</v>
      </c>
      <c r="Q252" s="58"/>
      <c r="R252" s="58"/>
      <c r="S252" s="58" t="s">
        <v>113</v>
      </c>
      <c r="T252" s="58" t="s">
        <v>930</v>
      </c>
      <c r="U252" s="58"/>
      <c r="V252" s="58"/>
      <c r="W252" s="46" t="s">
        <v>2697</v>
      </c>
    </row>
    <row r="253" spans="1:23" ht="13.5" customHeight="1" x14ac:dyDescent="0.25">
      <c r="A253" s="58"/>
      <c r="B253" s="58"/>
      <c r="C253" s="58"/>
      <c r="D253" s="58"/>
      <c r="E253" s="58"/>
      <c r="F253" s="58" t="s">
        <v>1760</v>
      </c>
      <c r="G253" s="58" t="s">
        <v>1761</v>
      </c>
      <c r="H253" s="58">
        <v>2211308</v>
      </c>
      <c r="I253" s="58" t="s">
        <v>2754</v>
      </c>
      <c r="J253" s="58"/>
      <c r="K253" s="58"/>
      <c r="L253" s="58" t="s">
        <v>55</v>
      </c>
      <c r="M253" s="58" t="s">
        <v>1762</v>
      </c>
      <c r="N253" s="58" t="s">
        <v>1763</v>
      </c>
      <c r="O253" s="58" t="s">
        <v>933</v>
      </c>
      <c r="P253" s="58" t="s">
        <v>934</v>
      </c>
      <c r="Q253" s="58"/>
      <c r="R253" s="58"/>
      <c r="S253" s="58" t="s">
        <v>113</v>
      </c>
      <c r="T253" s="58" t="s">
        <v>930</v>
      </c>
      <c r="U253" s="58"/>
      <c r="V253" s="58"/>
      <c r="W253" s="46" t="s">
        <v>2697</v>
      </c>
    </row>
    <row r="254" spans="1:23" ht="13.5" customHeight="1" x14ac:dyDescent="0.25">
      <c r="A254" s="58"/>
      <c r="B254" s="58"/>
      <c r="C254" s="58"/>
      <c r="D254" s="58"/>
      <c r="E254" s="58"/>
      <c r="F254" s="58" t="s">
        <v>1764</v>
      </c>
      <c r="G254" s="58" t="s">
        <v>1765</v>
      </c>
      <c r="H254" s="58">
        <v>2211309</v>
      </c>
      <c r="I254" s="58" t="s">
        <v>2754</v>
      </c>
      <c r="J254" s="58"/>
      <c r="K254" s="58"/>
      <c r="L254" s="58" t="s">
        <v>55</v>
      </c>
      <c r="M254" s="58" t="s">
        <v>1766</v>
      </c>
      <c r="N254" s="58" t="s">
        <v>1767</v>
      </c>
      <c r="O254" s="58" t="s">
        <v>933</v>
      </c>
      <c r="P254" s="58" t="s">
        <v>934</v>
      </c>
      <c r="Q254" s="58"/>
      <c r="R254" s="58"/>
      <c r="S254" s="58" t="s">
        <v>113</v>
      </c>
      <c r="T254" s="58" t="s">
        <v>930</v>
      </c>
      <c r="U254" s="58"/>
      <c r="V254" s="58"/>
      <c r="W254" s="46" t="s">
        <v>2697</v>
      </c>
    </row>
    <row r="255" spans="1:23" ht="13.5" customHeight="1" x14ac:dyDescent="0.25">
      <c r="A255" s="58"/>
      <c r="B255" s="58"/>
      <c r="C255" s="58"/>
      <c r="D255" s="58" t="s">
        <v>1768</v>
      </c>
      <c r="E255" s="58"/>
      <c r="F255" s="58"/>
      <c r="G255" s="58"/>
      <c r="H255" s="58"/>
      <c r="I255" s="58"/>
      <c r="J255" s="58"/>
      <c r="K255" s="58"/>
      <c r="L255" s="58"/>
      <c r="M255" s="58"/>
      <c r="N255" s="58"/>
      <c r="O255" s="58"/>
      <c r="P255" s="58"/>
      <c r="Q255" s="58"/>
      <c r="R255" s="58"/>
      <c r="S255" s="58"/>
      <c r="T255" s="58"/>
      <c r="U255" s="58"/>
      <c r="V255" s="58"/>
    </row>
    <row r="256" spans="1:23" ht="13.5" customHeight="1" x14ac:dyDescent="0.25">
      <c r="A256" s="58"/>
      <c r="B256" s="58"/>
      <c r="C256" s="58"/>
      <c r="D256" s="58"/>
      <c r="E256" s="58" t="s">
        <v>235</v>
      </c>
      <c r="F256" s="58"/>
      <c r="G256" s="58"/>
      <c r="H256" s="58"/>
      <c r="I256" s="58"/>
      <c r="J256" s="58"/>
      <c r="K256" s="58"/>
      <c r="L256" s="58"/>
      <c r="M256" s="58"/>
      <c r="N256" s="58"/>
      <c r="O256" s="58"/>
      <c r="P256" s="58"/>
      <c r="Q256" s="58"/>
      <c r="R256" s="58"/>
      <c r="S256" s="58"/>
      <c r="T256" s="58"/>
      <c r="U256" s="58"/>
      <c r="V256" s="58"/>
    </row>
    <row r="257" spans="1:23" ht="13.5" customHeight="1" x14ac:dyDescent="0.25">
      <c r="A257" s="58"/>
      <c r="B257" s="58"/>
      <c r="C257" s="58"/>
      <c r="D257" s="58"/>
      <c r="E257" s="58"/>
      <c r="F257" s="58" t="s">
        <v>2307</v>
      </c>
      <c r="G257" s="58" t="s">
        <v>2314</v>
      </c>
      <c r="H257" s="58">
        <v>2212101</v>
      </c>
      <c r="I257" s="58" t="s">
        <v>2754</v>
      </c>
      <c r="J257" s="58"/>
      <c r="K257" s="58"/>
      <c r="L257" s="58" t="s">
        <v>1769</v>
      </c>
      <c r="M257" s="58" t="s">
        <v>1224</v>
      </c>
      <c r="N257" s="58" t="s">
        <v>1770</v>
      </c>
      <c r="O257" s="58" t="s">
        <v>933</v>
      </c>
      <c r="P257" s="58" t="s">
        <v>934</v>
      </c>
      <c r="Q257" s="58"/>
      <c r="R257" s="58"/>
      <c r="S257" s="58" t="s">
        <v>113</v>
      </c>
      <c r="T257" s="58" t="s">
        <v>930</v>
      </c>
      <c r="U257" s="58"/>
      <c r="V257" s="58"/>
      <c r="W257" t="s">
        <v>2696</v>
      </c>
    </row>
    <row r="258" spans="1:23" ht="13.5" customHeight="1" x14ac:dyDescent="0.25">
      <c r="A258" s="58"/>
      <c r="B258" s="58"/>
      <c r="C258" s="58"/>
      <c r="D258" s="58"/>
      <c r="E258" s="58"/>
      <c r="F258" s="58" t="s">
        <v>2703</v>
      </c>
      <c r="G258" s="58" t="s">
        <v>2315</v>
      </c>
      <c r="H258" s="58">
        <v>2212102</v>
      </c>
      <c r="I258" s="58" t="s">
        <v>2754</v>
      </c>
      <c r="J258" s="58"/>
      <c r="K258" s="58"/>
      <c r="L258" s="58" t="s">
        <v>1771</v>
      </c>
      <c r="M258" s="58" t="s">
        <v>1214</v>
      </c>
      <c r="N258" s="58" t="s">
        <v>1772</v>
      </c>
      <c r="O258" s="58" t="s">
        <v>933</v>
      </c>
      <c r="P258" s="58" t="s">
        <v>934</v>
      </c>
      <c r="Q258" s="58"/>
      <c r="R258" s="58"/>
      <c r="S258" s="58" t="s">
        <v>113</v>
      </c>
      <c r="T258" s="58" t="s">
        <v>930</v>
      </c>
      <c r="U258" s="58"/>
      <c r="V258" s="58"/>
      <c r="W258" s="46" t="s">
        <v>2695</v>
      </c>
    </row>
    <row r="259" spans="1:23" ht="13.5" customHeight="1" x14ac:dyDescent="0.25">
      <c r="A259" s="58"/>
      <c r="B259" s="58"/>
      <c r="C259" s="58"/>
      <c r="D259" s="58"/>
      <c r="E259" s="58"/>
      <c r="F259" s="58" t="s">
        <v>2308</v>
      </c>
      <c r="G259" s="58" t="s">
        <v>2316</v>
      </c>
      <c r="H259" s="58">
        <v>2212103</v>
      </c>
      <c r="I259" s="58" t="s">
        <v>2754</v>
      </c>
      <c r="J259" s="58"/>
      <c r="K259" s="58"/>
      <c r="L259" s="58" t="s">
        <v>1769</v>
      </c>
      <c r="M259" s="58" t="s">
        <v>1225</v>
      </c>
      <c r="N259" s="58" t="s">
        <v>1770</v>
      </c>
      <c r="O259" s="58" t="s">
        <v>933</v>
      </c>
      <c r="P259" s="58" t="s">
        <v>934</v>
      </c>
      <c r="Q259" s="58"/>
      <c r="R259" s="58"/>
      <c r="S259" s="58" t="s">
        <v>113</v>
      </c>
      <c r="T259" s="58" t="s">
        <v>930</v>
      </c>
      <c r="U259" s="58"/>
      <c r="V259" s="58"/>
      <c r="W259" s="46" t="s">
        <v>2696</v>
      </c>
    </row>
    <row r="260" spans="1:23" ht="13.5" customHeight="1" x14ac:dyDescent="0.25">
      <c r="A260" s="58"/>
      <c r="B260" s="58"/>
      <c r="C260" s="58"/>
      <c r="D260" s="58"/>
      <c r="E260" s="58"/>
      <c r="F260" s="58" t="s">
        <v>2309</v>
      </c>
      <c r="G260" s="58" t="s">
        <v>2317</v>
      </c>
      <c r="H260" s="58">
        <v>2212104</v>
      </c>
      <c r="I260" s="58" t="s">
        <v>2754</v>
      </c>
      <c r="J260" s="58"/>
      <c r="K260" s="58"/>
      <c r="L260" s="58" t="s">
        <v>1771</v>
      </c>
      <c r="M260" s="58" t="s">
        <v>1215</v>
      </c>
      <c r="N260" s="58" t="s">
        <v>1770</v>
      </c>
      <c r="O260" s="58" t="s">
        <v>933</v>
      </c>
      <c r="P260" s="58" t="s">
        <v>934</v>
      </c>
      <c r="Q260" s="58"/>
      <c r="R260" s="58"/>
      <c r="S260" s="58" t="s">
        <v>113</v>
      </c>
      <c r="T260" s="58" t="s">
        <v>930</v>
      </c>
      <c r="U260" s="58"/>
      <c r="V260" s="58"/>
      <c r="W260" s="46" t="s">
        <v>2695</v>
      </c>
    </row>
    <row r="261" spans="1:23" s="46" customFormat="1" ht="13.5" customHeight="1" x14ac:dyDescent="0.25">
      <c r="A261" s="58"/>
      <c r="B261" s="58"/>
      <c r="C261" s="58"/>
      <c r="D261" s="58"/>
      <c r="E261" s="58"/>
      <c r="F261" s="58" t="s">
        <v>2310</v>
      </c>
      <c r="G261" s="58" t="s">
        <v>2318</v>
      </c>
      <c r="H261" s="58">
        <v>2212105</v>
      </c>
      <c r="I261" s="58" t="s">
        <v>2754</v>
      </c>
      <c r="J261" s="58"/>
      <c r="K261" s="58"/>
      <c r="L261" s="58" t="s">
        <v>1769</v>
      </c>
      <c r="M261" s="58" t="s">
        <v>1224</v>
      </c>
      <c r="N261" s="58" t="s">
        <v>1770</v>
      </c>
      <c r="O261" s="58" t="s">
        <v>933</v>
      </c>
      <c r="P261" s="58" t="s">
        <v>934</v>
      </c>
      <c r="Q261" s="58"/>
      <c r="R261" s="58"/>
      <c r="S261" s="58" t="s">
        <v>113</v>
      </c>
      <c r="T261" s="58" t="s">
        <v>930</v>
      </c>
      <c r="U261" s="58"/>
      <c r="V261" s="58"/>
      <c r="W261" s="46" t="s">
        <v>2672</v>
      </c>
    </row>
    <row r="262" spans="1:23" s="46" customFormat="1" ht="13.5" customHeight="1" x14ac:dyDescent="0.25">
      <c r="A262" s="58"/>
      <c r="B262" s="58"/>
      <c r="C262" s="58"/>
      <c r="D262" s="58"/>
      <c r="E262" s="58"/>
      <c r="F262" s="58" t="s">
        <v>2311</v>
      </c>
      <c r="G262" s="58" t="s">
        <v>2319</v>
      </c>
      <c r="H262" s="58">
        <v>2212106</v>
      </c>
      <c r="I262" s="58" t="s">
        <v>2754</v>
      </c>
      <c r="J262" s="58"/>
      <c r="K262" s="58"/>
      <c r="L262" s="58" t="s">
        <v>1771</v>
      </c>
      <c r="M262" s="58" t="s">
        <v>1214</v>
      </c>
      <c r="N262" s="58" t="s">
        <v>1772</v>
      </c>
      <c r="O262" s="58" t="s">
        <v>933</v>
      </c>
      <c r="P262" s="58" t="s">
        <v>934</v>
      </c>
      <c r="Q262" s="58"/>
      <c r="R262" s="58"/>
      <c r="S262" s="58" t="s">
        <v>113</v>
      </c>
      <c r="T262" s="58" t="s">
        <v>930</v>
      </c>
      <c r="U262" s="58"/>
      <c r="V262" s="58"/>
      <c r="W262" s="46" t="s">
        <v>2695</v>
      </c>
    </row>
    <row r="263" spans="1:23" s="46" customFormat="1" ht="13.5" customHeight="1" x14ac:dyDescent="0.25">
      <c r="A263" s="58"/>
      <c r="B263" s="58"/>
      <c r="C263" s="58"/>
      <c r="D263" s="58"/>
      <c r="E263" s="58"/>
      <c r="F263" s="58" t="s">
        <v>2312</v>
      </c>
      <c r="G263" s="58" t="s">
        <v>2320</v>
      </c>
      <c r="H263" s="58">
        <v>2212107</v>
      </c>
      <c r="I263" s="58" t="s">
        <v>2754</v>
      </c>
      <c r="J263" s="58"/>
      <c r="K263" s="58"/>
      <c r="L263" s="58" t="s">
        <v>1769</v>
      </c>
      <c r="M263" s="58" t="s">
        <v>1225</v>
      </c>
      <c r="N263" s="58" t="s">
        <v>1770</v>
      </c>
      <c r="O263" s="58" t="s">
        <v>933</v>
      </c>
      <c r="P263" s="58" t="s">
        <v>934</v>
      </c>
      <c r="Q263" s="58"/>
      <c r="R263" s="58"/>
      <c r="S263" s="58" t="s">
        <v>113</v>
      </c>
      <c r="T263" s="58" t="s">
        <v>930</v>
      </c>
      <c r="U263" s="58"/>
      <c r="V263" s="58"/>
      <c r="W263" s="46" t="s">
        <v>2672</v>
      </c>
    </row>
    <row r="264" spans="1:23" s="46" customFormat="1" ht="13.5" customHeight="1" x14ac:dyDescent="0.25">
      <c r="A264" s="58"/>
      <c r="B264" s="58"/>
      <c r="C264" s="58"/>
      <c r="D264" s="58"/>
      <c r="E264" s="58"/>
      <c r="F264" s="58" t="s">
        <v>2313</v>
      </c>
      <c r="G264" s="58" t="s">
        <v>2321</v>
      </c>
      <c r="H264" s="58">
        <v>2212108</v>
      </c>
      <c r="I264" s="58" t="s">
        <v>2754</v>
      </c>
      <c r="J264" s="58"/>
      <c r="K264" s="58"/>
      <c r="L264" s="58" t="s">
        <v>1771</v>
      </c>
      <c r="M264" s="58" t="s">
        <v>1215</v>
      </c>
      <c r="N264" s="58" t="s">
        <v>1770</v>
      </c>
      <c r="O264" s="58" t="s">
        <v>933</v>
      </c>
      <c r="P264" s="58" t="s">
        <v>934</v>
      </c>
      <c r="Q264" s="58"/>
      <c r="R264" s="58"/>
      <c r="S264" s="58" t="s">
        <v>113</v>
      </c>
      <c r="T264" s="58" t="s">
        <v>930</v>
      </c>
      <c r="U264" s="58"/>
      <c r="V264" s="58"/>
      <c r="W264" s="46" t="s">
        <v>2695</v>
      </c>
    </row>
    <row r="265" spans="1:23" ht="13.5" customHeight="1" x14ac:dyDescent="0.25">
      <c r="A265" s="58"/>
      <c r="B265" s="58"/>
      <c r="C265" s="58"/>
      <c r="D265" s="58"/>
      <c r="E265" s="58"/>
      <c r="F265" s="58" t="s">
        <v>1773</v>
      </c>
      <c r="G265" s="58" t="s">
        <v>1774</v>
      </c>
      <c r="H265" s="58">
        <v>2212109</v>
      </c>
      <c r="I265" s="58" t="s">
        <v>2754</v>
      </c>
      <c r="J265" s="58"/>
      <c r="K265" s="58"/>
      <c r="L265" s="58" t="s">
        <v>1769</v>
      </c>
      <c r="M265" s="58" t="s">
        <v>1775</v>
      </c>
      <c r="N265" s="58" t="s">
        <v>1776</v>
      </c>
      <c r="O265" s="58" t="s">
        <v>933</v>
      </c>
      <c r="P265" s="58" t="s">
        <v>934</v>
      </c>
      <c r="Q265" s="58"/>
      <c r="R265" s="58"/>
      <c r="S265" s="58" t="s">
        <v>113</v>
      </c>
      <c r="T265" s="58" t="s">
        <v>930</v>
      </c>
      <c r="U265" s="58"/>
      <c r="V265" s="58"/>
      <c r="W265" s="46" t="s">
        <v>2696</v>
      </c>
    </row>
    <row r="266" spans="1:23" ht="13.5" customHeight="1" x14ac:dyDescent="0.25">
      <c r="A266" s="58"/>
      <c r="B266" s="58"/>
      <c r="C266" s="58"/>
      <c r="D266" s="58"/>
      <c r="E266" s="58"/>
      <c r="F266" s="58" t="s">
        <v>1777</v>
      </c>
      <c r="G266" s="58" t="s">
        <v>1778</v>
      </c>
      <c r="H266" s="58">
        <v>2212110</v>
      </c>
      <c r="I266" s="58" t="s">
        <v>2754</v>
      </c>
      <c r="J266" s="58"/>
      <c r="K266" s="58"/>
      <c r="L266" s="58" t="s">
        <v>1771</v>
      </c>
      <c r="M266" s="58" t="s">
        <v>1779</v>
      </c>
      <c r="N266" s="58" t="s">
        <v>1780</v>
      </c>
      <c r="O266" s="58" t="s">
        <v>933</v>
      </c>
      <c r="P266" s="58" t="s">
        <v>934</v>
      </c>
      <c r="Q266" s="58"/>
      <c r="R266" s="58"/>
      <c r="S266" s="58" t="s">
        <v>113</v>
      </c>
      <c r="T266" s="58" t="s">
        <v>930</v>
      </c>
      <c r="U266" s="58"/>
      <c r="V266" s="58"/>
      <c r="W266" s="46" t="s">
        <v>2695</v>
      </c>
    </row>
    <row r="267" spans="1:23" ht="13.5" customHeight="1" x14ac:dyDescent="0.25">
      <c r="A267" s="58"/>
      <c r="B267" s="58"/>
      <c r="C267" s="58"/>
      <c r="D267" s="58"/>
      <c r="E267" s="58"/>
      <c r="F267" s="58" t="s">
        <v>1781</v>
      </c>
      <c r="G267" s="58" t="s">
        <v>1782</v>
      </c>
      <c r="H267" s="58">
        <v>2212111</v>
      </c>
      <c r="I267" s="58" t="s">
        <v>2754</v>
      </c>
      <c r="J267" s="58"/>
      <c r="K267" s="58"/>
      <c r="L267" s="58" t="s">
        <v>1769</v>
      </c>
      <c r="M267" s="58" t="s">
        <v>1226</v>
      </c>
      <c r="N267" s="58" t="s">
        <v>1770</v>
      </c>
      <c r="O267" s="58" t="s">
        <v>933</v>
      </c>
      <c r="P267" s="58" t="s">
        <v>934</v>
      </c>
      <c r="Q267" s="58"/>
      <c r="R267" s="58"/>
      <c r="S267" s="58" t="s">
        <v>113</v>
      </c>
      <c r="T267" s="58" t="s">
        <v>930</v>
      </c>
      <c r="U267" s="58"/>
      <c r="V267" s="58"/>
      <c r="W267" s="46" t="s">
        <v>2696</v>
      </c>
    </row>
    <row r="268" spans="1:23" ht="13.5" customHeight="1" x14ac:dyDescent="0.25">
      <c r="A268" s="58"/>
      <c r="B268" s="58"/>
      <c r="C268" s="58"/>
      <c r="D268" s="58"/>
      <c r="E268" s="58"/>
      <c r="F268" s="58" t="s">
        <v>1783</v>
      </c>
      <c r="G268" s="58" t="s">
        <v>1784</v>
      </c>
      <c r="H268" s="58">
        <v>2212112</v>
      </c>
      <c r="I268" s="58" t="s">
        <v>2754</v>
      </c>
      <c r="J268" s="58"/>
      <c r="K268" s="58"/>
      <c r="L268" s="58" t="s">
        <v>1771</v>
      </c>
      <c r="M268" s="58" t="s">
        <v>1785</v>
      </c>
      <c r="N268" s="58" t="s">
        <v>1770</v>
      </c>
      <c r="O268" s="58" t="s">
        <v>933</v>
      </c>
      <c r="P268" s="58" t="s">
        <v>934</v>
      </c>
      <c r="Q268" s="58"/>
      <c r="R268" s="58"/>
      <c r="S268" s="58" t="s">
        <v>113</v>
      </c>
      <c r="T268" s="58" t="s">
        <v>930</v>
      </c>
      <c r="U268" s="58"/>
      <c r="V268" s="58"/>
      <c r="W268" s="46" t="s">
        <v>2695</v>
      </c>
    </row>
    <row r="269" spans="1:23" ht="13.5" customHeight="1" x14ac:dyDescent="0.25">
      <c r="A269" s="58"/>
      <c r="B269" s="58"/>
      <c r="C269" s="58"/>
      <c r="D269" s="58"/>
      <c r="E269" s="58"/>
      <c r="F269" s="58" t="s">
        <v>1786</v>
      </c>
      <c r="G269" s="58" t="s">
        <v>1787</v>
      </c>
      <c r="H269" s="58">
        <v>2212113</v>
      </c>
      <c r="I269" s="58" t="s">
        <v>2754</v>
      </c>
      <c r="J269" s="58"/>
      <c r="K269" s="58"/>
      <c r="L269" s="58" t="s">
        <v>1788</v>
      </c>
      <c r="M269" s="58" t="s">
        <v>1789</v>
      </c>
      <c r="N269" s="58" t="s">
        <v>1790</v>
      </c>
      <c r="O269" s="58" t="s">
        <v>933</v>
      </c>
      <c r="P269" s="58" t="s">
        <v>934</v>
      </c>
      <c r="Q269" s="58"/>
      <c r="R269" s="58"/>
      <c r="S269" s="58" t="s">
        <v>113</v>
      </c>
      <c r="T269" s="58" t="s">
        <v>930</v>
      </c>
      <c r="U269" s="58"/>
      <c r="V269" s="58"/>
      <c r="W269" s="46" t="s">
        <v>2696</v>
      </c>
    </row>
    <row r="270" spans="1:23" ht="13.5" customHeight="1" x14ac:dyDescent="0.25">
      <c r="A270" s="58"/>
      <c r="B270" s="58"/>
      <c r="C270" s="58"/>
      <c r="D270" s="58"/>
      <c r="E270" s="58"/>
      <c r="F270" s="58" t="s">
        <v>1791</v>
      </c>
      <c r="G270" s="58" t="s">
        <v>1792</v>
      </c>
      <c r="H270" s="58">
        <v>2212114</v>
      </c>
      <c r="I270" s="58" t="s">
        <v>2756</v>
      </c>
      <c r="J270" s="58"/>
      <c r="K270" s="58"/>
      <c r="L270" s="58" t="s">
        <v>1793</v>
      </c>
      <c r="M270" s="58" t="s">
        <v>1794</v>
      </c>
      <c r="N270" s="58" t="s">
        <v>1795</v>
      </c>
      <c r="O270" s="58" t="s">
        <v>933</v>
      </c>
      <c r="P270" s="58" t="s">
        <v>934</v>
      </c>
      <c r="Q270" s="58"/>
      <c r="R270" s="58"/>
      <c r="S270" s="58" t="s">
        <v>113</v>
      </c>
      <c r="T270" s="58" t="s">
        <v>930</v>
      </c>
      <c r="U270" s="58"/>
      <c r="V270" s="58"/>
      <c r="W270" s="46" t="s">
        <v>2696</v>
      </c>
    </row>
    <row r="271" spans="1:23" ht="13.5" customHeight="1" x14ac:dyDescent="0.25">
      <c r="A271" s="58"/>
      <c r="B271" s="58"/>
      <c r="C271" s="58"/>
      <c r="D271" s="58"/>
      <c r="E271" s="58"/>
      <c r="F271" s="58" t="s">
        <v>1796</v>
      </c>
      <c r="G271" s="58" t="s">
        <v>1797</v>
      </c>
      <c r="H271" s="58">
        <v>2212115</v>
      </c>
      <c r="I271" s="58" t="s">
        <v>2756</v>
      </c>
      <c r="J271" s="58"/>
      <c r="K271" s="58"/>
      <c r="L271" s="58" t="s">
        <v>1771</v>
      </c>
      <c r="M271" s="58" t="s">
        <v>1798</v>
      </c>
      <c r="N271" s="58" t="s">
        <v>1795</v>
      </c>
      <c r="O271" s="58" t="s">
        <v>933</v>
      </c>
      <c r="P271" s="58" t="s">
        <v>934</v>
      </c>
      <c r="Q271" s="58"/>
      <c r="R271" s="58"/>
      <c r="S271" s="58" t="s">
        <v>113</v>
      </c>
      <c r="T271" s="58" t="s">
        <v>930</v>
      </c>
      <c r="U271" s="58"/>
      <c r="V271" s="58"/>
      <c r="W271" s="46" t="s">
        <v>2695</v>
      </c>
    </row>
    <row r="272" spans="1:23" ht="13.5" customHeight="1" x14ac:dyDescent="0.25">
      <c r="A272" s="58"/>
      <c r="B272" s="58"/>
      <c r="C272" s="58"/>
      <c r="D272" s="58"/>
      <c r="E272" s="58"/>
      <c r="F272" s="58" t="s">
        <v>1799</v>
      </c>
      <c r="G272" s="58" t="s">
        <v>1800</v>
      </c>
      <c r="H272" s="58">
        <v>2212116</v>
      </c>
      <c r="I272" s="58" t="s">
        <v>2756</v>
      </c>
      <c r="J272" s="58"/>
      <c r="K272" s="58"/>
      <c r="L272" s="58" t="s">
        <v>783</v>
      </c>
      <c r="M272" s="58" t="s">
        <v>1801</v>
      </c>
      <c r="N272" s="58" t="s">
        <v>1802</v>
      </c>
      <c r="O272" s="58" t="s">
        <v>933</v>
      </c>
      <c r="P272" s="58" t="s">
        <v>934</v>
      </c>
      <c r="Q272" s="58"/>
      <c r="R272" s="58"/>
      <c r="S272" s="58" t="s">
        <v>113</v>
      </c>
      <c r="T272" s="58" t="s">
        <v>930</v>
      </c>
      <c r="U272" s="58"/>
      <c r="V272" s="58"/>
      <c r="W272" s="46" t="s">
        <v>2696</v>
      </c>
    </row>
    <row r="273" spans="1:23" ht="13.5" customHeight="1" x14ac:dyDescent="0.25">
      <c r="A273" s="58"/>
      <c r="B273" s="58"/>
      <c r="C273" s="58"/>
      <c r="D273" s="58"/>
      <c r="E273" s="58"/>
      <c r="F273" s="58" t="s">
        <v>1803</v>
      </c>
      <c r="G273" s="58" t="s">
        <v>1804</v>
      </c>
      <c r="H273" s="58">
        <v>2212117</v>
      </c>
      <c r="I273" s="58" t="s">
        <v>2756</v>
      </c>
      <c r="J273" s="58"/>
      <c r="K273" s="58"/>
      <c r="L273" s="58" t="s">
        <v>1805</v>
      </c>
      <c r="M273" s="83" t="s">
        <v>2633</v>
      </c>
      <c r="N273" s="58" t="s">
        <v>1806</v>
      </c>
      <c r="O273" s="58" t="s">
        <v>933</v>
      </c>
      <c r="P273" s="58" t="s">
        <v>934</v>
      </c>
      <c r="Q273" s="58"/>
      <c r="R273" s="58"/>
      <c r="S273" s="58" t="s">
        <v>113</v>
      </c>
      <c r="T273" s="58" t="s">
        <v>930</v>
      </c>
      <c r="U273" s="58"/>
      <c r="V273" s="58"/>
      <c r="W273" s="46" t="s">
        <v>2696</v>
      </c>
    </row>
    <row r="274" spans="1:23" ht="13.5" customHeight="1" x14ac:dyDescent="0.25">
      <c r="A274" s="58"/>
      <c r="B274" s="58"/>
      <c r="C274" s="58"/>
      <c r="D274" s="58"/>
      <c r="E274" s="58"/>
      <c r="F274" s="58" t="s">
        <v>1807</v>
      </c>
      <c r="G274" s="58" t="s">
        <v>1808</v>
      </c>
      <c r="H274" s="58">
        <v>2212118</v>
      </c>
      <c r="I274" s="58" t="s">
        <v>2756</v>
      </c>
      <c r="J274" s="58"/>
      <c r="K274" s="58"/>
      <c r="L274" s="58" t="s">
        <v>1805</v>
      </c>
      <c r="M274" s="58" t="s">
        <v>1809</v>
      </c>
      <c r="N274" s="58" t="s">
        <v>1806</v>
      </c>
      <c r="O274" s="58" t="s">
        <v>933</v>
      </c>
      <c r="P274" s="58" t="s">
        <v>934</v>
      </c>
      <c r="Q274" s="58"/>
      <c r="R274" s="58"/>
      <c r="S274" s="58" t="s">
        <v>113</v>
      </c>
      <c r="T274" s="58" t="s">
        <v>930</v>
      </c>
      <c r="U274" s="58"/>
      <c r="V274" s="58"/>
      <c r="W274" s="46" t="s">
        <v>2696</v>
      </c>
    </row>
    <row r="275" spans="1:23" ht="13.5" customHeight="1" x14ac:dyDescent="0.25">
      <c r="A275" s="58"/>
      <c r="B275" s="58"/>
      <c r="C275" s="58"/>
      <c r="D275" s="58"/>
      <c r="E275" s="58"/>
      <c r="F275" s="58" t="s">
        <v>1810</v>
      </c>
      <c r="G275" s="58" t="s">
        <v>1811</v>
      </c>
      <c r="H275" s="58">
        <v>2212119</v>
      </c>
      <c r="I275" s="58" t="s">
        <v>2756</v>
      </c>
      <c r="J275" s="58"/>
      <c r="K275" s="58"/>
      <c r="L275" s="58" t="s">
        <v>1805</v>
      </c>
      <c r="M275" s="58" t="s">
        <v>1812</v>
      </c>
      <c r="N275" s="58" t="s">
        <v>1813</v>
      </c>
      <c r="O275" s="58" t="s">
        <v>933</v>
      </c>
      <c r="P275" s="58" t="s">
        <v>934</v>
      </c>
      <c r="Q275" s="58"/>
      <c r="R275" s="58"/>
      <c r="S275" s="58" t="s">
        <v>113</v>
      </c>
      <c r="T275" s="58" t="s">
        <v>930</v>
      </c>
      <c r="U275" s="58"/>
      <c r="V275" s="58"/>
      <c r="W275" s="46" t="s">
        <v>2696</v>
      </c>
    </row>
    <row r="276" spans="1:23" ht="13.5" customHeight="1" x14ac:dyDescent="0.25">
      <c r="A276" s="58"/>
      <c r="B276" s="58"/>
      <c r="C276" s="58"/>
      <c r="D276" s="58"/>
      <c r="E276" s="58"/>
      <c r="F276" s="58" t="s">
        <v>1814</v>
      </c>
      <c r="G276" s="58" t="s">
        <v>1815</v>
      </c>
      <c r="H276" s="58">
        <v>2212120</v>
      </c>
      <c r="I276" s="58" t="s">
        <v>2756</v>
      </c>
      <c r="J276" s="58"/>
      <c r="K276" s="58"/>
      <c r="L276" s="58" t="s">
        <v>1805</v>
      </c>
      <c r="M276" s="58" t="s">
        <v>1816</v>
      </c>
      <c r="N276" s="58" t="s">
        <v>1813</v>
      </c>
      <c r="O276" s="58" t="s">
        <v>933</v>
      </c>
      <c r="P276" s="58" t="s">
        <v>934</v>
      </c>
      <c r="Q276" s="58"/>
      <c r="R276" s="58"/>
      <c r="S276" s="58" t="s">
        <v>113</v>
      </c>
      <c r="T276" s="58" t="s">
        <v>930</v>
      </c>
      <c r="U276" s="58"/>
      <c r="V276" s="58"/>
      <c r="W276" s="46" t="s">
        <v>2696</v>
      </c>
    </row>
    <row r="277" spans="1:23" ht="13.5" customHeight="1" x14ac:dyDescent="0.25">
      <c r="A277" s="58"/>
      <c r="B277" s="58"/>
      <c r="C277" s="58"/>
      <c r="D277" s="58"/>
      <c r="E277" s="58"/>
      <c r="F277" s="58" t="s">
        <v>1817</v>
      </c>
      <c r="G277" s="58" t="s">
        <v>1818</v>
      </c>
      <c r="H277" s="58">
        <v>2212121</v>
      </c>
      <c r="I277" s="58" t="s">
        <v>2758</v>
      </c>
      <c r="J277" s="58"/>
      <c r="K277" s="58"/>
      <c r="L277" s="58" t="s">
        <v>783</v>
      </c>
      <c r="M277" s="58" t="s">
        <v>1819</v>
      </c>
      <c r="N277" s="58" t="s">
        <v>1820</v>
      </c>
      <c r="O277" s="58" t="s">
        <v>933</v>
      </c>
      <c r="P277" s="58" t="s">
        <v>934</v>
      </c>
      <c r="Q277" s="58"/>
      <c r="R277" s="58"/>
      <c r="S277" s="58" t="s">
        <v>114</v>
      </c>
      <c r="T277" s="58" t="s">
        <v>932</v>
      </c>
      <c r="U277" s="58"/>
      <c r="V277" s="58"/>
    </row>
    <row r="278" spans="1:23" ht="13.5" customHeight="1" x14ac:dyDescent="0.25">
      <c r="A278" s="58"/>
      <c r="B278" s="58"/>
      <c r="C278" s="58"/>
      <c r="D278" s="58"/>
      <c r="E278" s="58"/>
      <c r="F278" s="58" t="s">
        <v>1821</v>
      </c>
      <c r="G278" s="58" t="s">
        <v>1822</v>
      </c>
      <c r="H278" s="58">
        <v>2212122</v>
      </c>
      <c r="I278" s="58" t="s">
        <v>2758</v>
      </c>
      <c r="J278" s="58"/>
      <c r="K278" s="58"/>
      <c r="L278" s="58" t="s">
        <v>783</v>
      </c>
      <c r="M278" s="58" t="s">
        <v>1823</v>
      </c>
      <c r="N278" s="58" t="s">
        <v>1820</v>
      </c>
      <c r="O278" s="58" t="s">
        <v>933</v>
      </c>
      <c r="P278" s="58" t="s">
        <v>934</v>
      </c>
      <c r="Q278" s="58"/>
      <c r="R278" s="58"/>
      <c r="S278" s="58" t="s">
        <v>114</v>
      </c>
      <c r="T278" s="58" t="s">
        <v>932</v>
      </c>
      <c r="U278" s="58"/>
      <c r="V278" s="58"/>
    </row>
    <row r="279" spans="1:23" ht="13.5" customHeight="1" x14ac:dyDescent="0.25">
      <c r="A279" s="58"/>
      <c r="B279" s="58"/>
      <c r="C279" s="58"/>
      <c r="D279" s="58"/>
      <c r="E279" s="58"/>
      <c r="F279" s="58" t="s">
        <v>1824</v>
      </c>
      <c r="G279" s="58" t="s">
        <v>1825</v>
      </c>
      <c r="H279" s="58">
        <v>2212123</v>
      </c>
      <c r="I279" s="58" t="s">
        <v>2758</v>
      </c>
      <c r="J279" s="58"/>
      <c r="K279" s="58"/>
      <c r="L279" s="58" t="s">
        <v>783</v>
      </c>
      <c r="M279" s="58" t="s">
        <v>1826</v>
      </c>
      <c r="N279" s="58" t="s">
        <v>1820</v>
      </c>
      <c r="O279" s="58" t="s">
        <v>933</v>
      </c>
      <c r="P279" s="58" t="s">
        <v>934</v>
      </c>
      <c r="Q279" s="58"/>
      <c r="R279" s="58"/>
      <c r="S279" s="58" t="s">
        <v>114</v>
      </c>
      <c r="T279" s="58" t="s">
        <v>932</v>
      </c>
      <c r="U279" s="58"/>
      <c r="V279" s="58"/>
    </row>
    <row r="280" spans="1:23" ht="13.5" customHeight="1" x14ac:dyDescent="0.25">
      <c r="A280" s="58"/>
      <c r="B280" s="58"/>
      <c r="C280" s="58"/>
      <c r="D280" s="58"/>
      <c r="E280" s="58"/>
      <c r="F280" s="58" t="s">
        <v>1827</v>
      </c>
      <c r="G280" s="58" t="s">
        <v>1828</v>
      </c>
      <c r="H280" s="58">
        <v>2212124</v>
      </c>
      <c r="I280" s="58" t="s">
        <v>2758</v>
      </c>
      <c r="J280" s="58"/>
      <c r="K280" s="58"/>
      <c r="L280" s="58" t="s">
        <v>783</v>
      </c>
      <c r="M280" s="58" t="s">
        <v>1829</v>
      </c>
      <c r="N280" s="58" t="s">
        <v>1820</v>
      </c>
      <c r="O280" s="58" t="s">
        <v>933</v>
      </c>
      <c r="P280" s="58" t="s">
        <v>934</v>
      </c>
      <c r="Q280" s="58"/>
      <c r="R280" s="58"/>
      <c r="S280" s="58" t="s">
        <v>114</v>
      </c>
      <c r="T280" s="58" t="s">
        <v>932</v>
      </c>
      <c r="U280" s="58"/>
      <c r="V280" s="58"/>
    </row>
    <row r="281" spans="1:23" ht="13.5" customHeight="1" x14ac:dyDescent="0.25">
      <c r="A281" s="58"/>
      <c r="B281" s="58"/>
      <c r="C281" s="58"/>
      <c r="D281" s="58"/>
      <c r="E281" s="58"/>
      <c r="F281" s="58" t="s">
        <v>1830</v>
      </c>
      <c r="G281" s="58" t="s">
        <v>1831</v>
      </c>
      <c r="H281" s="58">
        <v>2212125</v>
      </c>
      <c r="I281" s="58" t="s">
        <v>2758</v>
      </c>
      <c r="J281" s="58"/>
      <c r="K281" s="58"/>
      <c r="L281" s="58" t="s">
        <v>783</v>
      </c>
      <c r="M281" s="58" t="s">
        <v>1832</v>
      </c>
      <c r="N281" s="58" t="s">
        <v>1820</v>
      </c>
      <c r="O281" s="58" t="s">
        <v>933</v>
      </c>
      <c r="P281" s="58" t="s">
        <v>934</v>
      </c>
      <c r="Q281" s="58"/>
      <c r="R281" s="58"/>
      <c r="S281" s="58" t="s">
        <v>114</v>
      </c>
      <c r="T281" s="58" t="s">
        <v>932</v>
      </c>
      <c r="U281" s="58"/>
      <c r="V281" s="58"/>
    </row>
    <row r="282" spans="1:23" ht="13.5" customHeight="1" x14ac:dyDescent="0.25">
      <c r="A282" s="58"/>
      <c r="B282" s="58"/>
      <c r="C282" s="58"/>
      <c r="D282" s="58"/>
      <c r="E282" s="58"/>
      <c r="F282" s="58" t="s">
        <v>1833</v>
      </c>
      <c r="G282" s="58" t="s">
        <v>1834</v>
      </c>
      <c r="H282" s="58">
        <v>2212126</v>
      </c>
      <c r="I282" s="58" t="s">
        <v>2758</v>
      </c>
      <c r="J282" s="58"/>
      <c r="K282" s="58"/>
      <c r="L282" s="58" t="s">
        <v>783</v>
      </c>
      <c r="M282" s="58" t="s">
        <v>1835</v>
      </c>
      <c r="N282" s="58" t="s">
        <v>1820</v>
      </c>
      <c r="O282" s="58" t="s">
        <v>933</v>
      </c>
      <c r="P282" s="58" t="s">
        <v>934</v>
      </c>
      <c r="Q282" s="58"/>
      <c r="R282" s="58"/>
      <c r="S282" s="58" t="s">
        <v>114</v>
      </c>
      <c r="T282" s="58" t="s">
        <v>932</v>
      </c>
      <c r="U282" s="58"/>
      <c r="V282" s="58"/>
    </row>
    <row r="283" spans="1:23" ht="13.5" customHeight="1" x14ac:dyDescent="0.25">
      <c r="A283" s="58"/>
      <c r="B283" s="58"/>
      <c r="C283" s="58"/>
      <c r="D283" s="58"/>
      <c r="E283" s="58"/>
      <c r="F283" s="58" t="s">
        <v>1836</v>
      </c>
      <c r="G283" s="58" t="s">
        <v>1837</v>
      </c>
      <c r="H283" s="58">
        <v>2212127</v>
      </c>
      <c r="I283" s="58" t="s">
        <v>2758</v>
      </c>
      <c r="J283" s="58"/>
      <c r="K283" s="58"/>
      <c r="L283" s="58" t="s">
        <v>783</v>
      </c>
      <c r="M283" s="58" t="s">
        <v>1838</v>
      </c>
      <c r="N283" s="58" t="s">
        <v>1820</v>
      </c>
      <c r="O283" s="58" t="s">
        <v>933</v>
      </c>
      <c r="P283" s="58" t="s">
        <v>934</v>
      </c>
      <c r="Q283" s="58"/>
      <c r="R283" s="58"/>
      <c r="S283" s="58" t="s">
        <v>114</v>
      </c>
      <c r="T283" s="58" t="s">
        <v>932</v>
      </c>
      <c r="U283" s="58"/>
      <c r="V283" s="58"/>
    </row>
    <row r="284" spans="1:23" ht="13.5" customHeight="1" x14ac:dyDescent="0.25">
      <c r="A284" s="58"/>
      <c r="B284" s="58"/>
      <c r="C284" s="58"/>
      <c r="D284" s="58"/>
      <c r="E284" s="58"/>
      <c r="F284" s="58" t="s">
        <v>1839</v>
      </c>
      <c r="G284" s="58" t="s">
        <v>1840</v>
      </c>
      <c r="H284" s="58">
        <v>2212128</v>
      </c>
      <c r="I284" s="58" t="s">
        <v>2758</v>
      </c>
      <c r="J284" s="58"/>
      <c r="K284" s="58"/>
      <c r="L284" s="58" t="s">
        <v>783</v>
      </c>
      <c r="M284" s="58" t="s">
        <v>1841</v>
      </c>
      <c r="N284" s="58" t="s">
        <v>1820</v>
      </c>
      <c r="O284" s="58" t="s">
        <v>933</v>
      </c>
      <c r="P284" s="58" t="s">
        <v>934</v>
      </c>
      <c r="Q284" s="58"/>
      <c r="R284" s="58"/>
      <c r="S284" s="58" t="s">
        <v>114</v>
      </c>
      <c r="T284" s="58" t="s">
        <v>932</v>
      </c>
      <c r="U284" s="58"/>
      <c r="V284" s="58"/>
    </row>
    <row r="285" spans="1:23" ht="13.5" customHeight="1" x14ac:dyDescent="0.25">
      <c r="A285" s="58"/>
      <c r="B285" s="58"/>
      <c r="C285" s="58"/>
      <c r="D285" s="58"/>
      <c r="E285" s="58"/>
      <c r="F285" s="58" t="s">
        <v>1842</v>
      </c>
      <c r="G285" s="58" t="s">
        <v>1843</v>
      </c>
      <c r="H285" s="58">
        <v>2212129</v>
      </c>
      <c r="I285" s="58" t="s">
        <v>2758</v>
      </c>
      <c r="J285" s="58"/>
      <c r="K285" s="58"/>
      <c r="L285" s="58" t="s">
        <v>783</v>
      </c>
      <c r="M285" s="58" t="s">
        <v>1844</v>
      </c>
      <c r="N285" s="58" t="s">
        <v>1820</v>
      </c>
      <c r="O285" s="58" t="s">
        <v>933</v>
      </c>
      <c r="P285" s="58" t="s">
        <v>934</v>
      </c>
      <c r="Q285" s="58"/>
      <c r="R285" s="58"/>
      <c r="S285" s="58" t="s">
        <v>115</v>
      </c>
      <c r="T285" s="58" t="s">
        <v>932</v>
      </c>
      <c r="U285" s="58"/>
      <c r="V285" s="58"/>
    </row>
    <row r="286" spans="1:23" ht="13.5" customHeight="1" x14ac:dyDescent="0.25">
      <c r="A286" s="58"/>
      <c r="B286" s="58"/>
      <c r="C286" s="58"/>
      <c r="D286" s="58"/>
      <c r="E286" s="58"/>
      <c r="F286" s="58" t="s">
        <v>1845</v>
      </c>
      <c r="G286" s="58" t="s">
        <v>1846</v>
      </c>
      <c r="H286" s="58">
        <v>2212130</v>
      </c>
      <c r="I286" s="58" t="s">
        <v>2758</v>
      </c>
      <c r="J286" s="58"/>
      <c r="K286" s="58"/>
      <c r="L286" s="58" t="s">
        <v>783</v>
      </c>
      <c r="M286" s="58" t="s">
        <v>1847</v>
      </c>
      <c r="N286" s="58" t="s">
        <v>1820</v>
      </c>
      <c r="O286" s="58" t="s">
        <v>933</v>
      </c>
      <c r="P286" s="58" t="s">
        <v>934</v>
      </c>
      <c r="Q286" s="58"/>
      <c r="R286" s="58"/>
      <c r="S286" s="58" t="s">
        <v>115</v>
      </c>
      <c r="T286" s="58" t="s">
        <v>932</v>
      </c>
      <c r="U286" s="58"/>
      <c r="V286" s="58"/>
    </row>
    <row r="287" spans="1:23" ht="13.5" customHeight="1" x14ac:dyDescent="0.25">
      <c r="A287" s="58"/>
      <c r="B287" s="58"/>
      <c r="C287" s="58"/>
      <c r="D287" s="58"/>
      <c r="E287" s="58"/>
      <c r="F287" s="58" t="s">
        <v>1848</v>
      </c>
      <c r="G287" s="58" t="s">
        <v>1849</v>
      </c>
      <c r="H287" s="58">
        <v>2212131</v>
      </c>
      <c r="I287" s="58" t="s">
        <v>2758</v>
      </c>
      <c r="J287" s="58"/>
      <c r="K287" s="58"/>
      <c r="L287" s="58" t="s">
        <v>783</v>
      </c>
      <c r="M287" s="58" t="s">
        <v>1850</v>
      </c>
      <c r="N287" s="58" t="s">
        <v>1851</v>
      </c>
      <c r="O287" s="58" t="s">
        <v>933</v>
      </c>
      <c r="P287" s="58" t="s">
        <v>934</v>
      </c>
      <c r="Q287" s="58"/>
      <c r="R287" s="58"/>
      <c r="S287" s="58" t="s">
        <v>115</v>
      </c>
      <c r="T287" s="58" t="s">
        <v>932</v>
      </c>
      <c r="U287" s="58"/>
      <c r="V287" s="58"/>
    </row>
    <row r="288" spans="1:23" ht="13.5" customHeight="1" x14ac:dyDescent="0.25">
      <c r="A288" s="58"/>
      <c r="B288" s="58"/>
      <c r="C288" s="58"/>
      <c r="D288" s="58"/>
      <c r="E288" s="58"/>
      <c r="F288" s="58" t="s">
        <v>1852</v>
      </c>
      <c r="G288" s="58" t="s">
        <v>2431</v>
      </c>
      <c r="H288" s="58">
        <v>2212132</v>
      </c>
      <c r="I288" s="58" t="s">
        <v>2758</v>
      </c>
      <c r="J288" s="58"/>
      <c r="K288" s="58"/>
      <c r="L288" s="58" t="s">
        <v>783</v>
      </c>
      <c r="M288" s="83" t="s">
        <v>2440</v>
      </c>
      <c r="N288" s="58" t="s">
        <v>1851</v>
      </c>
      <c r="O288" s="58" t="s">
        <v>933</v>
      </c>
      <c r="P288" s="58" t="s">
        <v>934</v>
      </c>
      <c r="Q288" s="58"/>
      <c r="R288" s="58"/>
      <c r="S288" s="58" t="s">
        <v>115</v>
      </c>
      <c r="T288" s="58" t="s">
        <v>932</v>
      </c>
      <c r="U288" s="58"/>
      <c r="V288" s="58"/>
    </row>
    <row r="289" spans="1:23" s="46" customFormat="1" ht="13.5" customHeight="1" x14ac:dyDescent="0.25">
      <c r="A289" s="58"/>
      <c r="B289" s="58"/>
      <c r="C289" s="58"/>
      <c r="D289" s="58"/>
      <c r="E289" s="58"/>
      <c r="F289" s="113" t="s">
        <v>2436</v>
      </c>
      <c r="G289" s="58" t="s">
        <v>2432</v>
      </c>
      <c r="H289" s="58">
        <v>2212133</v>
      </c>
      <c r="I289" s="58" t="s">
        <v>2756</v>
      </c>
      <c r="J289" s="58"/>
      <c r="K289" s="58"/>
      <c r="L289" s="58" t="s">
        <v>783</v>
      </c>
      <c r="M289" s="83" t="s">
        <v>2441</v>
      </c>
      <c r="N289" s="83" t="s">
        <v>2442</v>
      </c>
      <c r="O289" s="58" t="s">
        <v>933</v>
      </c>
      <c r="P289" s="58" t="s">
        <v>934</v>
      </c>
      <c r="Q289" s="58"/>
      <c r="R289" s="58"/>
      <c r="S289" s="58" t="s">
        <v>113</v>
      </c>
      <c r="T289" s="58" t="s">
        <v>2448</v>
      </c>
      <c r="U289" s="58"/>
      <c r="V289" s="58"/>
      <c r="W289" s="46" t="s">
        <v>2696</v>
      </c>
    </row>
    <row r="290" spans="1:23" s="46" customFormat="1" ht="13.5" customHeight="1" x14ac:dyDescent="0.25">
      <c r="A290" s="58"/>
      <c r="B290" s="58"/>
      <c r="C290" s="58"/>
      <c r="D290" s="58"/>
      <c r="E290" s="58"/>
      <c r="F290" s="114" t="s">
        <v>2437</v>
      </c>
      <c r="G290" s="58" t="s">
        <v>2433</v>
      </c>
      <c r="H290" s="58">
        <v>2212134</v>
      </c>
      <c r="I290" s="58" t="s">
        <v>2756</v>
      </c>
      <c r="J290" s="58"/>
      <c r="K290" s="58"/>
      <c r="L290" s="58" t="s">
        <v>783</v>
      </c>
      <c r="M290" s="83" t="s">
        <v>2443</v>
      </c>
      <c r="N290" s="83" t="s">
        <v>2444</v>
      </c>
      <c r="O290" s="58" t="s">
        <v>933</v>
      </c>
      <c r="P290" s="58" t="s">
        <v>934</v>
      </c>
      <c r="Q290" s="58"/>
      <c r="R290" s="58"/>
      <c r="S290" s="58" t="s">
        <v>113</v>
      </c>
      <c r="T290" s="58" t="s">
        <v>2448</v>
      </c>
      <c r="U290" s="58"/>
      <c r="V290" s="58"/>
      <c r="W290" s="46" t="s">
        <v>2696</v>
      </c>
    </row>
    <row r="291" spans="1:23" s="46" customFormat="1" ht="13.5" customHeight="1" x14ac:dyDescent="0.25">
      <c r="A291" s="58"/>
      <c r="B291" s="58"/>
      <c r="C291" s="58"/>
      <c r="D291" s="58"/>
      <c r="E291" s="58"/>
      <c r="F291" s="114" t="s">
        <v>2438</v>
      </c>
      <c r="G291" s="58" t="s">
        <v>2434</v>
      </c>
      <c r="H291" s="58">
        <v>2212135</v>
      </c>
      <c r="I291" s="58" t="s">
        <v>2756</v>
      </c>
      <c r="J291" s="58"/>
      <c r="K291" s="58"/>
      <c r="L291" s="58" t="s">
        <v>783</v>
      </c>
      <c r="M291" s="83" t="s">
        <v>2446</v>
      </c>
      <c r="N291" s="83" t="s">
        <v>2442</v>
      </c>
      <c r="O291" s="58" t="s">
        <v>933</v>
      </c>
      <c r="P291" s="58" t="s">
        <v>934</v>
      </c>
      <c r="Q291" s="58"/>
      <c r="R291" s="58"/>
      <c r="S291" s="58" t="s">
        <v>113</v>
      </c>
      <c r="T291" s="58" t="s">
        <v>2448</v>
      </c>
      <c r="U291" s="58"/>
      <c r="V291" s="58"/>
      <c r="W291" s="46" t="s">
        <v>2696</v>
      </c>
    </row>
    <row r="292" spans="1:23" s="46" customFormat="1" ht="13.5" customHeight="1" x14ac:dyDescent="0.25">
      <c r="A292" s="58"/>
      <c r="B292" s="58"/>
      <c r="C292" s="58"/>
      <c r="D292" s="58"/>
      <c r="E292" s="58"/>
      <c r="F292" s="114" t="s">
        <v>2439</v>
      </c>
      <c r="G292" s="58" t="s">
        <v>2435</v>
      </c>
      <c r="H292" s="58">
        <v>2212136</v>
      </c>
      <c r="I292" s="58" t="s">
        <v>2756</v>
      </c>
      <c r="J292" s="58"/>
      <c r="K292" s="58"/>
      <c r="L292" s="58" t="s">
        <v>2445</v>
      </c>
      <c r="M292" s="83" t="s">
        <v>2447</v>
      </c>
      <c r="N292" s="83" t="s">
        <v>2444</v>
      </c>
      <c r="O292" s="58" t="s">
        <v>933</v>
      </c>
      <c r="P292" s="58" t="s">
        <v>934</v>
      </c>
      <c r="Q292" s="58"/>
      <c r="R292" s="58"/>
      <c r="S292" s="58" t="s">
        <v>113</v>
      </c>
      <c r="T292" s="58" t="s">
        <v>2448</v>
      </c>
      <c r="U292" s="58"/>
      <c r="V292" s="58"/>
      <c r="W292" s="46" t="s">
        <v>2696</v>
      </c>
    </row>
    <row r="293" spans="1:23" ht="13.5" customHeight="1" x14ac:dyDescent="0.25">
      <c r="A293" s="58"/>
      <c r="B293" s="58"/>
      <c r="C293" s="58"/>
      <c r="D293" s="58"/>
      <c r="E293" s="58" t="s">
        <v>255</v>
      </c>
      <c r="F293" s="58"/>
      <c r="G293" s="58"/>
      <c r="H293" s="58"/>
      <c r="I293" s="58"/>
      <c r="J293" s="58"/>
      <c r="K293" s="58"/>
      <c r="L293" s="58"/>
      <c r="M293" s="58"/>
      <c r="N293" s="58"/>
      <c r="O293" s="58"/>
      <c r="P293" s="58"/>
      <c r="Q293" s="58"/>
      <c r="R293" s="58"/>
      <c r="S293" s="58"/>
      <c r="T293" s="58"/>
      <c r="U293" s="58"/>
      <c r="V293" s="58"/>
    </row>
    <row r="294" spans="1:23" ht="13.5" customHeight="1" x14ac:dyDescent="0.25">
      <c r="A294" s="58"/>
      <c r="B294" s="58"/>
      <c r="C294" s="58"/>
      <c r="D294" s="58"/>
      <c r="E294" s="58"/>
      <c r="F294" s="58" t="s">
        <v>2704</v>
      </c>
      <c r="G294" s="58" t="s">
        <v>1853</v>
      </c>
      <c r="H294" s="58">
        <v>2212201</v>
      </c>
      <c r="I294" s="58" t="s">
        <v>2754</v>
      </c>
      <c r="J294" s="58"/>
      <c r="K294" s="58"/>
      <c r="L294" s="58" t="s">
        <v>1769</v>
      </c>
      <c r="M294" s="83" t="s">
        <v>2638</v>
      </c>
      <c r="N294" s="83" t="s">
        <v>2636</v>
      </c>
      <c r="O294" s="58" t="s">
        <v>933</v>
      </c>
      <c r="P294" s="58" t="s">
        <v>934</v>
      </c>
      <c r="Q294" s="58"/>
      <c r="R294" s="58"/>
      <c r="S294" s="58" t="s">
        <v>113</v>
      </c>
      <c r="T294" s="58" t="s">
        <v>930</v>
      </c>
      <c r="U294" s="58"/>
      <c r="V294" s="58"/>
      <c r="W294" t="s">
        <v>2637</v>
      </c>
    </row>
    <row r="295" spans="1:23" ht="13.5" customHeight="1" x14ac:dyDescent="0.25">
      <c r="A295" s="58"/>
      <c r="B295" s="58"/>
      <c r="C295" s="58"/>
      <c r="D295" s="58"/>
      <c r="E295" s="58"/>
      <c r="F295" s="46" t="s">
        <v>2705</v>
      </c>
      <c r="G295" s="58" t="s">
        <v>1854</v>
      </c>
      <c r="H295" s="58">
        <v>2212202</v>
      </c>
      <c r="I295" s="58" t="s">
        <v>2754</v>
      </c>
      <c r="J295" s="58"/>
      <c r="K295" s="58"/>
      <c r="L295" s="58" t="s">
        <v>1771</v>
      </c>
      <c r="M295" s="83" t="s">
        <v>2699</v>
      </c>
      <c r="N295" s="83" t="s">
        <v>2698</v>
      </c>
      <c r="O295" s="58" t="s">
        <v>933</v>
      </c>
      <c r="P295" s="58" t="s">
        <v>934</v>
      </c>
      <c r="Q295" s="58"/>
      <c r="R295" s="58"/>
      <c r="S295" s="58" t="s">
        <v>113</v>
      </c>
      <c r="T295" s="58" t="s">
        <v>930</v>
      </c>
      <c r="U295" s="58"/>
      <c r="V295" s="58"/>
      <c r="W295" s="46" t="s">
        <v>2695</v>
      </c>
    </row>
    <row r="296" spans="1:23" ht="13.5" customHeight="1" x14ac:dyDescent="0.25">
      <c r="A296" s="58"/>
      <c r="B296" s="58"/>
      <c r="C296" s="58"/>
      <c r="D296" s="58"/>
      <c r="E296" s="58"/>
      <c r="F296" s="58" t="s">
        <v>2702</v>
      </c>
      <c r="G296" s="58" t="s">
        <v>1855</v>
      </c>
      <c r="H296" s="58">
        <v>2212203</v>
      </c>
      <c r="I296" s="58" t="s">
        <v>2754</v>
      </c>
      <c r="J296" s="58"/>
      <c r="K296" s="58"/>
      <c r="L296" s="58" t="s">
        <v>1769</v>
      </c>
      <c r="M296" s="83" t="s">
        <v>2640</v>
      </c>
      <c r="N296" s="83" t="s">
        <v>2639</v>
      </c>
      <c r="O296" s="58" t="s">
        <v>933</v>
      </c>
      <c r="P296" s="58" t="s">
        <v>934</v>
      </c>
      <c r="Q296" s="58"/>
      <c r="R296" s="58"/>
      <c r="S296" s="58" t="s">
        <v>113</v>
      </c>
      <c r="T296" s="58" t="s">
        <v>930</v>
      </c>
      <c r="U296" s="58"/>
      <c r="V296" s="58"/>
      <c r="W296" s="46" t="s">
        <v>2637</v>
      </c>
    </row>
    <row r="297" spans="1:23" ht="13.5" customHeight="1" x14ac:dyDescent="0.25">
      <c r="A297" s="58"/>
      <c r="B297" s="58"/>
      <c r="C297" s="58"/>
      <c r="D297" s="58"/>
      <c r="E297" s="58"/>
      <c r="F297" s="58" t="s">
        <v>1856</v>
      </c>
      <c r="G297" s="58" t="s">
        <v>1857</v>
      </c>
      <c r="H297" s="58">
        <v>2212204</v>
      </c>
      <c r="I297" s="58" t="s">
        <v>2754</v>
      </c>
      <c r="J297" s="58"/>
      <c r="K297" s="58"/>
      <c r="L297" s="58" t="s">
        <v>1771</v>
      </c>
      <c r="M297" s="58" t="s">
        <v>1858</v>
      </c>
      <c r="N297" s="58" t="s">
        <v>1331</v>
      </c>
      <c r="O297" s="58" t="s">
        <v>933</v>
      </c>
      <c r="P297" s="58" t="s">
        <v>934</v>
      </c>
      <c r="Q297" s="58"/>
      <c r="R297" s="58"/>
      <c r="S297" s="58" t="s">
        <v>113</v>
      </c>
      <c r="T297" s="58" t="s">
        <v>930</v>
      </c>
      <c r="U297" s="58"/>
      <c r="V297" s="58"/>
      <c r="W297" s="46" t="s">
        <v>2695</v>
      </c>
    </row>
    <row r="298" spans="1:23" ht="13.5" customHeight="1" x14ac:dyDescent="0.25">
      <c r="A298" s="58" t="s">
        <v>2645</v>
      </c>
      <c r="B298" s="58"/>
      <c r="C298" s="58"/>
      <c r="D298" s="58"/>
      <c r="E298" s="58"/>
      <c r="F298" s="58" t="s">
        <v>2641</v>
      </c>
      <c r="G298" s="58" t="s">
        <v>2328</v>
      </c>
      <c r="H298" s="58">
        <v>2212205</v>
      </c>
      <c r="I298" s="58" t="s">
        <v>2754</v>
      </c>
      <c r="J298" s="58"/>
      <c r="K298" s="58"/>
      <c r="L298" s="58" t="s">
        <v>1769</v>
      </c>
      <c r="M298" s="83" t="s">
        <v>2642</v>
      </c>
      <c r="N298" s="58" t="s">
        <v>1377</v>
      </c>
      <c r="O298" s="58" t="s">
        <v>933</v>
      </c>
      <c r="P298" s="58" t="s">
        <v>934</v>
      </c>
      <c r="Q298" s="58"/>
      <c r="R298" s="58"/>
      <c r="S298" s="58" t="s">
        <v>113</v>
      </c>
      <c r="T298" s="58" t="s">
        <v>930</v>
      </c>
      <c r="U298" s="58"/>
      <c r="V298" s="58"/>
      <c r="W298" s="46" t="s">
        <v>2646</v>
      </c>
    </row>
    <row r="299" spans="1:23" ht="13.5" customHeight="1" x14ac:dyDescent="0.25">
      <c r="A299" s="58"/>
      <c r="B299" s="58"/>
      <c r="C299" s="58"/>
      <c r="D299" s="58"/>
      <c r="E299" s="58"/>
      <c r="F299" s="58" t="s">
        <v>2322</v>
      </c>
      <c r="G299" s="58" t="s">
        <v>2329</v>
      </c>
      <c r="H299" s="58">
        <v>2212206</v>
      </c>
      <c r="I299" s="58" t="s">
        <v>2754</v>
      </c>
      <c r="J299" s="58"/>
      <c r="K299" s="58"/>
      <c r="L299" s="58" t="s">
        <v>1771</v>
      </c>
      <c r="M299" s="58" t="s">
        <v>1860</v>
      </c>
      <c r="N299" s="58" t="s">
        <v>1378</v>
      </c>
      <c r="O299" s="58" t="s">
        <v>933</v>
      </c>
      <c r="P299" s="58" t="s">
        <v>934</v>
      </c>
      <c r="Q299" s="58"/>
      <c r="R299" s="58"/>
      <c r="S299" s="58" t="s">
        <v>113</v>
      </c>
      <c r="T299" s="58" t="s">
        <v>930</v>
      </c>
      <c r="U299" s="58"/>
      <c r="V299" s="58"/>
      <c r="W299" s="46" t="s">
        <v>2695</v>
      </c>
    </row>
    <row r="300" spans="1:23" ht="13.5" customHeight="1" x14ac:dyDescent="0.25">
      <c r="A300" s="58"/>
      <c r="B300" s="58"/>
      <c r="C300" s="58"/>
      <c r="D300" s="58"/>
      <c r="E300" s="58"/>
      <c r="F300" s="58" t="s">
        <v>2643</v>
      </c>
      <c r="G300" s="58" t="s">
        <v>2330</v>
      </c>
      <c r="H300" s="58">
        <v>2212207</v>
      </c>
      <c r="I300" s="58" t="s">
        <v>2754</v>
      </c>
      <c r="J300" s="58"/>
      <c r="K300" s="58"/>
      <c r="L300" s="58" t="s">
        <v>1769</v>
      </c>
      <c r="M300" s="83" t="s">
        <v>2644</v>
      </c>
      <c r="N300" s="58" t="s">
        <v>1331</v>
      </c>
      <c r="O300" s="58" t="s">
        <v>933</v>
      </c>
      <c r="P300" s="58" t="s">
        <v>934</v>
      </c>
      <c r="Q300" s="58"/>
      <c r="R300" s="58"/>
      <c r="S300" s="58" t="s">
        <v>113</v>
      </c>
      <c r="T300" s="58" t="s">
        <v>930</v>
      </c>
      <c r="U300" s="58"/>
      <c r="V300" s="58"/>
      <c r="W300" s="46" t="s">
        <v>930</v>
      </c>
    </row>
    <row r="301" spans="1:23" ht="13.5" customHeight="1" x14ac:dyDescent="0.25">
      <c r="A301" s="58"/>
      <c r="B301" s="58"/>
      <c r="C301" s="58"/>
      <c r="D301" s="58"/>
      <c r="E301" s="58"/>
      <c r="F301" s="58" t="s">
        <v>2323</v>
      </c>
      <c r="G301" s="58" t="s">
        <v>2331</v>
      </c>
      <c r="H301" s="58">
        <v>2212208</v>
      </c>
      <c r="I301" s="58" t="s">
        <v>2754</v>
      </c>
      <c r="J301" s="58"/>
      <c r="K301" s="58"/>
      <c r="L301" s="58" t="s">
        <v>1771</v>
      </c>
      <c r="M301" s="58" t="s">
        <v>1862</v>
      </c>
      <c r="N301" s="58" t="s">
        <v>1331</v>
      </c>
      <c r="O301" s="58" t="s">
        <v>933</v>
      </c>
      <c r="P301" s="58" t="s">
        <v>934</v>
      </c>
      <c r="Q301" s="58"/>
      <c r="R301" s="58"/>
      <c r="S301" s="58" t="s">
        <v>113</v>
      </c>
      <c r="T301" s="58" t="s">
        <v>930</v>
      </c>
      <c r="U301" s="58"/>
      <c r="V301" s="58"/>
      <c r="W301" s="46" t="s">
        <v>2695</v>
      </c>
    </row>
    <row r="302" spans="1:23" ht="13.5" customHeight="1" x14ac:dyDescent="0.25">
      <c r="A302" s="58"/>
      <c r="B302" s="58"/>
      <c r="C302" s="58"/>
      <c r="D302" s="58"/>
      <c r="E302" s="58"/>
      <c r="F302" s="58" t="s">
        <v>2712</v>
      </c>
      <c r="G302" s="58" t="s">
        <v>2332</v>
      </c>
      <c r="H302" s="58">
        <v>2212209</v>
      </c>
      <c r="I302" s="58" t="s">
        <v>2754</v>
      </c>
      <c r="J302" s="58"/>
      <c r="K302" s="58"/>
      <c r="L302" s="58" t="s">
        <v>1788</v>
      </c>
      <c r="M302" s="83" t="s">
        <v>2461</v>
      </c>
      <c r="N302" s="58" t="s">
        <v>1863</v>
      </c>
      <c r="O302" s="58" t="s">
        <v>933</v>
      </c>
      <c r="P302" s="58" t="s">
        <v>934</v>
      </c>
      <c r="Q302" s="58"/>
      <c r="R302" s="58"/>
      <c r="S302" s="58" t="s">
        <v>113</v>
      </c>
      <c r="T302" s="58" t="s">
        <v>930</v>
      </c>
      <c r="U302" s="58"/>
      <c r="V302" s="58"/>
      <c r="W302" s="46" t="s">
        <v>2457</v>
      </c>
    </row>
    <row r="303" spans="1:23" s="46" customFormat="1" ht="13.5" customHeight="1" x14ac:dyDescent="0.25">
      <c r="A303" s="58"/>
      <c r="B303" s="58"/>
      <c r="C303" s="58"/>
      <c r="D303" s="58"/>
      <c r="E303" s="58"/>
      <c r="F303" s="58" t="s">
        <v>2324</v>
      </c>
      <c r="G303" s="58" t="s">
        <v>2333</v>
      </c>
      <c r="H303" s="58">
        <v>2212210</v>
      </c>
      <c r="I303" s="58" t="s">
        <v>2754</v>
      </c>
      <c r="J303" s="58"/>
      <c r="K303" s="58"/>
      <c r="L303" s="58" t="s">
        <v>1769</v>
      </c>
      <c r="M303" s="58" t="s">
        <v>1859</v>
      </c>
      <c r="N303" s="58" t="s">
        <v>1377</v>
      </c>
      <c r="O303" s="58" t="s">
        <v>933</v>
      </c>
      <c r="P303" s="58" t="s">
        <v>934</v>
      </c>
      <c r="Q303" s="58"/>
      <c r="R303" s="58"/>
      <c r="S303" s="58" t="s">
        <v>113</v>
      </c>
      <c r="T303" s="58" t="s">
        <v>930</v>
      </c>
      <c r="U303" s="58"/>
      <c r="V303" s="58"/>
      <c r="W303" s="46" t="s">
        <v>2672</v>
      </c>
    </row>
    <row r="304" spans="1:23" s="46" customFormat="1" ht="13.5" customHeight="1" x14ac:dyDescent="0.25">
      <c r="A304" s="58"/>
      <c r="B304" s="58"/>
      <c r="C304" s="58"/>
      <c r="D304" s="58"/>
      <c r="E304" s="58"/>
      <c r="F304" s="58" t="s">
        <v>2325</v>
      </c>
      <c r="G304" s="58" t="s">
        <v>2334</v>
      </c>
      <c r="H304" s="58">
        <v>2212211</v>
      </c>
      <c r="I304" s="58" t="s">
        <v>2754</v>
      </c>
      <c r="J304" s="58"/>
      <c r="K304" s="58"/>
      <c r="L304" s="58" t="s">
        <v>1771</v>
      </c>
      <c r="M304" s="58" t="s">
        <v>1860</v>
      </c>
      <c r="N304" s="58" t="s">
        <v>1378</v>
      </c>
      <c r="O304" s="58" t="s">
        <v>933</v>
      </c>
      <c r="P304" s="58" t="s">
        <v>934</v>
      </c>
      <c r="Q304" s="58"/>
      <c r="R304" s="58"/>
      <c r="S304" s="58" t="s">
        <v>113</v>
      </c>
      <c r="T304" s="58" t="s">
        <v>930</v>
      </c>
      <c r="U304" s="58"/>
      <c r="V304" s="58"/>
      <c r="W304" s="46" t="s">
        <v>2695</v>
      </c>
    </row>
    <row r="305" spans="1:23" s="46" customFormat="1" ht="13.5" customHeight="1" x14ac:dyDescent="0.25">
      <c r="A305" s="58"/>
      <c r="B305" s="58"/>
      <c r="C305" s="58"/>
      <c r="D305" s="58"/>
      <c r="E305" s="58"/>
      <c r="F305" s="58" t="s">
        <v>2326</v>
      </c>
      <c r="G305" s="58" t="s">
        <v>2335</v>
      </c>
      <c r="H305" s="58">
        <v>2212212</v>
      </c>
      <c r="I305" s="58" t="s">
        <v>2754</v>
      </c>
      <c r="J305" s="58"/>
      <c r="K305" s="58"/>
      <c r="L305" s="58" t="s">
        <v>1769</v>
      </c>
      <c r="M305" s="58" t="s">
        <v>1861</v>
      </c>
      <c r="N305" s="58" t="s">
        <v>1331</v>
      </c>
      <c r="O305" s="58" t="s">
        <v>933</v>
      </c>
      <c r="P305" s="58" t="s">
        <v>934</v>
      </c>
      <c r="Q305" s="58"/>
      <c r="R305" s="58"/>
      <c r="S305" s="58" t="s">
        <v>113</v>
      </c>
      <c r="T305" s="58" t="s">
        <v>930</v>
      </c>
      <c r="U305" s="58"/>
      <c r="V305" s="58"/>
      <c r="W305" s="46" t="s">
        <v>2672</v>
      </c>
    </row>
    <row r="306" spans="1:23" s="46" customFormat="1" ht="13.5" customHeight="1" x14ac:dyDescent="0.25">
      <c r="A306" s="58"/>
      <c r="B306" s="58"/>
      <c r="C306" s="58"/>
      <c r="D306" s="58"/>
      <c r="E306" s="58"/>
      <c r="F306" s="58" t="s">
        <v>2327</v>
      </c>
      <c r="G306" s="58" t="s">
        <v>2336</v>
      </c>
      <c r="H306" s="58">
        <v>2212213</v>
      </c>
      <c r="I306" s="58" t="s">
        <v>2754</v>
      </c>
      <c r="J306" s="58"/>
      <c r="K306" s="58"/>
      <c r="L306" s="58" t="s">
        <v>1771</v>
      </c>
      <c r="M306" s="58" t="s">
        <v>1862</v>
      </c>
      <c r="N306" s="58" t="s">
        <v>1331</v>
      </c>
      <c r="O306" s="58" t="s">
        <v>933</v>
      </c>
      <c r="P306" s="58" t="s">
        <v>934</v>
      </c>
      <c r="Q306" s="58"/>
      <c r="R306" s="58"/>
      <c r="S306" s="58" t="s">
        <v>113</v>
      </c>
      <c r="T306" s="58" t="s">
        <v>930</v>
      </c>
      <c r="U306" s="58"/>
      <c r="V306" s="58"/>
      <c r="W306" s="46" t="s">
        <v>2695</v>
      </c>
    </row>
    <row r="307" spans="1:23" s="46" customFormat="1" ht="13.5" customHeight="1" x14ac:dyDescent="0.25">
      <c r="A307" s="58"/>
      <c r="B307" s="58"/>
      <c r="C307" s="58"/>
      <c r="D307" s="58"/>
      <c r="E307" s="58"/>
      <c r="F307" s="58" t="s">
        <v>2172</v>
      </c>
      <c r="G307" s="58" t="s">
        <v>2337</v>
      </c>
      <c r="H307" s="58">
        <v>2212214</v>
      </c>
      <c r="I307" s="58" t="s">
        <v>2754</v>
      </c>
      <c r="J307" s="58"/>
      <c r="K307" s="58"/>
      <c r="L307" s="58" t="s">
        <v>1788</v>
      </c>
      <c r="M307" s="83" t="s">
        <v>2461</v>
      </c>
      <c r="N307" s="58" t="s">
        <v>1863</v>
      </c>
      <c r="O307" s="58" t="s">
        <v>933</v>
      </c>
      <c r="P307" s="58" t="s">
        <v>934</v>
      </c>
      <c r="Q307" s="58"/>
      <c r="R307" s="58"/>
      <c r="S307" s="58" t="s">
        <v>113</v>
      </c>
      <c r="T307" s="58" t="s">
        <v>930</v>
      </c>
      <c r="U307" s="58"/>
      <c r="V307" s="58"/>
      <c r="W307" s="46" t="s">
        <v>2672</v>
      </c>
    </row>
    <row r="308" spans="1:23" ht="13.5" customHeight="1" x14ac:dyDescent="0.25">
      <c r="A308" s="58"/>
      <c r="B308" s="58"/>
      <c r="C308" s="58"/>
      <c r="D308" s="58"/>
      <c r="E308" s="58"/>
      <c r="F308" s="58" t="s">
        <v>2700</v>
      </c>
      <c r="G308" s="58" t="s">
        <v>1864</v>
      </c>
      <c r="H308" s="58">
        <v>2212215</v>
      </c>
      <c r="I308" s="58" t="s">
        <v>2756</v>
      </c>
      <c r="J308" s="58"/>
      <c r="K308" s="58"/>
      <c r="L308" s="58" t="s">
        <v>1793</v>
      </c>
      <c r="M308" s="58" t="s">
        <v>1865</v>
      </c>
      <c r="N308" s="58" t="s">
        <v>1866</v>
      </c>
      <c r="O308" s="58" t="s">
        <v>933</v>
      </c>
      <c r="P308" s="58" t="s">
        <v>934</v>
      </c>
      <c r="Q308" s="58"/>
      <c r="R308" s="58"/>
      <c r="S308" s="58" t="s">
        <v>113</v>
      </c>
      <c r="T308" s="58" t="s">
        <v>930</v>
      </c>
      <c r="U308" s="58"/>
      <c r="V308" s="58"/>
    </row>
    <row r="309" spans="1:23" ht="13.5" customHeight="1" x14ac:dyDescent="0.25">
      <c r="A309" s="58"/>
      <c r="B309" s="58"/>
      <c r="C309" s="58"/>
      <c r="D309" s="58"/>
      <c r="E309" s="58"/>
      <c r="F309" s="58" t="s">
        <v>1347</v>
      </c>
      <c r="G309" s="58" t="s">
        <v>1867</v>
      </c>
      <c r="H309" s="58">
        <v>2212216</v>
      </c>
      <c r="I309" s="58" t="s">
        <v>2756</v>
      </c>
      <c r="J309" s="58"/>
      <c r="K309" s="58"/>
      <c r="L309" s="58" t="s">
        <v>1771</v>
      </c>
      <c r="M309" s="58" t="s">
        <v>1868</v>
      </c>
      <c r="N309" s="58" t="s">
        <v>1869</v>
      </c>
      <c r="O309" s="58" t="s">
        <v>933</v>
      </c>
      <c r="P309" s="58" t="s">
        <v>934</v>
      </c>
      <c r="Q309" s="58"/>
      <c r="R309" s="58"/>
      <c r="S309" s="58" t="s">
        <v>113</v>
      </c>
      <c r="T309" s="58" t="s">
        <v>930</v>
      </c>
      <c r="U309" s="58"/>
      <c r="V309" s="58"/>
      <c r="W309" s="46" t="s">
        <v>2695</v>
      </c>
    </row>
    <row r="310" spans="1:23" ht="13.5" customHeight="1" x14ac:dyDescent="0.25">
      <c r="A310" s="58"/>
      <c r="B310" s="58"/>
      <c r="C310" s="58"/>
      <c r="D310" s="58"/>
      <c r="E310" s="58"/>
      <c r="F310" s="58" t="s">
        <v>1355</v>
      </c>
      <c r="G310" s="58" t="s">
        <v>1870</v>
      </c>
      <c r="H310" s="58">
        <v>2212217</v>
      </c>
      <c r="I310" s="58" t="s">
        <v>2756</v>
      </c>
      <c r="J310" s="58"/>
      <c r="K310" s="58"/>
      <c r="L310" s="58" t="s">
        <v>783</v>
      </c>
      <c r="M310" s="58" t="s">
        <v>1871</v>
      </c>
      <c r="N310" s="58" t="s">
        <v>1872</v>
      </c>
      <c r="O310" s="58" t="s">
        <v>933</v>
      </c>
      <c r="P310" s="58" t="s">
        <v>934</v>
      </c>
      <c r="Q310" s="58"/>
      <c r="R310" s="58"/>
      <c r="S310" s="58" t="s">
        <v>113</v>
      </c>
      <c r="T310" s="58" t="s">
        <v>930</v>
      </c>
      <c r="U310" s="58"/>
      <c r="V310" s="58"/>
    </row>
    <row r="311" spans="1:23" ht="13.5" customHeight="1" x14ac:dyDescent="0.25">
      <c r="A311" s="58"/>
      <c r="B311" s="58"/>
      <c r="C311" s="58"/>
      <c r="D311" s="58"/>
      <c r="E311" s="58"/>
      <c r="F311" s="58" t="s">
        <v>1830</v>
      </c>
      <c r="G311" s="58" t="s">
        <v>1873</v>
      </c>
      <c r="H311" s="58">
        <v>2212218</v>
      </c>
      <c r="I311" s="58" t="s">
        <v>2758</v>
      </c>
      <c r="J311" s="58"/>
      <c r="K311" s="58"/>
      <c r="L311" s="58" t="s">
        <v>783</v>
      </c>
      <c r="M311" s="58" t="s">
        <v>1874</v>
      </c>
      <c r="N311" s="58" t="s">
        <v>1875</v>
      </c>
      <c r="O311" s="58" t="s">
        <v>933</v>
      </c>
      <c r="P311" s="58" t="s">
        <v>934</v>
      </c>
      <c r="Q311" s="58"/>
      <c r="R311" s="58"/>
      <c r="S311" s="58" t="s">
        <v>114</v>
      </c>
      <c r="T311" s="58" t="s">
        <v>932</v>
      </c>
      <c r="U311" s="58"/>
      <c r="V311" s="58"/>
    </row>
    <row r="312" spans="1:23" ht="13.5" customHeight="1" x14ac:dyDescent="0.25">
      <c r="A312" s="58"/>
      <c r="B312" s="58"/>
      <c r="C312" s="58"/>
      <c r="D312" s="58"/>
      <c r="E312" s="58"/>
      <c r="F312" s="58" t="s">
        <v>1833</v>
      </c>
      <c r="G312" s="58" t="s">
        <v>1876</v>
      </c>
      <c r="H312" s="58">
        <v>2212219</v>
      </c>
      <c r="I312" s="58" t="s">
        <v>2758</v>
      </c>
      <c r="J312" s="58"/>
      <c r="K312" s="58"/>
      <c r="L312" s="58" t="s">
        <v>783</v>
      </c>
      <c r="M312" s="58" t="s">
        <v>1877</v>
      </c>
      <c r="N312" s="58" t="s">
        <v>1875</v>
      </c>
      <c r="O312" s="58" t="s">
        <v>933</v>
      </c>
      <c r="P312" s="58" t="s">
        <v>934</v>
      </c>
      <c r="Q312" s="58"/>
      <c r="R312" s="58"/>
      <c r="S312" s="58" t="s">
        <v>114</v>
      </c>
      <c r="T312" s="58" t="s">
        <v>932</v>
      </c>
      <c r="U312" s="58"/>
      <c r="V312" s="58"/>
    </row>
    <row r="313" spans="1:23" ht="13.5" customHeight="1" x14ac:dyDescent="0.25">
      <c r="A313" s="58"/>
      <c r="B313" s="58"/>
      <c r="C313" s="58"/>
      <c r="D313" s="58"/>
      <c r="E313" s="58" t="s">
        <v>261</v>
      </c>
      <c r="F313" s="58"/>
      <c r="G313" s="58"/>
      <c r="H313" s="58"/>
      <c r="I313" s="58"/>
      <c r="J313" s="58"/>
      <c r="K313" s="58"/>
      <c r="L313" s="58"/>
      <c r="M313" s="58"/>
      <c r="N313" s="58"/>
      <c r="O313" s="58"/>
      <c r="P313" s="58"/>
      <c r="Q313" s="58"/>
      <c r="R313" s="58"/>
      <c r="S313" s="58"/>
      <c r="T313" s="58"/>
      <c r="U313" s="58"/>
      <c r="V313" s="58"/>
    </row>
    <row r="314" spans="1:23" ht="13.5" customHeight="1" x14ac:dyDescent="0.25">
      <c r="A314" s="58"/>
      <c r="B314" s="58"/>
      <c r="C314" s="58"/>
      <c r="D314" s="58"/>
      <c r="E314" s="58"/>
      <c r="F314" s="58" t="s">
        <v>2634</v>
      </c>
      <c r="G314" s="58" t="s">
        <v>1878</v>
      </c>
      <c r="H314" s="58">
        <v>2212301</v>
      </c>
      <c r="I314" s="58" t="s">
        <v>2754</v>
      </c>
      <c r="J314" s="58"/>
      <c r="K314" s="58"/>
      <c r="L314" s="58" t="s">
        <v>1769</v>
      </c>
      <c r="M314" s="83" t="s">
        <v>2635</v>
      </c>
      <c r="N314" s="58" t="s">
        <v>1365</v>
      </c>
      <c r="O314" s="58" t="s">
        <v>933</v>
      </c>
      <c r="P314" s="58" t="s">
        <v>934</v>
      </c>
      <c r="Q314" s="58"/>
      <c r="R314" s="58"/>
      <c r="S314" s="58" t="s">
        <v>113</v>
      </c>
      <c r="T314" s="58" t="s">
        <v>930</v>
      </c>
      <c r="U314" s="58"/>
      <c r="V314" s="58"/>
      <c r="W314" t="s">
        <v>2696</v>
      </c>
    </row>
    <row r="315" spans="1:23" ht="13.5" customHeight="1" x14ac:dyDescent="0.25">
      <c r="A315" s="58"/>
      <c r="B315" s="58"/>
      <c r="C315" s="58"/>
      <c r="D315" s="58"/>
      <c r="E315" s="58"/>
      <c r="F315" s="58" t="s">
        <v>1879</v>
      </c>
      <c r="G315" s="58" t="s">
        <v>1880</v>
      </c>
      <c r="H315" s="58">
        <v>2212302</v>
      </c>
      <c r="I315" s="58" t="s">
        <v>2754</v>
      </c>
      <c r="J315" s="58"/>
      <c r="K315" s="58"/>
      <c r="L315" s="58" t="s">
        <v>1771</v>
      </c>
      <c r="M315" s="58" t="s">
        <v>1881</v>
      </c>
      <c r="N315" s="58" t="s">
        <v>1366</v>
      </c>
      <c r="O315" s="58" t="s">
        <v>933</v>
      </c>
      <c r="P315" s="58" t="s">
        <v>934</v>
      </c>
      <c r="Q315" s="58"/>
      <c r="R315" s="58"/>
      <c r="S315" s="58" t="s">
        <v>113</v>
      </c>
      <c r="T315" s="58" t="s">
        <v>930</v>
      </c>
      <c r="U315" s="58"/>
      <c r="V315" s="58"/>
      <c r="W315" s="46" t="s">
        <v>2695</v>
      </c>
    </row>
    <row r="316" spans="1:23" ht="13.5" customHeight="1" x14ac:dyDescent="0.25">
      <c r="A316" s="58"/>
      <c r="B316" s="58"/>
      <c r="C316" s="58"/>
      <c r="D316" s="58"/>
      <c r="E316" s="58"/>
      <c r="F316" s="58" t="s">
        <v>1882</v>
      </c>
      <c r="G316" s="58" t="s">
        <v>1883</v>
      </c>
      <c r="H316" s="58">
        <v>2212303</v>
      </c>
      <c r="I316" s="58" t="s">
        <v>2754</v>
      </c>
      <c r="J316" s="58"/>
      <c r="K316" s="58"/>
      <c r="L316" s="58" t="s">
        <v>1769</v>
      </c>
      <c r="M316" s="83" t="s">
        <v>2462</v>
      </c>
      <c r="N316" s="58" t="s">
        <v>1365</v>
      </c>
      <c r="O316" s="58" t="s">
        <v>933</v>
      </c>
      <c r="P316" s="58" t="s">
        <v>934</v>
      </c>
      <c r="Q316" s="58"/>
      <c r="R316" s="58"/>
      <c r="S316" s="58" t="s">
        <v>113</v>
      </c>
      <c r="T316" s="58" t="s">
        <v>930</v>
      </c>
      <c r="U316" s="58"/>
      <c r="V316" s="58"/>
      <c r="W316" s="46" t="s">
        <v>2696</v>
      </c>
    </row>
    <row r="317" spans="1:23" ht="13.5" customHeight="1" x14ac:dyDescent="0.25">
      <c r="A317" s="58"/>
      <c r="B317" s="58"/>
      <c r="C317" s="58"/>
      <c r="D317" s="58"/>
      <c r="E317" s="58"/>
      <c r="F317" s="58" t="s">
        <v>1884</v>
      </c>
      <c r="G317" s="58" t="s">
        <v>1885</v>
      </c>
      <c r="H317" s="58">
        <v>2212304</v>
      </c>
      <c r="I317" s="58" t="s">
        <v>2754</v>
      </c>
      <c r="J317" s="58"/>
      <c r="K317" s="58"/>
      <c r="L317" s="58" t="s">
        <v>1771</v>
      </c>
      <c r="M317" s="58" t="s">
        <v>1368</v>
      </c>
      <c r="N317" s="58" t="s">
        <v>1365</v>
      </c>
      <c r="O317" s="58" t="s">
        <v>933</v>
      </c>
      <c r="P317" s="58" t="s">
        <v>934</v>
      </c>
      <c r="Q317" s="58"/>
      <c r="R317" s="58"/>
      <c r="S317" s="58" t="s">
        <v>113</v>
      </c>
      <c r="T317" s="58" t="s">
        <v>930</v>
      </c>
      <c r="U317" s="58"/>
      <c r="V317" s="58"/>
      <c r="W317" s="46" t="s">
        <v>2695</v>
      </c>
    </row>
    <row r="318" spans="1:23" ht="13.5" customHeight="1" x14ac:dyDescent="0.25">
      <c r="A318" s="58"/>
      <c r="B318" s="58"/>
      <c r="C318" s="58"/>
      <c r="D318" s="58"/>
      <c r="E318" s="58"/>
      <c r="F318" s="58" t="s">
        <v>1886</v>
      </c>
      <c r="G318" s="58" t="s">
        <v>1887</v>
      </c>
      <c r="H318" s="58">
        <v>2212305</v>
      </c>
      <c r="I318" s="58" t="s">
        <v>2754</v>
      </c>
      <c r="J318" s="58"/>
      <c r="K318" s="58"/>
      <c r="L318" s="58" t="s">
        <v>1769</v>
      </c>
      <c r="M318" s="58" t="s">
        <v>1369</v>
      </c>
      <c r="N318" s="58" t="s">
        <v>1373</v>
      </c>
      <c r="O318" s="58" t="s">
        <v>933</v>
      </c>
      <c r="P318" s="58" t="s">
        <v>934</v>
      </c>
      <c r="Q318" s="58"/>
      <c r="R318" s="58"/>
      <c r="S318" s="58" t="s">
        <v>113</v>
      </c>
      <c r="T318" s="58" t="s">
        <v>930</v>
      </c>
      <c r="U318" s="58"/>
      <c r="V318" s="58"/>
      <c r="W318" s="46" t="s">
        <v>2696</v>
      </c>
    </row>
    <row r="319" spans="1:23" ht="13.5" customHeight="1" x14ac:dyDescent="0.25">
      <c r="A319" s="58"/>
      <c r="B319" s="58"/>
      <c r="C319" s="58"/>
      <c r="D319" s="58"/>
      <c r="E319" s="58"/>
      <c r="F319" s="58" t="s">
        <v>1888</v>
      </c>
      <c r="G319" s="58" t="s">
        <v>1889</v>
      </c>
      <c r="H319" s="58">
        <v>2212306</v>
      </c>
      <c r="I319" s="58" t="s">
        <v>2754</v>
      </c>
      <c r="J319" s="58"/>
      <c r="K319" s="58"/>
      <c r="L319" s="58" t="s">
        <v>1771</v>
      </c>
      <c r="M319" s="58" t="s">
        <v>1370</v>
      </c>
      <c r="N319" s="58" t="s">
        <v>1374</v>
      </c>
      <c r="O319" s="58" t="s">
        <v>933</v>
      </c>
      <c r="P319" s="58" t="s">
        <v>934</v>
      </c>
      <c r="Q319" s="58"/>
      <c r="R319" s="58"/>
      <c r="S319" s="58" t="s">
        <v>113</v>
      </c>
      <c r="T319" s="58" t="s">
        <v>930</v>
      </c>
      <c r="U319" s="58"/>
      <c r="V319" s="58"/>
      <c r="W319" s="46" t="s">
        <v>2695</v>
      </c>
    </row>
    <row r="320" spans="1:23" ht="13.5" customHeight="1" x14ac:dyDescent="0.25">
      <c r="A320" s="58"/>
      <c r="B320" s="58"/>
      <c r="C320" s="58"/>
      <c r="D320" s="58"/>
      <c r="E320" s="58"/>
      <c r="F320" s="58" t="s">
        <v>1890</v>
      </c>
      <c r="G320" s="58" t="s">
        <v>1891</v>
      </c>
      <c r="H320" s="58">
        <v>2212307</v>
      </c>
      <c r="I320" s="58" t="s">
        <v>2754</v>
      </c>
      <c r="J320" s="58"/>
      <c r="K320" s="58"/>
      <c r="L320" s="58" t="s">
        <v>1769</v>
      </c>
      <c r="M320" s="58" t="s">
        <v>1371</v>
      </c>
      <c r="N320" s="58" t="s">
        <v>1365</v>
      </c>
      <c r="O320" s="58" t="s">
        <v>933</v>
      </c>
      <c r="P320" s="58" t="s">
        <v>934</v>
      </c>
      <c r="Q320" s="58"/>
      <c r="R320" s="58"/>
      <c r="S320" s="58" t="s">
        <v>113</v>
      </c>
      <c r="T320" s="58" t="s">
        <v>930</v>
      </c>
      <c r="U320" s="58"/>
      <c r="V320" s="58"/>
      <c r="W320" s="46" t="s">
        <v>2696</v>
      </c>
    </row>
    <row r="321" spans="1:23" ht="13.5" customHeight="1" x14ac:dyDescent="0.25">
      <c r="A321" s="58"/>
      <c r="B321" s="58"/>
      <c r="C321" s="58"/>
      <c r="D321" s="58"/>
      <c r="E321" s="58"/>
      <c r="F321" s="58" t="s">
        <v>1892</v>
      </c>
      <c r="G321" s="58" t="s">
        <v>1893</v>
      </c>
      <c r="H321" s="58">
        <v>2212308</v>
      </c>
      <c r="I321" s="58" t="s">
        <v>2754</v>
      </c>
      <c r="J321" s="58"/>
      <c r="K321" s="58"/>
      <c r="L321" s="58" t="s">
        <v>1771</v>
      </c>
      <c r="M321" s="58" t="s">
        <v>1372</v>
      </c>
      <c r="N321" s="58" t="s">
        <v>1365</v>
      </c>
      <c r="O321" s="58" t="s">
        <v>933</v>
      </c>
      <c r="P321" s="58" t="s">
        <v>934</v>
      </c>
      <c r="Q321" s="58"/>
      <c r="R321" s="58"/>
      <c r="S321" s="58" t="s">
        <v>113</v>
      </c>
      <c r="T321" s="58" t="s">
        <v>930</v>
      </c>
      <c r="U321" s="58"/>
      <c r="V321" s="58"/>
      <c r="W321" s="46" t="s">
        <v>2695</v>
      </c>
    </row>
    <row r="322" spans="1:23" ht="13.5" customHeight="1" x14ac:dyDescent="0.25">
      <c r="A322" s="58"/>
      <c r="B322" s="58"/>
      <c r="C322" s="58"/>
      <c r="D322" s="58"/>
      <c r="E322" s="58"/>
      <c r="F322" s="58" t="s">
        <v>1786</v>
      </c>
      <c r="G322" s="58" t="s">
        <v>1894</v>
      </c>
      <c r="H322" s="58">
        <v>2212309</v>
      </c>
      <c r="I322" s="58" t="s">
        <v>2754</v>
      </c>
      <c r="J322" s="58"/>
      <c r="K322" s="58"/>
      <c r="L322" s="58" t="s">
        <v>1788</v>
      </c>
      <c r="M322" s="58" t="s">
        <v>1375</v>
      </c>
      <c r="N322" s="58" t="s">
        <v>1363</v>
      </c>
      <c r="O322" s="58" t="s">
        <v>933</v>
      </c>
      <c r="P322" s="58" t="s">
        <v>934</v>
      </c>
      <c r="Q322" s="58"/>
      <c r="R322" s="58"/>
      <c r="S322" s="58" t="s">
        <v>113</v>
      </c>
      <c r="T322" s="58" t="s">
        <v>930</v>
      </c>
      <c r="U322" s="58"/>
      <c r="V322" s="58"/>
      <c r="W322" s="46" t="s">
        <v>2696</v>
      </c>
    </row>
    <row r="323" spans="1:23" ht="13.5" customHeight="1" x14ac:dyDescent="0.25">
      <c r="A323" s="58"/>
      <c r="B323" s="58"/>
      <c r="C323" s="58"/>
      <c r="D323" s="58"/>
      <c r="E323" s="58"/>
      <c r="F323" s="58" t="s">
        <v>2180</v>
      </c>
      <c r="G323" s="58" t="s">
        <v>2338</v>
      </c>
      <c r="H323" s="58">
        <v>2212310</v>
      </c>
      <c r="I323" s="58" t="s">
        <v>2756</v>
      </c>
      <c r="J323" s="58"/>
      <c r="K323" s="58"/>
      <c r="L323" s="58" t="s">
        <v>1793</v>
      </c>
      <c r="M323" s="58" t="s">
        <v>1895</v>
      </c>
      <c r="N323" s="58" t="s">
        <v>1896</v>
      </c>
      <c r="O323" s="58" t="s">
        <v>933</v>
      </c>
      <c r="P323" s="58" t="s">
        <v>934</v>
      </c>
      <c r="Q323" s="58"/>
      <c r="R323" s="58"/>
      <c r="S323" s="58" t="s">
        <v>113</v>
      </c>
      <c r="T323" s="58" t="s">
        <v>930</v>
      </c>
      <c r="U323" s="58"/>
      <c r="V323" s="58"/>
      <c r="W323" s="46" t="s">
        <v>2696</v>
      </c>
    </row>
    <row r="324" spans="1:23" ht="13.5" customHeight="1" x14ac:dyDescent="0.25">
      <c r="A324" s="58"/>
      <c r="B324" s="58"/>
      <c r="C324" s="58"/>
      <c r="D324" s="58"/>
      <c r="E324" s="58"/>
      <c r="F324" s="58" t="s">
        <v>2181</v>
      </c>
      <c r="G324" s="58" t="s">
        <v>2339</v>
      </c>
      <c r="H324" s="58">
        <v>2212311</v>
      </c>
      <c r="I324" s="58" t="s">
        <v>2756</v>
      </c>
      <c r="J324" s="58"/>
      <c r="K324" s="58"/>
      <c r="L324" s="58" t="s">
        <v>1771</v>
      </c>
      <c r="M324" s="58" t="s">
        <v>1897</v>
      </c>
      <c r="N324" s="58" t="s">
        <v>1896</v>
      </c>
      <c r="O324" s="58" t="s">
        <v>933</v>
      </c>
      <c r="P324" s="58" t="s">
        <v>934</v>
      </c>
      <c r="Q324" s="58"/>
      <c r="R324" s="58"/>
      <c r="S324" s="58" t="s">
        <v>113</v>
      </c>
      <c r="T324" s="58" t="s">
        <v>930</v>
      </c>
      <c r="U324" s="58"/>
      <c r="V324" s="58"/>
      <c r="W324" s="46" t="s">
        <v>2695</v>
      </c>
    </row>
    <row r="325" spans="1:23" s="46" customFormat="1" ht="13.5" customHeight="1" x14ac:dyDescent="0.25">
      <c r="A325" s="58"/>
      <c r="B325" s="58"/>
      <c r="C325" s="58"/>
      <c r="D325" s="58"/>
      <c r="E325" s="58"/>
      <c r="F325" s="58" t="s">
        <v>2182</v>
      </c>
      <c r="G325" s="58" t="s">
        <v>2340</v>
      </c>
      <c r="H325" s="58">
        <v>2212312</v>
      </c>
      <c r="I325" s="58" t="s">
        <v>2756</v>
      </c>
      <c r="J325" s="58"/>
      <c r="K325" s="58"/>
      <c r="L325" s="58" t="s">
        <v>1793</v>
      </c>
      <c r="M325" s="58" t="s">
        <v>1895</v>
      </c>
      <c r="N325" s="58" t="s">
        <v>1896</v>
      </c>
      <c r="O325" s="58" t="s">
        <v>933</v>
      </c>
      <c r="P325" s="58" t="s">
        <v>934</v>
      </c>
      <c r="Q325" s="58"/>
      <c r="R325" s="58"/>
      <c r="S325" s="58" t="s">
        <v>113</v>
      </c>
      <c r="T325" s="58" t="s">
        <v>930</v>
      </c>
      <c r="U325" s="58"/>
      <c r="V325" s="58"/>
      <c r="W325" s="46" t="s">
        <v>2672</v>
      </c>
    </row>
    <row r="326" spans="1:23" s="46" customFormat="1" ht="13.5" customHeight="1" x14ac:dyDescent="0.25">
      <c r="A326" s="58"/>
      <c r="B326" s="58"/>
      <c r="C326" s="58"/>
      <c r="D326" s="58"/>
      <c r="E326" s="58"/>
      <c r="F326" s="58" t="s">
        <v>2183</v>
      </c>
      <c r="G326" s="58" t="s">
        <v>2341</v>
      </c>
      <c r="H326" s="58">
        <v>2212313</v>
      </c>
      <c r="I326" s="58" t="s">
        <v>2756</v>
      </c>
      <c r="J326" s="58"/>
      <c r="K326" s="58"/>
      <c r="L326" s="58" t="s">
        <v>1771</v>
      </c>
      <c r="M326" s="58" t="s">
        <v>1897</v>
      </c>
      <c r="N326" s="58" t="s">
        <v>1896</v>
      </c>
      <c r="O326" s="58" t="s">
        <v>933</v>
      </c>
      <c r="P326" s="58" t="s">
        <v>934</v>
      </c>
      <c r="Q326" s="58"/>
      <c r="R326" s="58"/>
      <c r="S326" s="58" t="s">
        <v>113</v>
      </c>
      <c r="T326" s="58" t="s">
        <v>930</v>
      </c>
      <c r="U326" s="58"/>
      <c r="V326" s="58"/>
      <c r="W326" s="46" t="s">
        <v>2695</v>
      </c>
    </row>
    <row r="327" spans="1:23" ht="13.5" customHeight="1" x14ac:dyDescent="0.25">
      <c r="A327" s="58"/>
      <c r="B327" s="58"/>
      <c r="C327" s="58"/>
      <c r="D327" s="58"/>
      <c r="E327" s="58"/>
      <c r="F327" s="58" t="s">
        <v>1383</v>
      </c>
      <c r="G327" s="58" t="s">
        <v>1898</v>
      </c>
      <c r="H327" s="58">
        <v>2212314</v>
      </c>
      <c r="I327" s="58" t="s">
        <v>2756</v>
      </c>
      <c r="J327" s="58"/>
      <c r="K327" s="58"/>
      <c r="L327" s="58" t="s">
        <v>783</v>
      </c>
      <c r="M327" s="58" t="s">
        <v>1899</v>
      </c>
      <c r="N327" s="58" t="s">
        <v>1900</v>
      </c>
      <c r="O327" s="58" t="s">
        <v>933</v>
      </c>
      <c r="P327" s="58" t="s">
        <v>934</v>
      </c>
      <c r="Q327" s="58"/>
      <c r="R327" s="58"/>
      <c r="S327" s="58" t="s">
        <v>113</v>
      </c>
      <c r="T327" s="58" t="s">
        <v>930</v>
      </c>
      <c r="U327" s="58"/>
      <c r="V327" s="58"/>
      <c r="W327" s="46" t="s">
        <v>2696</v>
      </c>
    </row>
    <row r="328" spans="1:23" ht="13.5" customHeight="1" x14ac:dyDescent="0.25">
      <c r="A328" s="58"/>
      <c r="B328" s="58"/>
      <c r="C328" s="58"/>
      <c r="D328" s="58"/>
      <c r="E328" s="58"/>
      <c r="F328" s="58" t="s">
        <v>1803</v>
      </c>
      <c r="G328" s="58" t="s">
        <v>1901</v>
      </c>
      <c r="H328" s="58">
        <v>2212315</v>
      </c>
      <c r="I328" s="58" t="s">
        <v>2756</v>
      </c>
      <c r="J328" s="58"/>
      <c r="K328" s="58"/>
      <c r="L328" s="58" t="s">
        <v>1805</v>
      </c>
      <c r="M328" s="58" t="s">
        <v>1902</v>
      </c>
      <c r="N328" s="58" t="s">
        <v>1903</v>
      </c>
      <c r="O328" s="58" t="s">
        <v>933</v>
      </c>
      <c r="P328" s="58" t="s">
        <v>934</v>
      </c>
      <c r="Q328" s="58"/>
      <c r="R328" s="58"/>
      <c r="S328" s="58" t="s">
        <v>113</v>
      </c>
      <c r="T328" s="58" t="s">
        <v>930</v>
      </c>
      <c r="U328" s="58"/>
      <c r="V328" s="58"/>
      <c r="W328" s="46" t="s">
        <v>2696</v>
      </c>
    </row>
    <row r="329" spans="1:23" ht="13.5" customHeight="1" x14ac:dyDescent="0.25">
      <c r="A329" s="58"/>
      <c r="B329" s="58"/>
      <c r="C329" s="58"/>
      <c r="D329" s="58"/>
      <c r="E329" s="58"/>
      <c r="F329" s="58" t="s">
        <v>1807</v>
      </c>
      <c r="G329" s="58" t="s">
        <v>1904</v>
      </c>
      <c r="H329" s="58">
        <v>2212316</v>
      </c>
      <c r="I329" s="58" t="s">
        <v>2756</v>
      </c>
      <c r="J329" s="58"/>
      <c r="K329" s="58"/>
      <c r="L329" s="58" t="s">
        <v>1805</v>
      </c>
      <c r="M329" s="58" t="s">
        <v>1905</v>
      </c>
      <c r="N329" s="58" t="s">
        <v>1903</v>
      </c>
      <c r="O329" s="58" t="s">
        <v>933</v>
      </c>
      <c r="P329" s="58" t="s">
        <v>934</v>
      </c>
      <c r="Q329" s="58"/>
      <c r="R329" s="58"/>
      <c r="S329" s="58" t="s">
        <v>113</v>
      </c>
      <c r="T329" s="58" t="s">
        <v>930</v>
      </c>
      <c r="U329" s="58"/>
      <c r="V329" s="58"/>
      <c r="W329" s="46" t="s">
        <v>2696</v>
      </c>
    </row>
    <row r="330" spans="1:23" ht="13.5" customHeight="1" x14ac:dyDescent="0.25">
      <c r="A330" s="58"/>
      <c r="B330" s="58"/>
      <c r="C330" s="58"/>
      <c r="D330" s="58"/>
      <c r="E330" s="58"/>
      <c r="F330" s="58" t="s">
        <v>1906</v>
      </c>
      <c r="G330" s="58" t="s">
        <v>1907</v>
      </c>
      <c r="H330" s="58">
        <v>2212317</v>
      </c>
      <c r="I330" s="58" t="s">
        <v>2754</v>
      </c>
      <c r="J330" s="58"/>
      <c r="K330" s="58"/>
      <c r="L330" s="58" t="s">
        <v>783</v>
      </c>
      <c r="M330" s="58" t="s">
        <v>1908</v>
      </c>
      <c r="N330" s="58" t="s">
        <v>1909</v>
      </c>
      <c r="O330" s="58" t="s">
        <v>933</v>
      </c>
      <c r="P330" s="58" t="s">
        <v>934</v>
      </c>
      <c r="Q330" s="58"/>
      <c r="R330" s="58"/>
      <c r="S330" s="58" t="s">
        <v>113</v>
      </c>
      <c r="T330" s="58" t="s">
        <v>930</v>
      </c>
      <c r="U330" s="58"/>
      <c r="V330" s="58"/>
      <c r="W330" s="46" t="s">
        <v>2696</v>
      </c>
    </row>
    <row r="331" spans="1:23" ht="13.5" customHeight="1" x14ac:dyDescent="0.25">
      <c r="A331" s="58"/>
      <c r="B331" s="58"/>
      <c r="C331" s="58"/>
      <c r="D331" s="58"/>
      <c r="E331" s="58"/>
      <c r="F331" s="58" t="s">
        <v>1910</v>
      </c>
      <c r="G331" s="58" t="s">
        <v>1911</v>
      </c>
      <c r="H331" s="58">
        <v>2212318</v>
      </c>
      <c r="I331" s="58" t="s">
        <v>2756</v>
      </c>
      <c r="J331" s="58"/>
      <c r="K331" s="58"/>
      <c r="L331" s="58" t="s">
        <v>783</v>
      </c>
      <c r="M331" s="58" t="s">
        <v>1912</v>
      </c>
      <c r="N331" s="58" t="s">
        <v>1909</v>
      </c>
      <c r="O331" s="58" t="s">
        <v>933</v>
      </c>
      <c r="P331" s="58" t="s">
        <v>934</v>
      </c>
      <c r="Q331" s="58"/>
      <c r="R331" s="58"/>
      <c r="S331" s="58" t="s">
        <v>113</v>
      </c>
      <c r="T331" s="58" t="s">
        <v>930</v>
      </c>
      <c r="U331" s="58"/>
      <c r="V331" s="58"/>
      <c r="W331" s="46" t="s">
        <v>2696</v>
      </c>
    </row>
    <row r="332" spans="1:23" ht="13.5" customHeight="1" x14ac:dyDescent="0.25">
      <c r="A332" s="58"/>
      <c r="B332" s="58"/>
      <c r="C332" s="58"/>
      <c r="D332" s="58"/>
      <c r="E332" s="58"/>
      <c r="F332" s="58" t="s">
        <v>1913</v>
      </c>
      <c r="G332" s="58" t="s">
        <v>1914</v>
      </c>
      <c r="H332" s="58">
        <v>2212319</v>
      </c>
      <c r="I332" s="58" t="s">
        <v>2756</v>
      </c>
      <c r="J332" s="58"/>
      <c r="K332" s="58"/>
      <c r="L332" s="58" t="s">
        <v>783</v>
      </c>
      <c r="M332" s="58" t="s">
        <v>1915</v>
      </c>
      <c r="N332" s="58" t="s">
        <v>1909</v>
      </c>
      <c r="O332" s="58" t="s">
        <v>933</v>
      </c>
      <c r="P332" s="58" t="s">
        <v>934</v>
      </c>
      <c r="Q332" s="58"/>
      <c r="R332" s="58"/>
      <c r="S332" s="58" t="s">
        <v>113</v>
      </c>
      <c r="T332" s="58" t="s">
        <v>930</v>
      </c>
      <c r="U332" s="58"/>
      <c r="V332" s="58"/>
      <c r="W332" s="46" t="s">
        <v>2696</v>
      </c>
    </row>
    <row r="333" spans="1:23" ht="13.5" customHeight="1" x14ac:dyDescent="0.25">
      <c r="A333" s="58"/>
      <c r="B333" s="58"/>
      <c r="C333" s="58"/>
      <c r="D333" s="58"/>
      <c r="E333" s="58"/>
      <c r="F333" s="58" t="s">
        <v>1916</v>
      </c>
      <c r="G333" s="58" t="s">
        <v>1917</v>
      </c>
      <c r="H333" s="58">
        <v>2212320</v>
      </c>
      <c r="I333" s="58" t="s">
        <v>2756</v>
      </c>
      <c r="J333" s="58"/>
      <c r="K333" s="58"/>
      <c r="L333" s="58" t="s">
        <v>783</v>
      </c>
      <c r="M333" s="83" t="s">
        <v>2059</v>
      </c>
      <c r="N333" s="83" t="s">
        <v>2060</v>
      </c>
      <c r="O333" s="58" t="s">
        <v>933</v>
      </c>
      <c r="P333" s="58" t="s">
        <v>934</v>
      </c>
      <c r="Q333" s="58"/>
      <c r="R333" s="58"/>
      <c r="S333" s="58" t="s">
        <v>113</v>
      </c>
      <c r="T333" s="58" t="s">
        <v>930</v>
      </c>
      <c r="U333" s="58"/>
      <c r="V333" s="58"/>
      <c r="W333" s="46" t="s">
        <v>2696</v>
      </c>
    </row>
    <row r="334" spans="1:23" ht="13.5" customHeight="1" x14ac:dyDescent="0.25">
      <c r="A334" s="58"/>
      <c r="B334" s="58"/>
      <c r="C334" s="58"/>
      <c r="D334" s="58"/>
      <c r="E334" s="58"/>
      <c r="F334" s="58" t="s">
        <v>1919</v>
      </c>
      <c r="G334" s="58" t="s">
        <v>1920</v>
      </c>
      <c r="H334" s="58">
        <v>2212321</v>
      </c>
      <c r="I334" s="58" t="s">
        <v>2756</v>
      </c>
      <c r="J334" s="58"/>
      <c r="K334" s="58"/>
      <c r="L334" s="58" t="s">
        <v>783</v>
      </c>
      <c r="M334" s="58" t="s">
        <v>1921</v>
      </c>
      <c r="N334" s="58" t="s">
        <v>1909</v>
      </c>
      <c r="O334" s="58" t="s">
        <v>933</v>
      </c>
      <c r="P334" s="58" t="s">
        <v>934</v>
      </c>
      <c r="Q334" s="58"/>
      <c r="R334" s="58"/>
      <c r="S334" s="58" t="s">
        <v>113</v>
      </c>
      <c r="T334" s="58" t="s">
        <v>930</v>
      </c>
      <c r="U334" s="58"/>
      <c r="V334" s="58"/>
      <c r="W334" s="46" t="s">
        <v>2696</v>
      </c>
    </row>
    <row r="335" spans="1:23" ht="13.5" customHeight="1" x14ac:dyDescent="0.25">
      <c r="A335" s="58"/>
      <c r="B335" s="58"/>
      <c r="C335" s="58"/>
      <c r="D335" s="58"/>
      <c r="E335" s="58"/>
      <c r="F335" s="58" t="s">
        <v>1922</v>
      </c>
      <c r="G335" s="58" t="s">
        <v>1923</v>
      </c>
      <c r="H335" s="58">
        <v>2212322</v>
      </c>
      <c r="I335" s="58" t="s">
        <v>2756</v>
      </c>
      <c r="J335" s="58"/>
      <c r="K335" s="58"/>
      <c r="L335" s="58" t="s">
        <v>783</v>
      </c>
      <c r="M335" s="58" t="s">
        <v>1918</v>
      </c>
      <c r="N335" s="58" t="s">
        <v>1924</v>
      </c>
      <c r="O335" s="58" t="s">
        <v>933</v>
      </c>
      <c r="P335" s="58" t="s">
        <v>934</v>
      </c>
      <c r="Q335" s="58"/>
      <c r="R335" s="58"/>
      <c r="S335" s="58" t="s">
        <v>113</v>
      </c>
      <c r="T335" s="58" t="s">
        <v>930</v>
      </c>
      <c r="U335" s="58"/>
      <c r="V335" s="58"/>
      <c r="W335" s="46" t="s">
        <v>2696</v>
      </c>
    </row>
    <row r="336" spans="1:23" ht="13.5" customHeight="1" x14ac:dyDescent="0.25">
      <c r="A336" s="58"/>
      <c r="B336" s="58"/>
      <c r="C336" s="58"/>
      <c r="D336" s="58"/>
      <c r="E336" s="58"/>
      <c r="F336" s="58" t="s">
        <v>1925</v>
      </c>
      <c r="G336" s="58" t="s">
        <v>1926</v>
      </c>
      <c r="H336" s="58">
        <v>2212323</v>
      </c>
      <c r="I336" s="58" t="s">
        <v>2756</v>
      </c>
      <c r="J336" s="58"/>
      <c r="K336" s="58"/>
      <c r="L336" s="58" t="s">
        <v>783</v>
      </c>
      <c r="M336" s="58" t="s">
        <v>1921</v>
      </c>
      <c r="N336" s="58" t="s">
        <v>1924</v>
      </c>
      <c r="O336" s="58" t="s">
        <v>933</v>
      </c>
      <c r="P336" s="58" t="s">
        <v>934</v>
      </c>
      <c r="Q336" s="58"/>
      <c r="R336" s="58"/>
      <c r="S336" s="58" t="s">
        <v>113</v>
      </c>
      <c r="T336" s="58" t="s">
        <v>930</v>
      </c>
      <c r="U336" s="58"/>
      <c r="V336" s="58"/>
      <c r="W336" s="46" t="s">
        <v>2696</v>
      </c>
    </row>
    <row r="337" spans="1:23" s="46" customFormat="1" ht="13.5" customHeight="1" x14ac:dyDescent="0.25">
      <c r="A337" s="58"/>
      <c r="B337" s="58"/>
      <c r="C337" s="58"/>
      <c r="D337" s="58"/>
      <c r="E337" s="58"/>
      <c r="F337" s="58" t="s">
        <v>2403</v>
      </c>
      <c r="G337" s="58" t="s">
        <v>2404</v>
      </c>
      <c r="H337" s="58">
        <v>2212324</v>
      </c>
      <c r="I337" s="58" t="s">
        <v>2756</v>
      </c>
      <c r="J337" s="58"/>
      <c r="K337" s="58"/>
      <c r="L337" s="58" t="s">
        <v>783</v>
      </c>
      <c r="M337" s="83" t="s">
        <v>2405</v>
      </c>
      <c r="N337" s="58" t="s">
        <v>1924</v>
      </c>
      <c r="O337" s="58" t="s">
        <v>933</v>
      </c>
      <c r="P337" s="58" t="s">
        <v>934</v>
      </c>
      <c r="Q337" s="58"/>
      <c r="R337" s="58"/>
      <c r="S337" s="58" t="s">
        <v>113</v>
      </c>
      <c r="T337" s="58" t="s">
        <v>930</v>
      </c>
      <c r="U337" s="58"/>
      <c r="V337" s="58"/>
      <c r="W337" s="46" t="s">
        <v>2696</v>
      </c>
    </row>
    <row r="338" spans="1:23" s="46" customFormat="1" ht="13.5" customHeight="1" x14ac:dyDescent="0.25">
      <c r="A338" s="58"/>
      <c r="B338" s="58"/>
      <c r="C338" s="58"/>
      <c r="D338" s="58"/>
      <c r="E338" s="58"/>
      <c r="F338" s="58" t="s">
        <v>2416</v>
      </c>
      <c r="G338" s="58" t="s">
        <v>2415</v>
      </c>
      <c r="H338" s="58">
        <v>2212325</v>
      </c>
      <c r="I338" s="58" t="s">
        <v>2756</v>
      </c>
      <c r="J338" s="58"/>
      <c r="K338" s="58"/>
      <c r="L338" s="58" t="s">
        <v>783</v>
      </c>
      <c r="M338" s="83" t="s">
        <v>2417</v>
      </c>
      <c r="N338" s="58" t="s">
        <v>1924</v>
      </c>
      <c r="O338" s="58" t="s">
        <v>933</v>
      </c>
      <c r="P338" s="58" t="s">
        <v>934</v>
      </c>
      <c r="Q338" s="58"/>
      <c r="R338" s="58"/>
      <c r="S338" s="58" t="s">
        <v>113</v>
      </c>
      <c r="T338" s="58" t="s">
        <v>930</v>
      </c>
      <c r="U338" s="58"/>
      <c r="V338" s="58"/>
      <c r="W338" s="46" t="s">
        <v>2696</v>
      </c>
    </row>
    <row r="339" spans="1:23" ht="13.5" customHeight="1" x14ac:dyDescent="0.25">
      <c r="A339" s="58"/>
      <c r="B339" s="58"/>
      <c r="C339" s="58"/>
      <c r="D339" s="58"/>
      <c r="E339" s="58"/>
      <c r="F339" s="58" t="s">
        <v>1927</v>
      </c>
      <c r="G339" s="58" t="s">
        <v>1928</v>
      </c>
      <c r="H339" s="58">
        <v>2212326</v>
      </c>
      <c r="I339" s="58" t="s">
        <v>2758</v>
      </c>
      <c r="J339" s="58"/>
      <c r="K339" s="58"/>
      <c r="L339" s="58" t="s">
        <v>783</v>
      </c>
      <c r="M339" s="58" t="s">
        <v>1929</v>
      </c>
      <c r="N339" s="58" t="s">
        <v>1851</v>
      </c>
      <c r="O339" s="58" t="s">
        <v>933</v>
      </c>
      <c r="P339" s="58" t="s">
        <v>934</v>
      </c>
      <c r="Q339" s="58"/>
      <c r="R339" s="58"/>
      <c r="S339" s="58" t="s">
        <v>115</v>
      </c>
      <c r="T339" s="58" t="s">
        <v>932</v>
      </c>
      <c r="U339" s="58"/>
      <c r="V339" s="58"/>
    </row>
    <row r="340" spans="1:23" ht="13.5" customHeight="1" x14ac:dyDescent="0.25">
      <c r="A340" s="58"/>
      <c r="B340" s="58"/>
      <c r="C340" s="58"/>
      <c r="D340" s="58" t="s">
        <v>1930</v>
      </c>
      <c r="E340" s="58"/>
      <c r="F340" s="58"/>
      <c r="G340" s="58"/>
      <c r="H340" s="58"/>
      <c r="I340" s="58"/>
      <c r="J340" s="58"/>
      <c r="K340" s="58"/>
      <c r="L340" s="58"/>
      <c r="M340" s="58"/>
      <c r="N340" s="58"/>
      <c r="O340" s="58"/>
      <c r="P340" s="58"/>
      <c r="Q340" s="58"/>
      <c r="R340" s="58"/>
      <c r="S340" s="58"/>
      <c r="T340" s="58"/>
      <c r="U340" s="58"/>
      <c r="V340" s="58"/>
    </row>
    <row r="341" spans="1:23" ht="13.5" customHeight="1" x14ac:dyDescent="0.25">
      <c r="A341" s="58"/>
      <c r="B341" s="58"/>
      <c r="C341" s="58"/>
      <c r="D341" s="58"/>
      <c r="E341" s="58" t="s">
        <v>271</v>
      </c>
      <c r="F341" s="58"/>
      <c r="G341" s="58"/>
      <c r="H341" s="58"/>
      <c r="I341" s="58"/>
      <c r="J341" s="58"/>
      <c r="K341" s="58"/>
      <c r="L341" s="58"/>
      <c r="M341" s="58"/>
      <c r="N341" s="58"/>
      <c r="O341" s="58"/>
      <c r="P341" s="58"/>
      <c r="Q341" s="58"/>
      <c r="R341" s="58"/>
      <c r="S341" s="58"/>
      <c r="T341" s="58"/>
      <c r="U341" s="58"/>
      <c r="V341" s="58"/>
    </row>
    <row r="342" spans="1:23" ht="13.5" customHeight="1" x14ac:dyDescent="0.25">
      <c r="A342" s="58"/>
      <c r="B342" s="58"/>
      <c r="C342" s="58"/>
      <c r="D342" s="58"/>
      <c r="E342" s="58"/>
      <c r="F342" s="58" t="s">
        <v>2342</v>
      </c>
      <c r="G342" s="58" t="s">
        <v>2343</v>
      </c>
      <c r="H342" s="58">
        <v>2213101</v>
      </c>
      <c r="I342" s="58" t="s">
        <v>2754</v>
      </c>
      <c r="J342" s="58"/>
      <c r="K342" s="58"/>
      <c r="L342" s="58" t="s">
        <v>1769</v>
      </c>
      <c r="M342" s="58" t="s">
        <v>1442</v>
      </c>
      <c r="N342" s="58" t="s">
        <v>1467</v>
      </c>
      <c r="O342" s="58" t="s">
        <v>933</v>
      </c>
      <c r="P342" s="58" t="s">
        <v>934</v>
      </c>
      <c r="Q342" s="58"/>
      <c r="R342" s="58"/>
      <c r="S342" s="58" t="s">
        <v>113</v>
      </c>
      <c r="T342" s="58" t="s">
        <v>2701</v>
      </c>
      <c r="U342" s="58"/>
      <c r="V342" s="58"/>
    </row>
    <row r="343" spans="1:23" ht="13.5" customHeight="1" x14ac:dyDescent="0.25">
      <c r="A343" s="58"/>
      <c r="B343" s="58"/>
      <c r="C343" s="58"/>
      <c r="D343" s="58"/>
      <c r="E343" s="58"/>
      <c r="F343" s="58" t="s">
        <v>2344</v>
      </c>
      <c r="G343" s="58" t="s">
        <v>2345</v>
      </c>
      <c r="H343" s="58">
        <v>2213102</v>
      </c>
      <c r="I343" s="58" t="s">
        <v>2754</v>
      </c>
      <c r="J343" s="58"/>
      <c r="K343" s="58"/>
      <c r="L343" s="58" t="s">
        <v>1771</v>
      </c>
      <c r="M343" s="58" t="s">
        <v>1443</v>
      </c>
      <c r="N343" s="58" t="s">
        <v>1468</v>
      </c>
      <c r="O343" s="58" t="s">
        <v>933</v>
      </c>
      <c r="P343" s="58" t="s">
        <v>934</v>
      </c>
      <c r="Q343" s="58"/>
      <c r="R343" s="58"/>
      <c r="S343" s="58" t="s">
        <v>113</v>
      </c>
      <c r="T343" s="58" t="s">
        <v>2701</v>
      </c>
      <c r="U343" s="58"/>
      <c r="V343" s="58"/>
      <c r="W343" s="46"/>
    </row>
    <row r="344" spans="1:23" ht="13.5" customHeight="1" x14ac:dyDescent="0.25">
      <c r="A344" s="58"/>
      <c r="B344" s="58"/>
      <c r="C344" s="58"/>
      <c r="D344" s="58"/>
      <c r="E344" s="58"/>
      <c r="F344" s="58" t="s">
        <v>2346</v>
      </c>
      <c r="G344" s="58" t="s">
        <v>2347</v>
      </c>
      <c r="H344" s="58">
        <v>2213103</v>
      </c>
      <c r="I344" s="58" t="s">
        <v>2754</v>
      </c>
      <c r="J344" s="58"/>
      <c r="K344" s="58"/>
      <c r="L344" s="58" t="s">
        <v>1769</v>
      </c>
      <c r="M344" s="58" t="s">
        <v>1444</v>
      </c>
      <c r="N344" s="58" t="s">
        <v>1467</v>
      </c>
      <c r="O344" s="58" t="s">
        <v>933</v>
      </c>
      <c r="P344" s="58" t="s">
        <v>934</v>
      </c>
      <c r="Q344" s="58"/>
      <c r="R344" s="58"/>
      <c r="S344" s="58" t="s">
        <v>113</v>
      </c>
      <c r="T344" s="58" t="s">
        <v>2701</v>
      </c>
      <c r="U344" s="58"/>
      <c r="V344" s="58"/>
    </row>
    <row r="345" spans="1:23" ht="13.5" customHeight="1" x14ac:dyDescent="0.25">
      <c r="A345" s="58"/>
      <c r="B345" s="58"/>
      <c r="C345" s="58"/>
      <c r="D345" s="58"/>
      <c r="E345" s="58"/>
      <c r="F345" s="58" t="s">
        <v>2348</v>
      </c>
      <c r="G345" s="58" t="s">
        <v>2349</v>
      </c>
      <c r="H345" s="58">
        <v>2213104</v>
      </c>
      <c r="I345" s="58" t="s">
        <v>2754</v>
      </c>
      <c r="J345" s="58"/>
      <c r="K345" s="58"/>
      <c r="L345" s="58" t="s">
        <v>1771</v>
      </c>
      <c r="M345" s="58" t="s">
        <v>1445</v>
      </c>
      <c r="N345" s="58" t="s">
        <v>1467</v>
      </c>
      <c r="O345" s="58" t="s">
        <v>933</v>
      </c>
      <c r="P345" s="58" t="s">
        <v>934</v>
      </c>
      <c r="Q345" s="58"/>
      <c r="R345" s="58"/>
      <c r="S345" s="58" t="s">
        <v>113</v>
      </c>
      <c r="T345" s="58" t="s">
        <v>2701</v>
      </c>
      <c r="U345" s="58"/>
      <c r="V345" s="58"/>
      <c r="W345" s="46"/>
    </row>
    <row r="346" spans="1:23" s="46" customFormat="1" ht="13.5" customHeight="1" x14ac:dyDescent="0.25">
      <c r="A346" s="58"/>
      <c r="B346" s="58"/>
      <c r="C346" s="58"/>
      <c r="D346" s="58"/>
      <c r="E346" s="58"/>
      <c r="F346" s="58" t="s">
        <v>2350</v>
      </c>
      <c r="G346" s="58" t="s">
        <v>2351</v>
      </c>
      <c r="H346" s="58">
        <v>2213105</v>
      </c>
      <c r="I346" s="58" t="s">
        <v>2754</v>
      </c>
      <c r="J346" s="58"/>
      <c r="K346" s="58"/>
      <c r="L346" s="58" t="s">
        <v>1769</v>
      </c>
      <c r="M346" s="58" t="s">
        <v>1442</v>
      </c>
      <c r="N346" s="58" t="s">
        <v>1467</v>
      </c>
      <c r="O346" s="58" t="s">
        <v>933</v>
      </c>
      <c r="P346" s="58" t="s">
        <v>934</v>
      </c>
      <c r="Q346" s="58"/>
      <c r="R346" s="58"/>
      <c r="S346" s="58" t="s">
        <v>113</v>
      </c>
      <c r="T346" s="58" t="s">
        <v>2701</v>
      </c>
      <c r="U346" s="58"/>
      <c r="V346" s="58"/>
    </row>
    <row r="347" spans="1:23" s="46" customFormat="1" ht="13.5" customHeight="1" x14ac:dyDescent="0.25">
      <c r="A347" s="58"/>
      <c r="B347" s="58"/>
      <c r="C347" s="58"/>
      <c r="D347" s="58"/>
      <c r="E347" s="58"/>
      <c r="F347" s="58" t="s">
        <v>2352</v>
      </c>
      <c r="G347" s="58" t="s">
        <v>2353</v>
      </c>
      <c r="H347" s="58">
        <v>2213106</v>
      </c>
      <c r="I347" s="58" t="s">
        <v>2754</v>
      </c>
      <c r="J347" s="58"/>
      <c r="K347" s="58"/>
      <c r="L347" s="58" t="s">
        <v>1769</v>
      </c>
      <c r="M347" s="58" t="s">
        <v>1444</v>
      </c>
      <c r="N347" s="58" t="s">
        <v>1467</v>
      </c>
      <c r="O347" s="58" t="s">
        <v>933</v>
      </c>
      <c r="P347" s="58" t="s">
        <v>934</v>
      </c>
      <c r="Q347" s="58"/>
      <c r="R347" s="58"/>
      <c r="S347" s="58" t="s">
        <v>113</v>
      </c>
      <c r="T347" s="58" t="s">
        <v>2701</v>
      </c>
      <c r="U347" s="58"/>
      <c r="V347" s="58"/>
    </row>
    <row r="348" spans="1:23" ht="13.5" customHeight="1" x14ac:dyDescent="0.25">
      <c r="A348" s="58"/>
      <c r="B348" s="58"/>
      <c r="C348" s="58"/>
      <c r="D348" s="58"/>
      <c r="E348" s="58"/>
      <c r="F348" s="58" t="s">
        <v>1931</v>
      </c>
      <c r="G348" s="58" t="s">
        <v>1932</v>
      </c>
      <c r="H348" s="58">
        <v>2213107</v>
      </c>
      <c r="I348" s="58" t="s">
        <v>2754</v>
      </c>
      <c r="J348" s="58"/>
      <c r="K348" s="58"/>
      <c r="L348" s="58" t="s">
        <v>1769</v>
      </c>
      <c r="M348" s="58" t="s">
        <v>1449</v>
      </c>
      <c r="N348" s="58" t="s">
        <v>1469</v>
      </c>
      <c r="O348" s="58" t="s">
        <v>933</v>
      </c>
      <c r="P348" s="58" t="s">
        <v>934</v>
      </c>
      <c r="Q348" s="58"/>
      <c r="R348" s="58"/>
      <c r="S348" s="58" t="s">
        <v>113</v>
      </c>
      <c r="T348" s="58" t="s">
        <v>2701</v>
      </c>
      <c r="U348" s="58"/>
      <c r="V348" s="58"/>
    </row>
    <row r="349" spans="1:23" ht="13.5" customHeight="1" x14ac:dyDescent="0.25">
      <c r="A349" s="58"/>
      <c r="B349" s="58"/>
      <c r="C349" s="58"/>
      <c r="D349" s="58"/>
      <c r="E349" s="58"/>
      <c r="F349" s="58" t="s">
        <v>1933</v>
      </c>
      <c r="G349" s="58" t="s">
        <v>1934</v>
      </c>
      <c r="H349" s="58">
        <v>2213108</v>
      </c>
      <c r="I349" s="58" t="s">
        <v>2754</v>
      </c>
      <c r="J349" s="58"/>
      <c r="K349" s="58"/>
      <c r="L349" s="58" t="s">
        <v>1771</v>
      </c>
      <c r="M349" s="58" t="s">
        <v>1450</v>
      </c>
      <c r="N349" s="58" t="s">
        <v>1470</v>
      </c>
      <c r="O349" s="58" t="s">
        <v>933</v>
      </c>
      <c r="P349" s="58" t="s">
        <v>934</v>
      </c>
      <c r="Q349" s="58"/>
      <c r="R349" s="58"/>
      <c r="S349" s="58" t="s">
        <v>113</v>
      </c>
      <c r="T349" s="58" t="s">
        <v>2701</v>
      </c>
      <c r="U349" s="58"/>
      <c r="V349" s="58"/>
      <c r="W349" s="46"/>
    </row>
    <row r="350" spans="1:23" ht="13.5" customHeight="1" x14ac:dyDescent="0.25">
      <c r="A350" s="58"/>
      <c r="B350" s="58"/>
      <c r="C350" s="58"/>
      <c r="D350" s="58"/>
      <c r="E350" s="58"/>
      <c r="F350" s="58" t="s">
        <v>1935</v>
      </c>
      <c r="G350" s="58" t="s">
        <v>1936</v>
      </c>
      <c r="H350" s="58">
        <v>2213109</v>
      </c>
      <c r="I350" s="58" t="s">
        <v>2754</v>
      </c>
      <c r="J350" s="58"/>
      <c r="K350" s="58"/>
      <c r="L350" s="58" t="s">
        <v>1769</v>
      </c>
      <c r="M350" s="58" t="s">
        <v>1451</v>
      </c>
      <c r="N350" s="58" t="s">
        <v>1467</v>
      </c>
      <c r="O350" s="58" t="s">
        <v>933</v>
      </c>
      <c r="P350" s="58" t="s">
        <v>934</v>
      </c>
      <c r="Q350" s="58"/>
      <c r="R350" s="58"/>
      <c r="S350" s="58" t="s">
        <v>113</v>
      </c>
      <c r="T350" s="58" t="s">
        <v>2701</v>
      </c>
      <c r="U350" s="58"/>
      <c r="V350" s="58"/>
    </row>
    <row r="351" spans="1:23" ht="13.5" customHeight="1" x14ac:dyDescent="0.25">
      <c r="A351" s="58"/>
      <c r="B351" s="58"/>
      <c r="C351" s="58"/>
      <c r="D351" s="58"/>
      <c r="E351" s="58"/>
      <c r="F351" s="58" t="s">
        <v>1937</v>
      </c>
      <c r="G351" s="58" t="s">
        <v>1938</v>
      </c>
      <c r="H351" s="58">
        <v>2213110</v>
      </c>
      <c r="I351" s="58" t="s">
        <v>2754</v>
      </c>
      <c r="J351" s="58"/>
      <c r="K351" s="58"/>
      <c r="L351" s="58" t="s">
        <v>1771</v>
      </c>
      <c r="M351" s="58" t="s">
        <v>1452</v>
      </c>
      <c r="N351" s="58" t="s">
        <v>1467</v>
      </c>
      <c r="O351" s="58" t="s">
        <v>933</v>
      </c>
      <c r="P351" s="58" t="s">
        <v>934</v>
      </c>
      <c r="Q351" s="58"/>
      <c r="R351" s="58"/>
      <c r="S351" s="58" t="s">
        <v>113</v>
      </c>
      <c r="T351" s="58" t="s">
        <v>2701</v>
      </c>
      <c r="U351" s="58"/>
      <c r="V351" s="58"/>
      <c r="W351" s="46"/>
    </row>
    <row r="352" spans="1:23" ht="13.5" customHeight="1" x14ac:dyDescent="0.25">
      <c r="A352" s="58"/>
      <c r="B352" s="58"/>
      <c r="C352" s="58"/>
      <c r="D352" s="58"/>
      <c r="E352" s="58"/>
      <c r="F352" s="58" t="s">
        <v>1786</v>
      </c>
      <c r="G352" s="58" t="s">
        <v>1939</v>
      </c>
      <c r="H352" s="58">
        <v>2213111</v>
      </c>
      <c r="I352" s="58" t="s">
        <v>2756</v>
      </c>
      <c r="J352" s="58"/>
      <c r="K352" s="58"/>
      <c r="L352" s="58" t="s">
        <v>1788</v>
      </c>
      <c r="M352" s="58" t="s">
        <v>1453</v>
      </c>
      <c r="N352" s="58" t="s">
        <v>1454</v>
      </c>
      <c r="O352" s="58" t="s">
        <v>933</v>
      </c>
      <c r="P352" s="58" t="s">
        <v>934</v>
      </c>
      <c r="Q352" s="58"/>
      <c r="R352" s="58"/>
      <c r="S352" s="58" t="s">
        <v>113</v>
      </c>
      <c r="T352" s="58" t="s">
        <v>2701</v>
      </c>
      <c r="U352" s="58"/>
      <c r="V352" s="58"/>
    </row>
    <row r="353" spans="1:23" ht="13.5" customHeight="1" x14ac:dyDescent="0.25">
      <c r="A353" s="58"/>
      <c r="B353" s="58"/>
      <c r="C353" s="58"/>
      <c r="D353" s="58"/>
      <c r="E353" s="58"/>
      <c r="F353" s="58" t="s">
        <v>1456</v>
      </c>
      <c r="G353" s="58" t="s">
        <v>1940</v>
      </c>
      <c r="H353" s="58">
        <v>2213112</v>
      </c>
      <c r="I353" s="58" t="s">
        <v>2756</v>
      </c>
      <c r="J353" s="58"/>
      <c r="K353" s="58"/>
      <c r="L353" s="58" t="s">
        <v>1793</v>
      </c>
      <c r="M353" s="58" t="s">
        <v>1458</v>
      </c>
      <c r="N353" s="58" t="s">
        <v>1896</v>
      </c>
      <c r="O353" s="58" t="s">
        <v>933</v>
      </c>
      <c r="P353" s="58" t="s">
        <v>934</v>
      </c>
      <c r="Q353" s="58"/>
      <c r="R353" s="58"/>
      <c r="S353" s="58" t="s">
        <v>113</v>
      </c>
      <c r="T353" s="58" t="s">
        <v>2701</v>
      </c>
      <c r="U353" s="58"/>
      <c r="V353" s="58"/>
    </row>
    <row r="354" spans="1:23" ht="13.5" customHeight="1" x14ac:dyDescent="0.25">
      <c r="A354" s="58"/>
      <c r="B354" s="58"/>
      <c r="C354" s="58"/>
      <c r="D354" s="58"/>
      <c r="E354" s="58"/>
      <c r="F354" s="58" t="s">
        <v>1457</v>
      </c>
      <c r="G354" s="58" t="s">
        <v>1941</v>
      </c>
      <c r="H354" s="58">
        <v>2213113</v>
      </c>
      <c r="I354" s="58" t="s">
        <v>2756</v>
      </c>
      <c r="J354" s="58"/>
      <c r="K354" s="58"/>
      <c r="L354" s="58" t="s">
        <v>1771</v>
      </c>
      <c r="M354" s="58" t="s">
        <v>1459</v>
      </c>
      <c r="N354" s="58" t="s">
        <v>1896</v>
      </c>
      <c r="O354" s="58" t="s">
        <v>933</v>
      </c>
      <c r="P354" s="58" t="s">
        <v>934</v>
      </c>
      <c r="Q354" s="58"/>
      <c r="R354" s="58"/>
      <c r="S354" s="58" t="s">
        <v>113</v>
      </c>
      <c r="T354" s="58" t="s">
        <v>2701</v>
      </c>
      <c r="U354" s="58"/>
      <c r="V354" s="58"/>
      <c r="W354" s="46"/>
    </row>
    <row r="355" spans="1:23" ht="13.5" customHeight="1" x14ac:dyDescent="0.25">
      <c r="A355" s="58"/>
      <c r="B355" s="58"/>
      <c r="C355" s="58"/>
      <c r="D355" s="58"/>
      <c r="E355" s="58"/>
      <c r="F355" s="58" t="s">
        <v>1461</v>
      </c>
      <c r="G355" s="58" t="s">
        <v>1942</v>
      </c>
      <c r="H355" s="58">
        <v>2213114</v>
      </c>
      <c r="I355" s="58" t="s">
        <v>2756</v>
      </c>
      <c r="J355" s="58"/>
      <c r="K355" s="58"/>
      <c r="L355" s="58" t="s">
        <v>783</v>
      </c>
      <c r="M355" s="58" t="s">
        <v>1462</v>
      </c>
      <c r="N355" s="58" t="s">
        <v>1900</v>
      </c>
      <c r="O355" s="58" t="s">
        <v>933</v>
      </c>
      <c r="P355" s="58" t="s">
        <v>934</v>
      </c>
      <c r="Q355" s="58"/>
      <c r="R355" s="58"/>
      <c r="S355" s="58" t="s">
        <v>113</v>
      </c>
      <c r="T355" s="58" t="s">
        <v>2701</v>
      </c>
      <c r="U355" s="58"/>
      <c r="V355" s="58"/>
    </row>
    <row r="356" spans="1:23" ht="13.5" customHeight="1" x14ac:dyDescent="0.25">
      <c r="A356" s="58"/>
      <c r="B356" s="58"/>
      <c r="C356" s="58"/>
      <c r="D356" s="58"/>
      <c r="E356" s="58"/>
      <c r="F356" s="58" t="s">
        <v>1803</v>
      </c>
      <c r="G356" s="58" t="s">
        <v>1943</v>
      </c>
      <c r="H356" s="58">
        <v>2213115</v>
      </c>
      <c r="I356" s="58" t="s">
        <v>2756</v>
      </c>
      <c r="J356" s="58"/>
      <c r="K356" s="58"/>
      <c r="L356" s="58" t="s">
        <v>1805</v>
      </c>
      <c r="M356" s="58" t="s">
        <v>1464</v>
      </c>
      <c r="N356" s="58" t="s">
        <v>1465</v>
      </c>
      <c r="O356" s="58" t="s">
        <v>933</v>
      </c>
      <c r="P356" s="58" t="s">
        <v>934</v>
      </c>
      <c r="Q356" s="58"/>
      <c r="R356" s="58"/>
      <c r="S356" s="58" t="s">
        <v>113</v>
      </c>
      <c r="T356" s="58" t="s">
        <v>2701</v>
      </c>
      <c r="U356" s="58"/>
      <c r="V356" s="58"/>
    </row>
    <row r="357" spans="1:23" ht="13.5" customHeight="1" x14ac:dyDescent="0.25">
      <c r="A357" s="58"/>
      <c r="B357" s="58"/>
      <c r="C357" s="58"/>
      <c r="D357" s="58"/>
      <c r="E357" s="58"/>
      <c r="F357" s="58" t="s">
        <v>1807</v>
      </c>
      <c r="G357" s="58" t="s">
        <v>1944</v>
      </c>
      <c r="H357" s="58">
        <v>2213116</v>
      </c>
      <c r="I357" s="58" t="s">
        <v>2756</v>
      </c>
      <c r="J357" s="58"/>
      <c r="K357" s="58"/>
      <c r="L357" s="58" t="s">
        <v>1805</v>
      </c>
      <c r="M357" s="58" t="s">
        <v>1466</v>
      </c>
      <c r="N357" s="58" t="s">
        <v>1465</v>
      </c>
      <c r="O357" s="58" t="s">
        <v>933</v>
      </c>
      <c r="P357" s="58" t="s">
        <v>934</v>
      </c>
      <c r="Q357" s="58"/>
      <c r="R357" s="58"/>
      <c r="S357" s="58" t="s">
        <v>113</v>
      </c>
      <c r="T357" s="58" t="s">
        <v>2701</v>
      </c>
      <c r="U357" s="58"/>
      <c r="V357" s="58"/>
    </row>
    <row r="358" spans="1:23" ht="13.5" customHeight="1" x14ac:dyDescent="0.25">
      <c r="A358" s="58"/>
      <c r="B358" s="58"/>
      <c r="C358" s="58"/>
      <c r="D358" s="58"/>
      <c r="E358" s="58"/>
      <c r="F358" s="58" t="s">
        <v>1945</v>
      </c>
      <c r="G358" s="58" t="s">
        <v>1946</v>
      </c>
      <c r="H358" s="58">
        <v>2213117</v>
      </c>
      <c r="I358" s="58" t="s">
        <v>2756</v>
      </c>
      <c r="J358" s="58"/>
      <c r="K358" s="58"/>
      <c r="L358" s="58" t="s">
        <v>783</v>
      </c>
      <c r="M358" s="58" t="s">
        <v>1947</v>
      </c>
      <c r="N358" s="58" t="s">
        <v>1948</v>
      </c>
      <c r="O358" s="58" t="s">
        <v>933</v>
      </c>
      <c r="P358" s="58" t="s">
        <v>934</v>
      </c>
      <c r="Q358" s="58"/>
      <c r="R358" s="58"/>
      <c r="S358" s="58" t="s">
        <v>113</v>
      </c>
      <c r="T358" s="58" t="s">
        <v>2701</v>
      </c>
      <c r="U358" s="58"/>
      <c r="V358" s="58"/>
    </row>
    <row r="359" spans="1:23" ht="13.5" customHeight="1" x14ac:dyDescent="0.25">
      <c r="A359" s="58"/>
      <c r="B359" s="58"/>
      <c r="C359" s="58"/>
      <c r="D359" s="58"/>
      <c r="E359" s="58"/>
      <c r="F359" s="58" t="s">
        <v>1949</v>
      </c>
      <c r="G359" s="58" t="s">
        <v>1950</v>
      </c>
      <c r="H359" s="58">
        <v>2213118</v>
      </c>
      <c r="I359" s="58" t="s">
        <v>2756</v>
      </c>
      <c r="J359" s="58"/>
      <c r="K359" s="58"/>
      <c r="L359" s="58" t="s">
        <v>783</v>
      </c>
      <c r="M359" s="58" t="s">
        <v>1951</v>
      </c>
      <c r="N359" s="58" t="s">
        <v>1948</v>
      </c>
      <c r="O359" s="58" t="s">
        <v>933</v>
      </c>
      <c r="P359" s="58" t="s">
        <v>934</v>
      </c>
      <c r="Q359" s="58"/>
      <c r="R359" s="58"/>
      <c r="S359" s="58" t="s">
        <v>113</v>
      </c>
      <c r="T359" s="58" t="s">
        <v>2701</v>
      </c>
      <c r="U359" s="58"/>
      <c r="V359" s="58"/>
    </row>
    <row r="360" spans="1:23" ht="13.5" customHeight="1" x14ac:dyDescent="0.25">
      <c r="A360" s="58"/>
      <c r="B360" s="58"/>
      <c r="C360" s="58"/>
      <c r="D360" s="58"/>
      <c r="E360" s="58"/>
      <c r="F360" s="58" t="s">
        <v>1952</v>
      </c>
      <c r="G360" s="58" t="s">
        <v>1953</v>
      </c>
      <c r="H360" s="58">
        <v>2213119</v>
      </c>
      <c r="I360" s="58" t="s">
        <v>2756</v>
      </c>
      <c r="J360" s="58"/>
      <c r="K360" s="58"/>
      <c r="L360" s="58" t="s">
        <v>783</v>
      </c>
      <c r="M360" s="58" t="s">
        <v>1954</v>
      </c>
      <c r="N360" s="58" t="s">
        <v>1955</v>
      </c>
      <c r="O360" s="58" t="s">
        <v>933</v>
      </c>
      <c r="P360" s="58" t="s">
        <v>934</v>
      </c>
      <c r="Q360" s="58"/>
      <c r="R360" s="58"/>
      <c r="S360" s="58" t="s">
        <v>113</v>
      </c>
      <c r="T360" s="58" t="s">
        <v>2701</v>
      </c>
      <c r="U360" s="58"/>
      <c r="V360" s="58"/>
    </row>
    <row r="361" spans="1:23" ht="13.5" customHeight="1" x14ac:dyDescent="0.25">
      <c r="A361" s="58"/>
      <c r="B361" s="58"/>
      <c r="C361" s="58"/>
      <c r="D361" s="58"/>
      <c r="E361" s="58"/>
      <c r="F361" s="58" t="s">
        <v>1956</v>
      </c>
      <c r="G361" s="58" t="s">
        <v>1957</v>
      </c>
      <c r="H361" s="58">
        <v>2213120</v>
      </c>
      <c r="I361" s="58" t="s">
        <v>2758</v>
      </c>
      <c r="J361" s="58"/>
      <c r="K361" s="58"/>
      <c r="L361" s="58" t="s">
        <v>783</v>
      </c>
      <c r="M361" s="58" t="s">
        <v>1958</v>
      </c>
      <c r="N361" s="58" t="s">
        <v>1959</v>
      </c>
      <c r="O361" s="58" t="s">
        <v>933</v>
      </c>
      <c r="P361" s="58" t="s">
        <v>934</v>
      </c>
      <c r="Q361" s="58"/>
      <c r="R361" s="58"/>
      <c r="S361" s="58" t="s">
        <v>114</v>
      </c>
      <c r="T361" s="58" t="s">
        <v>932</v>
      </c>
      <c r="U361" s="58"/>
      <c r="V361" s="58"/>
    </row>
    <row r="362" spans="1:23" ht="13.5" customHeight="1" x14ac:dyDescent="0.25">
      <c r="A362" s="58"/>
      <c r="B362" s="58"/>
      <c r="C362" s="58"/>
      <c r="D362" s="58"/>
      <c r="E362" s="58"/>
      <c r="F362" s="58" t="s">
        <v>1960</v>
      </c>
      <c r="G362" s="58" t="s">
        <v>1961</v>
      </c>
      <c r="H362" s="58">
        <v>2213121</v>
      </c>
      <c r="I362" s="58" t="s">
        <v>2758</v>
      </c>
      <c r="J362" s="58"/>
      <c r="K362" s="58"/>
      <c r="L362" s="58" t="s">
        <v>783</v>
      </c>
      <c r="M362" s="58" t="s">
        <v>1962</v>
      </c>
      <c r="N362" s="58" t="s">
        <v>1959</v>
      </c>
      <c r="O362" s="58" t="s">
        <v>933</v>
      </c>
      <c r="P362" s="58" t="s">
        <v>934</v>
      </c>
      <c r="Q362" s="58"/>
      <c r="R362" s="58"/>
      <c r="S362" s="58" t="s">
        <v>114</v>
      </c>
      <c r="T362" s="58" t="s">
        <v>932</v>
      </c>
      <c r="U362" s="58"/>
      <c r="V362" s="58"/>
    </row>
    <row r="363" spans="1:23" ht="13.5" customHeight="1" x14ac:dyDescent="0.25">
      <c r="A363" s="58"/>
      <c r="B363" s="58"/>
      <c r="C363" s="58"/>
      <c r="D363" s="58"/>
      <c r="E363" s="58"/>
      <c r="F363" s="58" t="s">
        <v>1963</v>
      </c>
      <c r="G363" s="58" t="s">
        <v>1964</v>
      </c>
      <c r="H363" s="58">
        <v>2213122</v>
      </c>
      <c r="I363" s="58" t="s">
        <v>2758</v>
      </c>
      <c r="J363" s="58"/>
      <c r="K363" s="58"/>
      <c r="L363" s="58" t="s">
        <v>783</v>
      </c>
      <c r="M363" s="58" t="s">
        <v>1965</v>
      </c>
      <c r="N363" s="58" t="s">
        <v>1959</v>
      </c>
      <c r="O363" s="58" t="s">
        <v>933</v>
      </c>
      <c r="P363" s="58" t="s">
        <v>934</v>
      </c>
      <c r="Q363" s="58"/>
      <c r="R363" s="58"/>
      <c r="S363" s="58" t="s">
        <v>114</v>
      </c>
      <c r="T363" s="58" t="s">
        <v>932</v>
      </c>
      <c r="U363" s="58"/>
      <c r="V363" s="58"/>
    </row>
    <row r="364" spans="1:23" ht="13.5" customHeight="1" x14ac:dyDescent="0.25">
      <c r="A364" s="58"/>
      <c r="B364" s="58"/>
      <c r="C364" s="58"/>
      <c r="D364" s="58"/>
      <c r="E364" s="58"/>
      <c r="F364" s="58" t="s">
        <v>1966</v>
      </c>
      <c r="G364" s="58" t="s">
        <v>1967</v>
      </c>
      <c r="H364" s="58">
        <v>2213123</v>
      </c>
      <c r="I364" s="58" t="s">
        <v>2758</v>
      </c>
      <c r="J364" s="58"/>
      <c r="K364" s="58"/>
      <c r="L364" s="58" t="s">
        <v>783</v>
      </c>
      <c r="M364" s="58" t="s">
        <v>1968</v>
      </c>
      <c r="N364" s="58" t="s">
        <v>1959</v>
      </c>
      <c r="O364" s="58" t="s">
        <v>933</v>
      </c>
      <c r="P364" s="58" t="s">
        <v>934</v>
      </c>
      <c r="Q364" s="58"/>
      <c r="R364" s="58"/>
      <c r="S364" s="58" t="s">
        <v>114</v>
      </c>
      <c r="T364" s="58" t="s">
        <v>932</v>
      </c>
      <c r="U364" s="58"/>
      <c r="V364" s="58"/>
    </row>
    <row r="365" spans="1:23" ht="13.5" customHeight="1" x14ac:dyDescent="0.25">
      <c r="A365" s="58"/>
      <c r="B365" s="58"/>
      <c r="C365" s="58"/>
      <c r="D365" s="58"/>
      <c r="E365" s="58"/>
      <c r="F365" s="58" t="s">
        <v>1969</v>
      </c>
      <c r="G365" s="58" t="s">
        <v>1970</v>
      </c>
      <c r="H365" s="58">
        <v>2213124</v>
      </c>
      <c r="I365" s="58" t="s">
        <v>2758</v>
      </c>
      <c r="J365" s="58"/>
      <c r="K365" s="58"/>
      <c r="L365" s="58" t="s">
        <v>783</v>
      </c>
      <c r="M365" s="58" t="s">
        <v>1971</v>
      </c>
      <c r="N365" s="58" t="s">
        <v>1959</v>
      </c>
      <c r="O365" s="58" t="s">
        <v>933</v>
      </c>
      <c r="P365" s="58" t="s">
        <v>934</v>
      </c>
      <c r="Q365" s="58"/>
      <c r="R365" s="58"/>
      <c r="S365" s="58" t="s">
        <v>114</v>
      </c>
      <c r="T365" s="58" t="s">
        <v>932</v>
      </c>
      <c r="U365" s="58"/>
      <c r="V365" s="58"/>
    </row>
    <row r="366" spans="1:23" ht="13.5" customHeight="1" x14ac:dyDescent="0.25">
      <c r="A366" s="58"/>
      <c r="B366" s="58"/>
      <c r="C366" s="58"/>
      <c r="D366" s="58"/>
      <c r="E366" s="58"/>
      <c r="F366" s="58" t="s">
        <v>1972</v>
      </c>
      <c r="G366" s="58" t="s">
        <v>1973</v>
      </c>
      <c r="H366" s="58">
        <v>2213125</v>
      </c>
      <c r="I366" s="58" t="s">
        <v>2758</v>
      </c>
      <c r="J366" s="58"/>
      <c r="K366" s="58"/>
      <c r="L366" s="58" t="s">
        <v>783</v>
      </c>
      <c r="M366" s="58" t="s">
        <v>1974</v>
      </c>
      <c r="N366" s="58" t="s">
        <v>1959</v>
      </c>
      <c r="O366" s="58" t="s">
        <v>933</v>
      </c>
      <c r="P366" s="58" t="s">
        <v>934</v>
      </c>
      <c r="Q366" s="58"/>
      <c r="R366" s="58"/>
      <c r="S366" s="58" t="s">
        <v>114</v>
      </c>
      <c r="T366" s="58" t="s">
        <v>932</v>
      </c>
      <c r="U366" s="58"/>
      <c r="V366" s="58"/>
    </row>
    <row r="367" spans="1:23" ht="13.5" customHeight="1" x14ac:dyDescent="0.25">
      <c r="A367" s="58"/>
      <c r="B367" s="58"/>
      <c r="C367" s="58"/>
      <c r="D367" s="58"/>
      <c r="E367" s="58" t="s">
        <v>284</v>
      </c>
      <c r="F367" s="58"/>
      <c r="G367" s="58"/>
      <c r="H367" s="58"/>
      <c r="I367" s="58"/>
      <c r="J367" s="58"/>
      <c r="K367" s="58"/>
      <c r="L367" s="58"/>
      <c r="M367" s="58"/>
      <c r="N367" s="58"/>
      <c r="O367" s="58"/>
      <c r="P367" s="58"/>
      <c r="Q367" s="58"/>
      <c r="R367" s="58"/>
      <c r="S367" s="58"/>
      <c r="T367" s="58"/>
      <c r="U367" s="58"/>
      <c r="V367" s="58"/>
    </row>
    <row r="368" spans="1:23" ht="13.5" customHeight="1" x14ac:dyDescent="0.25">
      <c r="A368" s="58"/>
      <c r="B368" s="58"/>
      <c r="C368" s="58"/>
      <c r="D368" s="58"/>
      <c r="E368" s="58"/>
      <c r="F368" s="58" t="s">
        <v>1975</v>
      </c>
      <c r="G368" s="58" t="s">
        <v>1976</v>
      </c>
      <c r="H368" s="58">
        <v>2213201</v>
      </c>
      <c r="I368" s="58" t="s">
        <v>2754</v>
      </c>
      <c r="J368" s="58"/>
      <c r="K368" s="58"/>
      <c r="L368" s="58" t="s">
        <v>1769</v>
      </c>
      <c r="M368" s="58" t="s">
        <v>1474</v>
      </c>
      <c r="N368" s="58" t="s">
        <v>1496</v>
      </c>
      <c r="O368" s="58" t="s">
        <v>933</v>
      </c>
      <c r="P368" s="58" t="s">
        <v>934</v>
      </c>
      <c r="Q368" s="58"/>
      <c r="R368" s="58"/>
      <c r="S368" s="58" t="s">
        <v>113</v>
      </c>
      <c r="T368" s="58" t="s">
        <v>2701</v>
      </c>
      <c r="U368" s="58"/>
      <c r="V368" s="58"/>
    </row>
    <row r="369" spans="1:23" ht="13.5" customHeight="1" x14ac:dyDescent="0.25">
      <c r="A369" s="58"/>
      <c r="B369" s="58"/>
      <c r="C369" s="58"/>
      <c r="D369" s="58"/>
      <c r="E369" s="58"/>
      <c r="F369" s="58" t="s">
        <v>1977</v>
      </c>
      <c r="G369" s="58" t="s">
        <v>1978</v>
      </c>
      <c r="H369" s="58">
        <v>2213202</v>
      </c>
      <c r="I369" s="58" t="s">
        <v>2754</v>
      </c>
      <c r="J369" s="58"/>
      <c r="K369" s="58"/>
      <c r="L369" s="58" t="s">
        <v>1771</v>
      </c>
      <c r="M369" s="58" t="s">
        <v>1475</v>
      </c>
      <c r="N369" s="58" t="s">
        <v>1497</v>
      </c>
      <c r="O369" s="58" t="s">
        <v>933</v>
      </c>
      <c r="P369" s="58" t="s">
        <v>934</v>
      </c>
      <c r="Q369" s="58"/>
      <c r="R369" s="58"/>
      <c r="S369" s="58" t="s">
        <v>113</v>
      </c>
      <c r="T369" s="58" t="s">
        <v>2701</v>
      </c>
      <c r="U369" s="58"/>
      <c r="V369" s="58"/>
      <c r="W369" s="46"/>
    </row>
    <row r="370" spans="1:23" ht="13.5" customHeight="1" x14ac:dyDescent="0.25">
      <c r="A370" s="58"/>
      <c r="B370" s="58"/>
      <c r="C370" s="58"/>
      <c r="D370" s="58"/>
      <c r="E370" s="58"/>
      <c r="F370" s="58" t="s">
        <v>1979</v>
      </c>
      <c r="G370" s="58" t="s">
        <v>1980</v>
      </c>
      <c r="H370" s="58">
        <v>2213203</v>
      </c>
      <c r="I370" s="58" t="s">
        <v>2754</v>
      </c>
      <c r="J370" s="58"/>
      <c r="K370" s="58"/>
      <c r="L370" s="58" t="s">
        <v>1769</v>
      </c>
      <c r="M370" s="58" t="s">
        <v>1476</v>
      </c>
      <c r="N370" s="58" t="s">
        <v>1496</v>
      </c>
      <c r="O370" s="58" t="s">
        <v>933</v>
      </c>
      <c r="P370" s="58" t="s">
        <v>934</v>
      </c>
      <c r="Q370" s="58"/>
      <c r="R370" s="58"/>
      <c r="S370" s="58" t="s">
        <v>113</v>
      </c>
      <c r="T370" s="58" t="s">
        <v>2701</v>
      </c>
      <c r="U370" s="58"/>
      <c r="V370" s="58"/>
    </row>
    <row r="371" spans="1:23" ht="13.5" customHeight="1" x14ac:dyDescent="0.25">
      <c r="A371" s="58"/>
      <c r="B371" s="58"/>
      <c r="C371" s="58"/>
      <c r="D371" s="58"/>
      <c r="E371" s="58"/>
      <c r="F371" s="58" t="s">
        <v>1981</v>
      </c>
      <c r="G371" s="58" t="s">
        <v>1982</v>
      </c>
      <c r="H371" s="58">
        <v>2213204</v>
      </c>
      <c r="I371" s="58" t="s">
        <v>2754</v>
      </c>
      <c r="J371" s="58"/>
      <c r="K371" s="58"/>
      <c r="L371" s="58" t="s">
        <v>1771</v>
      </c>
      <c r="M371" s="58" t="s">
        <v>1477</v>
      </c>
      <c r="N371" s="58" t="s">
        <v>1496</v>
      </c>
      <c r="O371" s="58" t="s">
        <v>933</v>
      </c>
      <c r="P371" s="58" t="s">
        <v>934</v>
      </c>
      <c r="Q371" s="58"/>
      <c r="R371" s="58"/>
      <c r="S371" s="58" t="s">
        <v>113</v>
      </c>
      <c r="T371" s="58" t="s">
        <v>2701</v>
      </c>
      <c r="U371" s="58"/>
      <c r="V371" s="58"/>
      <c r="W371" s="46"/>
    </row>
    <row r="372" spans="1:23" ht="13.5" customHeight="1" x14ac:dyDescent="0.25">
      <c r="A372" s="58"/>
      <c r="B372" s="58"/>
      <c r="C372" s="58"/>
      <c r="D372" s="58"/>
      <c r="E372" s="58"/>
      <c r="F372" s="58" t="s">
        <v>2354</v>
      </c>
      <c r="G372" s="58" t="s">
        <v>2355</v>
      </c>
      <c r="H372" s="58">
        <v>2213205</v>
      </c>
      <c r="I372" s="58" t="s">
        <v>2754</v>
      </c>
      <c r="J372" s="58"/>
      <c r="K372" s="58"/>
      <c r="L372" s="58" t="s">
        <v>1769</v>
      </c>
      <c r="M372" s="58" t="s">
        <v>1478</v>
      </c>
      <c r="N372" s="58" t="s">
        <v>1498</v>
      </c>
      <c r="O372" s="58" t="s">
        <v>933</v>
      </c>
      <c r="P372" s="58" t="s">
        <v>934</v>
      </c>
      <c r="Q372" s="58"/>
      <c r="R372" s="58"/>
      <c r="S372" s="58" t="s">
        <v>113</v>
      </c>
      <c r="T372" s="58" t="s">
        <v>2701</v>
      </c>
      <c r="U372" s="58"/>
      <c r="V372" s="58"/>
    </row>
    <row r="373" spans="1:23" ht="13.5" customHeight="1" x14ac:dyDescent="0.25">
      <c r="A373" s="58"/>
      <c r="B373" s="58"/>
      <c r="C373" s="58"/>
      <c r="D373" s="58"/>
      <c r="E373" s="58"/>
      <c r="F373" s="58" t="s">
        <v>2356</v>
      </c>
      <c r="G373" s="58" t="s">
        <v>2357</v>
      </c>
      <c r="H373" s="58">
        <v>2213206</v>
      </c>
      <c r="I373" s="58" t="s">
        <v>2754</v>
      </c>
      <c r="J373" s="58"/>
      <c r="K373" s="58"/>
      <c r="L373" s="58" t="s">
        <v>1771</v>
      </c>
      <c r="M373" s="58" t="s">
        <v>1479</v>
      </c>
      <c r="N373" s="58" t="s">
        <v>1499</v>
      </c>
      <c r="O373" s="58" t="s">
        <v>933</v>
      </c>
      <c r="P373" s="58" t="s">
        <v>934</v>
      </c>
      <c r="Q373" s="58"/>
      <c r="R373" s="58"/>
      <c r="S373" s="58" t="s">
        <v>113</v>
      </c>
      <c r="T373" s="58" t="s">
        <v>2701</v>
      </c>
      <c r="U373" s="58"/>
      <c r="V373" s="58"/>
      <c r="W373" s="46"/>
    </row>
    <row r="374" spans="1:23" ht="13.5" customHeight="1" x14ac:dyDescent="0.25">
      <c r="A374" s="58"/>
      <c r="B374" s="58"/>
      <c r="C374" s="58"/>
      <c r="D374" s="58"/>
      <c r="E374" s="58"/>
      <c r="F374" s="58" t="s">
        <v>2358</v>
      </c>
      <c r="G374" s="58" t="s">
        <v>2359</v>
      </c>
      <c r="H374" s="58">
        <v>2213207</v>
      </c>
      <c r="I374" s="58" t="s">
        <v>2754</v>
      </c>
      <c r="J374" s="58"/>
      <c r="K374" s="58"/>
      <c r="L374" s="58" t="s">
        <v>1769</v>
      </c>
      <c r="M374" s="58" t="s">
        <v>1480</v>
      </c>
      <c r="N374" s="58" t="s">
        <v>1496</v>
      </c>
      <c r="O374" s="58" t="s">
        <v>933</v>
      </c>
      <c r="P374" s="58" t="s">
        <v>934</v>
      </c>
      <c r="Q374" s="58"/>
      <c r="R374" s="58"/>
      <c r="S374" s="58" t="s">
        <v>113</v>
      </c>
      <c r="T374" s="58" t="s">
        <v>2701</v>
      </c>
      <c r="U374" s="58"/>
      <c r="V374" s="58"/>
    </row>
    <row r="375" spans="1:23" ht="13.5" customHeight="1" x14ac:dyDescent="0.25">
      <c r="A375" s="58"/>
      <c r="B375" s="58"/>
      <c r="C375" s="58"/>
      <c r="D375" s="58"/>
      <c r="E375" s="58"/>
      <c r="F375" s="58" t="s">
        <v>2360</v>
      </c>
      <c r="G375" s="58" t="s">
        <v>2361</v>
      </c>
      <c r="H375" s="58">
        <v>2213208</v>
      </c>
      <c r="I375" s="58" t="s">
        <v>2754</v>
      </c>
      <c r="J375" s="58"/>
      <c r="K375" s="58"/>
      <c r="L375" s="58" t="s">
        <v>1771</v>
      </c>
      <c r="M375" s="58" t="s">
        <v>1481</v>
      </c>
      <c r="N375" s="58" t="s">
        <v>1496</v>
      </c>
      <c r="O375" s="58" t="s">
        <v>933</v>
      </c>
      <c r="P375" s="58" t="s">
        <v>934</v>
      </c>
      <c r="Q375" s="58"/>
      <c r="R375" s="58"/>
      <c r="S375" s="58" t="s">
        <v>113</v>
      </c>
      <c r="T375" s="58" t="s">
        <v>2701</v>
      </c>
      <c r="U375" s="58"/>
      <c r="V375" s="58"/>
      <c r="W375" s="46"/>
    </row>
    <row r="376" spans="1:23" ht="13.5" customHeight="1" x14ac:dyDescent="0.25">
      <c r="A376" s="58"/>
      <c r="B376" s="58"/>
      <c r="C376" s="58"/>
      <c r="D376" s="58"/>
      <c r="E376" s="58"/>
      <c r="F376" s="58" t="s">
        <v>2168</v>
      </c>
      <c r="G376" s="58" t="s">
        <v>2362</v>
      </c>
      <c r="H376" s="58">
        <v>2213209</v>
      </c>
      <c r="I376" s="58" t="s">
        <v>2754</v>
      </c>
      <c r="J376" s="58"/>
      <c r="K376" s="58"/>
      <c r="L376" s="58" t="s">
        <v>1788</v>
      </c>
      <c r="M376" s="58" t="s">
        <v>1482</v>
      </c>
      <c r="N376" s="58" t="s">
        <v>1483</v>
      </c>
      <c r="O376" s="58" t="s">
        <v>933</v>
      </c>
      <c r="P376" s="58" t="s">
        <v>934</v>
      </c>
      <c r="Q376" s="58"/>
      <c r="R376" s="58"/>
      <c r="S376" s="58" t="s">
        <v>113</v>
      </c>
      <c r="T376" s="58" t="s">
        <v>2701</v>
      </c>
      <c r="U376" s="58"/>
      <c r="V376" s="58"/>
    </row>
    <row r="377" spans="1:23" s="46" customFormat="1" ht="13.5" customHeight="1" x14ac:dyDescent="0.25">
      <c r="A377" s="58"/>
      <c r="B377" s="58"/>
      <c r="C377" s="58"/>
      <c r="D377" s="58"/>
      <c r="E377" s="58"/>
      <c r="F377" s="58" t="s">
        <v>2363</v>
      </c>
      <c r="G377" s="58" t="s">
        <v>2364</v>
      </c>
      <c r="H377" s="58">
        <v>2213210</v>
      </c>
      <c r="I377" s="58" t="s">
        <v>2754</v>
      </c>
      <c r="J377" s="58"/>
      <c r="K377" s="58"/>
      <c r="L377" s="58" t="s">
        <v>1769</v>
      </c>
      <c r="M377" s="58" t="s">
        <v>1478</v>
      </c>
      <c r="N377" s="58" t="s">
        <v>1498</v>
      </c>
      <c r="O377" s="58" t="s">
        <v>933</v>
      </c>
      <c r="P377" s="58" t="s">
        <v>934</v>
      </c>
      <c r="Q377" s="58"/>
      <c r="R377" s="58"/>
      <c r="S377" s="58" t="s">
        <v>113</v>
      </c>
      <c r="T377" s="58" t="s">
        <v>2701</v>
      </c>
      <c r="U377" s="58"/>
      <c r="V377" s="58"/>
    </row>
    <row r="378" spans="1:23" s="46" customFormat="1" ht="13.5" customHeight="1" x14ac:dyDescent="0.25">
      <c r="A378" s="58"/>
      <c r="B378" s="58"/>
      <c r="C378" s="58"/>
      <c r="D378" s="58"/>
      <c r="E378" s="58"/>
      <c r="F378" s="58" t="s">
        <v>2365</v>
      </c>
      <c r="G378" s="58" t="s">
        <v>2366</v>
      </c>
      <c r="H378" s="58">
        <v>2213211</v>
      </c>
      <c r="I378" s="58" t="s">
        <v>2754</v>
      </c>
      <c r="J378" s="58"/>
      <c r="K378" s="58"/>
      <c r="L378" s="58" t="s">
        <v>1769</v>
      </c>
      <c r="M378" s="58" t="s">
        <v>1480</v>
      </c>
      <c r="N378" s="58" t="s">
        <v>1496</v>
      </c>
      <c r="O378" s="58" t="s">
        <v>933</v>
      </c>
      <c r="P378" s="58" t="s">
        <v>934</v>
      </c>
      <c r="Q378" s="58"/>
      <c r="R378" s="58"/>
      <c r="S378" s="58" t="s">
        <v>113</v>
      </c>
      <c r="T378" s="58" t="s">
        <v>2701</v>
      </c>
      <c r="U378" s="58"/>
      <c r="V378" s="58"/>
    </row>
    <row r="379" spans="1:23" s="46" customFormat="1" ht="13.5" customHeight="1" x14ac:dyDescent="0.25">
      <c r="A379" s="58"/>
      <c r="B379" s="58"/>
      <c r="C379" s="58"/>
      <c r="D379" s="58"/>
      <c r="E379" s="58"/>
      <c r="F379" s="58" t="s">
        <v>2172</v>
      </c>
      <c r="G379" s="58" t="s">
        <v>2367</v>
      </c>
      <c r="H379" s="58">
        <v>2213212</v>
      </c>
      <c r="I379" s="58" t="s">
        <v>2754</v>
      </c>
      <c r="J379" s="58"/>
      <c r="K379" s="58"/>
      <c r="L379" s="58" t="s">
        <v>1788</v>
      </c>
      <c r="M379" s="58" t="s">
        <v>1482</v>
      </c>
      <c r="N379" s="58" t="s">
        <v>1483</v>
      </c>
      <c r="O379" s="58" t="s">
        <v>933</v>
      </c>
      <c r="P379" s="58" t="s">
        <v>934</v>
      </c>
      <c r="Q379" s="58"/>
      <c r="R379" s="58"/>
      <c r="S379" s="58" t="s">
        <v>113</v>
      </c>
      <c r="T379" s="58" t="s">
        <v>2701</v>
      </c>
      <c r="U379" s="58"/>
      <c r="V379" s="58"/>
    </row>
    <row r="380" spans="1:23" ht="13.5" customHeight="1" x14ac:dyDescent="0.25">
      <c r="A380" s="58"/>
      <c r="B380" s="58"/>
      <c r="C380" s="58"/>
      <c r="D380" s="58"/>
      <c r="E380" s="58"/>
      <c r="F380" s="58" t="s">
        <v>1485</v>
      </c>
      <c r="G380" s="58" t="s">
        <v>1983</v>
      </c>
      <c r="H380" s="58">
        <v>2213213</v>
      </c>
      <c r="I380" s="58" t="s">
        <v>2756</v>
      </c>
      <c r="J380" s="58"/>
      <c r="K380" s="58"/>
      <c r="L380" s="58" t="s">
        <v>1793</v>
      </c>
      <c r="M380" s="58" t="s">
        <v>1487</v>
      </c>
      <c r="N380" s="58" t="s">
        <v>1896</v>
      </c>
      <c r="O380" s="58" t="s">
        <v>933</v>
      </c>
      <c r="P380" s="58" t="s">
        <v>934</v>
      </c>
      <c r="Q380" s="58"/>
      <c r="R380" s="58"/>
      <c r="S380" s="58" t="s">
        <v>113</v>
      </c>
      <c r="T380" s="58" t="s">
        <v>2701</v>
      </c>
      <c r="U380" s="58"/>
      <c r="V380" s="58"/>
    </row>
    <row r="381" spans="1:23" ht="13.5" customHeight="1" x14ac:dyDescent="0.25">
      <c r="A381" s="58"/>
      <c r="B381" s="58"/>
      <c r="C381" s="58"/>
      <c r="D381" s="58"/>
      <c r="E381" s="58"/>
      <c r="F381" s="58" t="s">
        <v>1486</v>
      </c>
      <c r="G381" s="58" t="s">
        <v>1984</v>
      </c>
      <c r="H381" s="58">
        <v>2213214</v>
      </c>
      <c r="I381" s="58" t="s">
        <v>2756</v>
      </c>
      <c r="J381" s="58"/>
      <c r="K381" s="58"/>
      <c r="L381" s="58" t="s">
        <v>1771</v>
      </c>
      <c r="M381" s="58" t="s">
        <v>1488</v>
      </c>
      <c r="N381" s="58" t="s">
        <v>1896</v>
      </c>
      <c r="O381" s="58" t="s">
        <v>933</v>
      </c>
      <c r="P381" s="58" t="s">
        <v>934</v>
      </c>
      <c r="Q381" s="58"/>
      <c r="R381" s="58"/>
      <c r="S381" s="58" t="s">
        <v>113</v>
      </c>
      <c r="T381" s="58" t="s">
        <v>2701</v>
      </c>
      <c r="U381" s="58"/>
      <c r="V381" s="58"/>
      <c r="W381" s="46"/>
    </row>
    <row r="382" spans="1:23" ht="13.5" customHeight="1" x14ac:dyDescent="0.25">
      <c r="A382" s="58"/>
      <c r="B382" s="58"/>
      <c r="C382" s="58"/>
      <c r="D382" s="58"/>
      <c r="E382" s="58"/>
      <c r="F382" s="58" t="s">
        <v>1490</v>
      </c>
      <c r="G382" s="58" t="s">
        <v>1985</v>
      </c>
      <c r="H382" s="58">
        <v>2213215</v>
      </c>
      <c r="I382" s="58" t="s">
        <v>2756</v>
      </c>
      <c r="J382" s="58"/>
      <c r="K382" s="58"/>
      <c r="L382" s="58" t="s">
        <v>783</v>
      </c>
      <c r="M382" s="58" t="s">
        <v>1491</v>
      </c>
      <c r="N382" s="58" t="s">
        <v>1900</v>
      </c>
      <c r="O382" s="58" t="s">
        <v>933</v>
      </c>
      <c r="P382" s="58" t="s">
        <v>934</v>
      </c>
      <c r="Q382" s="58"/>
      <c r="R382" s="58"/>
      <c r="S382" s="58" t="s">
        <v>113</v>
      </c>
      <c r="T382" s="58" t="s">
        <v>2701</v>
      </c>
      <c r="U382" s="58"/>
      <c r="V382" s="58"/>
    </row>
    <row r="383" spans="1:23" ht="13.5" customHeight="1" x14ac:dyDescent="0.25">
      <c r="A383" s="58"/>
      <c r="B383" s="58"/>
      <c r="C383" s="58"/>
      <c r="D383" s="58"/>
      <c r="E383" s="58"/>
      <c r="F383" s="58" t="s">
        <v>1803</v>
      </c>
      <c r="G383" s="58" t="s">
        <v>1986</v>
      </c>
      <c r="H383" s="58">
        <v>2213216</v>
      </c>
      <c r="I383" s="58" t="s">
        <v>2756</v>
      </c>
      <c r="J383" s="58"/>
      <c r="K383" s="58"/>
      <c r="L383" s="58" t="s">
        <v>1805</v>
      </c>
      <c r="M383" s="58" t="s">
        <v>1493</v>
      </c>
      <c r="N383" s="58" t="s">
        <v>1494</v>
      </c>
      <c r="O383" s="58" t="s">
        <v>933</v>
      </c>
      <c r="P383" s="58" t="s">
        <v>934</v>
      </c>
      <c r="Q383" s="58"/>
      <c r="R383" s="58"/>
      <c r="S383" s="58" t="s">
        <v>113</v>
      </c>
      <c r="T383" s="58" t="s">
        <v>2701</v>
      </c>
      <c r="U383" s="58"/>
      <c r="V383" s="58"/>
    </row>
    <row r="384" spans="1:23" ht="13.5" customHeight="1" x14ac:dyDescent="0.25">
      <c r="A384" s="58"/>
      <c r="B384" s="58"/>
      <c r="C384" s="58"/>
      <c r="D384" s="58"/>
      <c r="E384" s="58"/>
      <c r="F384" s="58" t="s">
        <v>1807</v>
      </c>
      <c r="G384" s="58" t="s">
        <v>1987</v>
      </c>
      <c r="H384" s="58">
        <v>2213217</v>
      </c>
      <c r="I384" s="58" t="s">
        <v>2756</v>
      </c>
      <c r="J384" s="58"/>
      <c r="K384" s="58"/>
      <c r="L384" s="58" t="s">
        <v>1805</v>
      </c>
      <c r="M384" s="58" t="s">
        <v>1495</v>
      </c>
      <c r="N384" s="58" t="s">
        <v>1494</v>
      </c>
      <c r="O384" s="58" t="s">
        <v>933</v>
      </c>
      <c r="P384" s="58" t="s">
        <v>934</v>
      </c>
      <c r="Q384" s="58"/>
      <c r="R384" s="58"/>
      <c r="S384" s="58" t="s">
        <v>113</v>
      </c>
      <c r="T384" s="58" t="s">
        <v>2701</v>
      </c>
      <c r="U384" s="58"/>
      <c r="V384" s="58"/>
    </row>
    <row r="385" spans="1:22" ht="13.5" customHeight="1" x14ac:dyDescent="0.25">
      <c r="A385" s="58"/>
      <c r="B385" s="58"/>
      <c r="C385" s="58"/>
      <c r="D385" s="58"/>
      <c r="E385" s="58"/>
      <c r="F385" s="58" t="s">
        <v>1988</v>
      </c>
      <c r="G385" s="58" t="s">
        <v>1989</v>
      </c>
      <c r="H385" s="58">
        <v>2213218</v>
      </c>
      <c r="I385" s="58" t="s">
        <v>2756</v>
      </c>
      <c r="J385" s="58"/>
      <c r="K385" s="58"/>
      <c r="L385" s="58" t="s">
        <v>783</v>
      </c>
      <c r="M385" s="58" t="s">
        <v>1990</v>
      </c>
      <c r="N385" s="58" t="s">
        <v>1991</v>
      </c>
      <c r="O385" s="58" t="s">
        <v>933</v>
      </c>
      <c r="P385" s="58" t="s">
        <v>934</v>
      </c>
      <c r="Q385" s="58"/>
      <c r="R385" s="58"/>
      <c r="S385" s="58" t="s">
        <v>113</v>
      </c>
      <c r="T385" s="58" t="s">
        <v>2701</v>
      </c>
      <c r="U385" s="58"/>
      <c r="V385" s="58"/>
    </row>
    <row r="386" spans="1:22" ht="13.5" customHeight="1" x14ac:dyDescent="0.25">
      <c r="A386" s="58"/>
      <c r="B386" s="58"/>
      <c r="C386" s="58"/>
      <c r="D386" s="58"/>
      <c r="E386" s="58"/>
      <c r="F386" s="58" t="s">
        <v>1992</v>
      </c>
      <c r="G386" s="58" t="s">
        <v>1993</v>
      </c>
      <c r="H386" s="58">
        <v>2213219</v>
      </c>
      <c r="I386" s="58" t="s">
        <v>2756</v>
      </c>
      <c r="J386" s="58"/>
      <c r="K386" s="58"/>
      <c r="L386" s="58" t="s">
        <v>783</v>
      </c>
      <c r="M386" s="58" t="s">
        <v>1994</v>
      </c>
      <c r="N386" s="58" t="s">
        <v>1991</v>
      </c>
      <c r="O386" s="58" t="s">
        <v>933</v>
      </c>
      <c r="P386" s="58" t="s">
        <v>934</v>
      </c>
      <c r="Q386" s="58"/>
      <c r="R386" s="58"/>
      <c r="S386" s="58" t="s">
        <v>113</v>
      </c>
      <c r="T386" s="58" t="s">
        <v>2701</v>
      </c>
      <c r="U386" s="58"/>
      <c r="V386" s="58"/>
    </row>
    <row r="387" spans="1:22" ht="13.5" customHeight="1" x14ac:dyDescent="0.25">
      <c r="A387" s="58"/>
      <c r="B387" s="58"/>
      <c r="C387" s="58"/>
      <c r="D387" s="58" t="s">
        <v>23</v>
      </c>
      <c r="E387" s="58"/>
      <c r="F387" s="58"/>
      <c r="G387" s="58"/>
      <c r="H387" s="58"/>
      <c r="I387" s="58"/>
      <c r="J387" s="58"/>
      <c r="K387" s="58"/>
      <c r="L387" s="58"/>
      <c r="M387" s="58"/>
      <c r="N387" s="58"/>
      <c r="O387" s="58"/>
      <c r="P387" s="58"/>
      <c r="Q387" s="58"/>
      <c r="R387" s="58"/>
      <c r="S387" s="58"/>
      <c r="T387" s="58"/>
      <c r="U387" s="58"/>
      <c r="V387" s="58"/>
    </row>
    <row r="388" spans="1:22" ht="13.5" customHeight="1" x14ac:dyDescent="0.25">
      <c r="A388" s="58"/>
      <c r="B388" s="58"/>
      <c r="C388" s="58"/>
      <c r="D388" s="58"/>
      <c r="E388" s="58" t="s">
        <v>24</v>
      </c>
      <c r="F388" s="58"/>
      <c r="G388" s="58"/>
      <c r="H388" s="58"/>
      <c r="I388" s="58"/>
      <c r="J388" s="58"/>
      <c r="K388" s="58"/>
      <c r="L388" s="58"/>
      <c r="M388" s="58"/>
      <c r="N388" s="58"/>
      <c r="O388" s="58"/>
      <c r="P388" s="58"/>
      <c r="Q388" s="58"/>
      <c r="R388" s="58"/>
      <c r="S388" s="58"/>
      <c r="T388" s="58"/>
      <c r="U388" s="58"/>
      <c r="V388" s="58"/>
    </row>
    <row r="389" spans="1:22" ht="13.5" customHeight="1" x14ac:dyDescent="0.25">
      <c r="A389" s="58"/>
      <c r="B389" s="58"/>
      <c r="C389" s="58"/>
      <c r="D389" s="58"/>
      <c r="E389" s="58"/>
      <c r="F389" s="58" t="s">
        <v>1995</v>
      </c>
      <c r="G389" s="58" t="s">
        <v>1996</v>
      </c>
      <c r="H389" s="58">
        <v>2214101</v>
      </c>
      <c r="I389" s="58" t="s">
        <v>2758</v>
      </c>
      <c r="J389" s="58"/>
      <c r="K389" s="58"/>
      <c r="L389" s="58" t="s">
        <v>1558</v>
      </c>
      <c r="M389" s="58" t="s">
        <v>1997</v>
      </c>
      <c r="N389" s="58" t="s">
        <v>1998</v>
      </c>
      <c r="O389" s="58" t="s">
        <v>933</v>
      </c>
      <c r="P389" s="58" t="s">
        <v>934</v>
      </c>
      <c r="Q389" s="58"/>
      <c r="R389" s="58"/>
      <c r="S389" s="58" t="s">
        <v>2790</v>
      </c>
      <c r="T389" s="58" t="s">
        <v>932</v>
      </c>
      <c r="U389" s="58"/>
      <c r="V389" s="58"/>
    </row>
    <row r="390" spans="1:22" s="46" customFormat="1" ht="13.5" customHeight="1" x14ac:dyDescent="0.25">
      <c r="A390" s="58"/>
      <c r="B390" s="58"/>
      <c r="C390" s="58"/>
      <c r="D390" s="58"/>
      <c r="E390" s="58"/>
      <c r="F390" s="58" t="s">
        <v>2368</v>
      </c>
      <c r="G390" s="58" t="s">
        <v>2373</v>
      </c>
      <c r="H390" s="58">
        <v>2214102</v>
      </c>
      <c r="I390" s="58" t="s">
        <v>2756</v>
      </c>
      <c r="J390" s="58"/>
      <c r="K390" s="58"/>
      <c r="L390" s="58" t="s">
        <v>1558</v>
      </c>
      <c r="M390" s="58" t="s">
        <v>2374</v>
      </c>
      <c r="N390" s="58" t="s">
        <v>2371</v>
      </c>
      <c r="O390" s="58" t="s">
        <v>933</v>
      </c>
      <c r="P390" s="58" t="s">
        <v>934</v>
      </c>
      <c r="Q390" s="58"/>
      <c r="R390" s="58"/>
      <c r="S390" s="58" t="s">
        <v>113</v>
      </c>
      <c r="T390" s="58" t="s">
        <v>932</v>
      </c>
      <c r="U390" s="58"/>
      <c r="V390" s="58"/>
    </row>
    <row r="391" spans="1:22" s="46" customFormat="1" ht="13.5" customHeight="1" x14ac:dyDescent="0.25">
      <c r="A391" s="58"/>
      <c r="B391" s="58"/>
      <c r="C391" s="58"/>
      <c r="D391" s="58"/>
      <c r="E391" s="58"/>
      <c r="F391" s="58" t="s">
        <v>2375</v>
      </c>
      <c r="G391" s="58" t="s">
        <v>2376</v>
      </c>
      <c r="H391" s="58">
        <v>2214103</v>
      </c>
      <c r="I391" s="58" t="s">
        <v>2756</v>
      </c>
      <c r="J391" s="58"/>
      <c r="K391" s="58"/>
      <c r="L391" s="58" t="s">
        <v>1558</v>
      </c>
      <c r="M391" s="58" t="s">
        <v>2377</v>
      </c>
      <c r="N391" s="58" t="s">
        <v>2371</v>
      </c>
      <c r="O391" s="58" t="s">
        <v>933</v>
      </c>
      <c r="P391" s="58" t="s">
        <v>934</v>
      </c>
      <c r="Q391" s="58"/>
      <c r="R391" s="58"/>
      <c r="S391" s="58" t="s">
        <v>113</v>
      </c>
      <c r="T391" s="58" t="s">
        <v>2388</v>
      </c>
      <c r="U391" s="58"/>
      <c r="V391" s="58"/>
    </row>
    <row r="392" spans="1:22" s="46" customFormat="1" ht="13.5" customHeight="1" x14ac:dyDescent="0.25">
      <c r="A392" s="58"/>
      <c r="B392" s="58"/>
      <c r="C392" s="58"/>
      <c r="D392" s="58"/>
      <c r="E392" s="58"/>
      <c r="F392" s="58" t="s">
        <v>2378</v>
      </c>
      <c r="G392" s="58" t="s">
        <v>2379</v>
      </c>
      <c r="H392" s="58">
        <v>2214104</v>
      </c>
      <c r="I392" s="58" t="s">
        <v>2756</v>
      </c>
      <c r="J392" s="58"/>
      <c r="K392" s="58"/>
      <c r="L392" s="58" t="s">
        <v>1558</v>
      </c>
      <c r="M392" s="58" t="s">
        <v>2380</v>
      </c>
      <c r="N392" s="58" t="s">
        <v>2371</v>
      </c>
      <c r="O392" s="58" t="s">
        <v>933</v>
      </c>
      <c r="P392" s="58" t="s">
        <v>934</v>
      </c>
      <c r="Q392" s="58"/>
      <c r="R392" s="58"/>
      <c r="S392" s="58" t="s">
        <v>113</v>
      </c>
      <c r="T392" s="58" t="s">
        <v>932</v>
      </c>
      <c r="U392" s="58"/>
      <c r="V392" s="58"/>
    </row>
    <row r="393" spans="1:22" s="46" customFormat="1" ht="13.5" customHeight="1" x14ac:dyDescent="0.25">
      <c r="A393" s="58"/>
      <c r="B393" s="58"/>
      <c r="C393" s="58"/>
      <c r="D393" s="58"/>
      <c r="E393" s="58"/>
      <c r="F393" s="58" t="s">
        <v>2381</v>
      </c>
      <c r="G393" s="58" t="s">
        <v>2382</v>
      </c>
      <c r="H393" s="58">
        <v>2214105</v>
      </c>
      <c r="I393" s="58" t="s">
        <v>2756</v>
      </c>
      <c r="J393" s="58"/>
      <c r="K393" s="58"/>
      <c r="L393" s="58" t="s">
        <v>1558</v>
      </c>
      <c r="M393" s="58" t="s">
        <v>2383</v>
      </c>
      <c r="N393" s="58" t="s">
        <v>2371</v>
      </c>
      <c r="O393" s="58" t="s">
        <v>933</v>
      </c>
      <c r="P393" s="58" t="s">
        <v>934</v>
      </c>
      <c r="Q393" s="58"/>
      <c r="R393" s="58"/>
      <c r="S393" s="58" t="s">
        <v>113</v>
      </c>
      <c r="T393" s="58" t="s">
        <v>2389</v>
      </c>
      <c r="U393" s="58"/>
      <c r="V393" s="58"/>
    </row>
    <row r="394" spans="1:22" s="46" customFormat="1" ht="13.5" customHeight="1" x14ac:dyDescent="0.25">
      <c r="A394" s="58"/>
      <c r="B394" s="58"/>
      <c r="C394" s="58"/>
      <c r="D394" s="58"/>
      <c r="E394" s="58"/>
      <c r="F394" s="58" t="s">
        <v>2369</v>
      </c>
      <c r="G394" s="58" t="s">
        <v>2384</v>
      </c>
      <c r="H394" s="58">
        <v>2214106</v>
      </c>
      <c r="I394" s="58" t="s">
        <v>2756</v>
      </c>
      <c r="J394" s="58"/>
      <c r="K394" s="58"/>
      <c r="L394" s="58" t="s">
        <v>1558</v>
      </c>
      <c r="M394" s="58" t="s">
        <v>2385</v>
      </c>
      <c r="N394" s="58" t="s">
        <v>2371</v>
      </c>
      <c r="O394" s="58" t="s">
        <v>933</v>
      </c>
      <c r="P394" s="58" t="s">
        <v>934</v>
      </c>
      <c r="Q394" s="58"/>
      <c r="R394" s="58"/>
      <c r="S394" s="58" t="s">
        <v>113</v>
      </c>
      <c r="T394" s="58" t="s">
        <v>930</v>
      </c>
      <c r="U394" s="58"/>
      <c r="V394" s="58"/>
    </row>
    <row r="395" spans="1:22" s="46" customFormat="1" ht="13.5" customHeight="1" x14ac:dyDescent="0.25">
      <c r="A395" s="58"/>
      <c r="B395" s="58"/>
      <c r="C395" s="58"/>
      <c r="D395" s="58"/>
      <c r="E395" s="58"/>
      <c r="F395" s="58" t="s">
        <v>2370</v>
      </c>
      <c r="G395" s="58" t="s">
        <v>2386</v>
      </c>
      <c r="H395" s="58">
        <v>2214107</v>
      </c>
      <c r="I395" s="58" t="s">
        <v>2756</v>
      </c>
      <c r="J395" s="58"/>
      <c r="K395" s="58"/>
      <c r="L395" s="58" t="s">
        <v>1558</v>
      </c>
      <c r="M395" s="58" t="s">
        <v>2387</v>
      </c>
      <c r="N395" s="58" t="s">
        <v>2371</v>
      </c>
      <c r="O395" s="58" t="s">
        <v>933</v>
      </c>
      <c r="P395" s="58" t="s">
        <v>934</v>
      </c>
      <c r="Q395" s="58"/>
      <c r="R395" s="58"/>
      <c r="S395" s="58" t="s">
        <v>113</v>
      </c>
      <c r="T395" s="58" t="s">
        <v>2390</v>
      </c>
      <c r="U395" s="58"/>
      <c r="V395" s="58"/>
    </row>
    <row r="396" spans="1:22" ht="13.5" customHeight="1" x14ac:dyDescent="0.25">
      <c r="A396" s="58"/>
      <c r="B396" s="58"/>
      <c r="C396" s="58"/>
      <c r="D396" s="58"/>
      <c r="E396" s="58" t="s">
        <v>2372</v>
      </c>
      <c r="F396" s="58"/>
      <c r="G396" s="58"/>
      <c r="H396" s="58"/>
      <c r="I396" s="58"/>
      <c r="J396" s="58"/>
      <c r="K396" s="58"/>
      <c r="L396" s="58"/>
      <c r="M396" s="58"/>
      <c r="N396" s="58"/>
      <c r="O396" s="58"/>
      <c r="P396" s="58"/>
      <c r="Q396" s="58"/>
      <c r="R396" s="58"/>
      <c r="S396" s="58"/>
      <c r="T396" s="58"/>
      <c r="U396" s="58"/>
      <c r="V396" s="58"/>
    </row>
    <row r="397" spans="1:22" ht="13.5" customHeight="1" x14ac:dyDescent="0.25">
      <c r="A397" s="58"/>
      <c r="B397" s="58"/>
      <c r="C397" s="58"/>
      <c r="D397" s="58"/>
      <c r="E397" s="58"/>
      <c r="F397" s="58" t="s">
        <v>1999</v>
      </c>
      <c r="G397" s="58" t="s">
        <v>2000</v>
      </c>
      <c r="H397" s="58">
        <v>2214201</v>
      </c>
      <c r="I397" s="58" t="s">
        <v>2758</v>
      </c>
      <c r="J397" s="58"/>
      <c r="K397" s="58"/>
      <c r="L397" s="58" t="s">
        <v>783</v>
      </c>
      <c r="M397" s="58" t="s">
        <v>2001</v>
      </c>
      <c r="N397" s="58" t="s">
        <v>2002</v>
      </c>
      <c r="O397" s="58" t="s">
        <v>933</v>
      </c>
      <c r="P397" s="58" t="s">
        <v>934</v>
      </c>
      <c r="Q397" s="58"/>
      <c r="R397" s="58"/>
      <c r="S397" s="58" t="s">
        <v>115</v>
      </c>
      <c r="T397" s="58" t="s">
        <v>932</v>
      </c>
      <c r="U397" s="58"/>
      <c r="V397" s="58"/>
    </row>
    <row r="398" spans="1:22" ht="13.5" customHeight="1" x14ac:dyDescent="0.25">
      <c r="A398" s="58"/>
      <c r="B398" s="58"/>
      <c r="C398" s="58"/>
      <c r="D398" s="58"/>
      <c r="E398" s="58"/>
      <c r="F398" s="58" t="s">
        <v>2003</v>
      </c>
      <c r="G398" s="58" t="s">
        <v>2004</v>
      </c>
      <c r="H398" s="58">
        <v>2214202</v>
      </c>
      <c r="I398" s="58" t="s">
        <v>2758</v>
      </c>
      <c r="J398" s="58"/>
      <c r="K398" s="58"/>
      <c r="L398" s="58" t="s">
        <v>783</v>
      </c>
      <c r="M398" s="58" t="s">
        <v>2005</v>
      </c>
      <c r="N398" s="58" t="s">
        <v>2002</v>
      </c>
      <c r="O398" s="58" t="s">
        <v>933</v>
      </c>
      <c r="P398" s="58" t="s">
        <v>934</v>
      </c>
      <c r="Q398" s="58"/>
      <c r="R398" s="58"/>
      <c r="S398" s="58" t="s">
        <v>115</v>
      </c>
      <c r="T398" s="58" t="s">
        <v>932</v>
      </c>
      <c r="U398" s="58"/>
      <c r="V398" s="58"/>
    </row>
    <row r="399" spans="1:22" ht="13.5" customHeight="1" x14ac:dyDescent="0.25">
      <c r="A399" s="58"/>
      <c r="B399" s="58"/>
      <c r="C399" s="58"/>
      <c r="D399" s="58"/>
      <c r="E399" s="58"/>
      <c r="F399" s="58" t="s">
        <v>2006</v>
      </c>
      <c r="G399" s="58" t="s">
        <v>2007</v>
      </c>
      <c r="H399" s="58">
        <v>2214203</v>
      </c>
      <c r="I399" s="58" t="s">
        <v>2758</v>
      </c>
      <c r="J399" s="58"/>
      <c r="K399" s="58"/>
      <c r="L399" s="58" t="s">
        <v>783</v>
      </c>
      <c r="M399" s="58" t="s">
        <v>2008</v>
      </c>
      <c r="N399" s="58" t="s">
        <v>2002</v>
      </c>
      <c r="O399" s="58" t="s">
        <v>933</v>
      </c>
      <c r="P399" s="58" t="s">
        <v>934</v>
      </c>
      <c r="Q399" s="58"/>
      <c r="R399" s="58"/>
      <c r="S399" s="58" t="s">
        <v>115</v>
      </c>
      <c r="T399" s="58" t="s">
        <v>932</v>
      </c>
      <c r="U399" s="58"/>
      <c r="V399" s="58"/>
    </row>
    <row r="400" spans="1:22" ht="13.5" customHeight="1" x14ac:dyDescent="0.25">
      <c r="A400" s="58"/>
      <c r="B400" s="58"/>
      <c r="C400" s="58"/>
      <c r="D400" s="58"/>
      <c r="E400" s="58"/>
      <c r="F400" s="58" t="s">
        <v>2406</v>
      </c>
      <c r="G400" s="58" t="s">
        <v>2009</v>
      </c>
      <c r="H400" s="58">
        <v>2214204</v>
      </c>
      <c r="I400" s="58" t="s">
        <v>2758</v>
      </c>
      <c r="J400" s="58"/>
      <c r="K400" s="58"/>
      <c r="L400" s="58" t="s">
        <v>783</v>
      </c>
      <c r="M400" s="83" t="s">
        <v>2407</v>
      </c>
      <c r="N400" s="58" t="s">
        <v>2002</v>
      </c>
      <c r="O400" s="58" t="s">
        <v>933</v>
      </c>
      <c r="P400" s="58" t="s">
        <v>934</v>
      </c>
      <c r="Q400" s="58"/>
      <c r="R400" s="58"/>
      <c r="S400" s="58" t="s">
        <v>115</v>
      </c>
      <c r="T400" s="58" t="s">
        <v>932</v>
      </c>
      <c r="U400" s="58"/>
      <c r="V400" s="58"/>
    </row>
    <row r="401" spans="1:22" ht="13.5" customHeight="1" x14ac:dyDescent="0.25">
      <c r="A401" s="58"/>
      <c r="B401" s="58"/>
      <c r="C401" s="58"/>
      <c r="D401" s="58"/>
      <c r="E401" s="58"/>
      <c r="F401" s="58" t="s">
        <v>2010</v>
      </c>
      <c r="G401" s="58" t="s">
        <v>2011</v>
      </c>
      <c r="H401" s="58">
        <v>2214205</v>
      </c>
      <c r="I401" s="58" t="s">
        <v>2758</v>
      </c>
      <c r="J401" s="58"/>
      <c r="K401" s="58"/>
      <c r="L401" s="58" t="s">
        <v>783</v>
      </c>
      <c r="M401" s="58" t="s">
        <v>2012</v>
      </c>
      <c r="N401" s="58" t="s">
        <v>2002</v>
      </c>
      <c r="O401" s="58" t="s">
        <v>933</v>
      </c>
      <c r="P401" s="58" t="s">
        <v>934</v>
      </c>
      <c r="Q401" s="58"/>
      <c r="R401" s="58"/>
      <c r="S401" s="58" t="s">
        <v>115</v>
      </c>
      <c r="T401" s="58" t="s">
        <v>932</v>
      </c>
      <c r="U401" s="58"/>
      <c r="V401" s="58"/>
    </row>
    <row r="402" spans="1:22" ht="13.5" customHeight="1" x14ac:dyDescent="0.25">
      <c r="A402" s="58"/>
      <c r="B402" s="58"/>
      <c r="C402" s="58"/>
      <c r="D402" s="58"/>
      <c r="E402" s="58"/>
      <c r="F402" s="58" t="s">
        <v>2013</v>
      </c>
      <c r="G402" s="58" t="s">
        <v>2014</v>
      </c>
      <c r="H402" s="58">
        <v>2214206</v>
      </c>
      <c r="I402" s="58" t="s">
        <v>2758</v>
      </c>
      <c r="J402" s="58"/>
      <c r="K402" s="58"/>
      <c r="L402" s="58" t="s">
        <v>783</v>
      </c>
      <c r="M402" s="58" t="s">
        <v>2015</v>
      </c>
      <c r="N402" s="58" t="s">
        <v>2002</v>
      </c>
      <c r="O402" s="58" t="s">
        <v>933</v>
      </c>
      <c r="P402" s="58" t="s">
        <v>934</v>
      </c>
      <c r="Q402" s="58"/>
      <c r="R402" s="58"/>
      <c r="S402" s="58" t="s">
        <v>115</v>
      </c>
      <c r="T402" s="58" t="s">
        <v>932</v>
      </c>
      <c r="U402" s="58"/>
      <c r="V402" s="58"/>
    </row>
    <row r="403" spans="1:22" ht="13.5" customHeight="1" x14ac:dyDescent="0.25">
      <c r="A403" s="58"/>
      <c r="B403" s="58"/>
      <c r="C403" s="58"/>
      <c r="D403" s="58"/>
      <c r="E403" s="58"/>
      <c r="F403" s="58" t="s">
        <v>2016</v>
      </c>
      <c r="G403" s="58" t="s">
        <v>2017</v>
      </c>
      <c r="H403" s="58">
        <v>2214207</v>
      </c>
      <c r="I403" s="58" t="s">
        <v>2758</v>
      </c>
      <c r="J403" s="58"/>
      <c r="K403" s="58"/>
      <c r="L403" s="58" t="s">
        <v>783</v>
      </c>
      <c r="M403" s="58" t="s">
        <v>2018</v>
      </c>
      <c r="N403" s="58" t="s">
        <v>2002</v>
      </c>
      <c r="O403" s="58" t="s">
        <v>933</v>
      </c>
      <c r="P403" s="58" t="s">
        <v>934</v>
      </c>
      <c r="Q403" s="58"/>
      <c r="R403" s="58"/>
      <c r="S403" s="58" t="s">
        <v>115</v>
      </c>
      <c r="T403" s="58" t="s">
        <v>932</v>
      </c>
      <c r="U403" s="58"/>
      <c r="V403" s="58"/>
    </row>
    <row r="404" spans="1:22" ht="13.5" customHeight="1" x14ac:dyDescent="0.25">
      <c r="A404" s="58"/>
      <c r="B404" s="58"/>
      <c r="C404" s="58"/>
      <c r="D404" s="58"/>
      <c r="E404" s="58"/>
      <c r="F404" s="58" t="s">
        <v>2019</v>
      </c>
      <c r="G404" s="58" t="s">
        <v>2020</v>
      </c>
      <c r="H404" s="58">
        <v>2214208</v>
      </c>
      <c r="I404" s="58" t="s">
        <v>2758</v>
      </c>
      <c r="J404" s="58"/>
      <c r="K404" s="58"/>
      <c r="L404" s="58" t="s">
        <v>783</v>
      </c>
      <c r="M404" s="58" t="s">
        <v>2021</v>
      </c>
      <c r="N404" s="58" t="s">
        <v>2002</v>
      </c>
      <c r="O404" s="58" t="s">
        <v>933</v>
      </c>
      <c r="P404" s="58" t="s">
        <v>934</v>
      </c>
      <c r="Q404" s="58"/>
      <c r="R404" s="58"/>
      <c r="S404" s="58" t="s">
        <v>115</v>
      </c>
      <c r="T404" s="58" t="s">
        <v>932</v>
      </c>
      <c r="U404" s="58"/>
      <c r="V404" s="58"/>
    </row>
    <row r="405" spans="1:22" ht="13.5" customHeight="1" x14ac:dyDescent="0.25">
      <c r="A405" s="58"/>
      <c r="B405" s="58"/>
      <c r="C405" s="58"/>
      <c r="D405" s="58"/>
      <c r="E405" s="58"/>
      <c r="F405" s="58" t="s">
        <v>2022</v>
      </c>
      <c r="G405" s="58" t="s">
        <v>2023</v>
      </c>
      <c r="H405" s="58">
        <v>2214209</v>
      </c>
      <c r="I405" s="58" t="s">
        <v>2758</v>
      </c>
      <c r="J405" s="58"/>
      <c r="K405" s="58"/>
      <c r="L405" s="58" t="s">
        <v>783</v>
      </c>
      <c r="M405" s="58" t="s">
        <v>2024</v>
      </c>
      <c r="N405" s="58" t="s">
        <v>2002</v>
      </c>
      <c r="O405" s="58" t="s">
        <v>933</v>
      </c>
      <c r="P405" s="58" t="s">
        <v>934</v>
      </c>
      <c r="Q405" s="58"/>
      <c r="R405" s="58"/>
      <c r="S405" s="58" t="s">
        <v>115</v>
      </c>
      <c r="T405" s="58" t="s">
        <v>932</v>
      </c>
      <c r="U405" s="58"/>
      <c r="V405" s="58"/>
    </row>
    <row r="406" spans="1:22" s="46" customFormat="1" ht="13.5" customHeight="1" x14ac:dyDescent="0.25">
      <c r="A406" s="58"/>
      <c r="B406" s="58"/>
      <c r="C406" s="58"/>
      <c r="D406" s="58"/>
      <c r="E406" s="58"/>
      <c r="F406" s="58" t="s">
        <v>2422</v>
      </c>
      <c r="G406" s="58" t="s">
        <v>2023</v>
      </c>
      <c r="H406" s="58">
        <v>2214210</v>
      </c>
      <c r="I406" s="58" t="s">
        <v>2758</v>
      </c>
      <c r="J406" s="58"/>
      <c r="K406" s="58"/>
      <c r="L406" s="58" t="s">
        <v>783</v>
      </c>
      <c r="M406" s="83" t="s">
        <v>2423</v>
      </c>
      <c r="N406" s="58" t="s">
        <v>2002</v>
      </c>
      <c r="O406" s="58" t="s">
        <v>933</v>
      </c>
      <c r="P406" s="58" t="s">
        <v>934</v>
      </c>
      <c r="Q406" s="58"/>
      <c r="R406" s="58"/>
      <c r="S406" s="58" t="s">
        <v>115</v>
      </c>
      <c r="T406" s="58" t="s">
        <v>932</v>
      </c>
      <c r="U406" s="58"/>
      <c r="V406" s="58"/>
    </row>
    <row r="407" spans="1:22" ht="13.5" customHeight="1" x14ac:dyDescent="0.25">
      <c r="A407" s="58"/>
      <c r="B407" s="58"/>
      <c r="C407" s="58"/>
      <c r="D407" s="58"/>
      <c r="E407" s="58"/>
      <c r="F407" s="58" t="s">
        <v>2399</v>
      </c>
      <c r="G407" s="58" t="s">
        <v>2025</v>
      </c>
      <c r="H407" s="58">
        <v>2214211</v>
      </c>
      <c r="I407" s="58" t="s">
        <v>2758</v>
      </c>
      <c r="J407" s="58"/>
      <c r="K407" s="58"/>
      <c r="L407" s="58" t="s">
        <v>783</v>
      </c>
      <c r="M407" s="58" t="s">
        <v>2026</v>
      </c>
      <c r="N407" s="83" t="s">
        <v>2397</v>
      </c>
      <c r="O407" s="58" t="s">
        <v>933</v>
      </c>
      <c r="P407" s="58" t="s">
        <v>934</v>
      </c>
      <c r="Q407" s="58"/>
      <c r="R407" s="58"/>
      <c r="S407" s="58" t="s">
        <v>115</v>
      </c>
      <c r="T407" s="58" t="s">
        <v>932</v>
      </c>
      <c r="U407" s="58"/>
      <c r="V407" s="58"/>
    </row>
    <row r="408" spans="1:22" ht="13.5" customHeight="1" x14ac:dyDescent="0.25">
      <c r="A408" s="58"/>
      <c r="B408" s="58"/>
      <c r="C408" s="58"/>
      <c r="D408" s="58"/>
      <c r="E408" s="58"/>
      <c r="F408" s="58" t="s">
        <v>2027</v>
      </c>
      <c r="G408" s="58" t="s">
        <v>2028</v>
      </c>
      <c r="H408" s="58">
        <v>2214212</v>
      </c>
      <c r="I408" s="58" t="s">
        <v>2758</v>
      </c>
      <c r="J408" s="58"/>
      <c r="K408" s="58"/>
      <c r="L408" s="58" t="s">
        <v>783</v>
      </c>
      <c r="M408" s="83" t="s">
        <v>2400</v>
      </c>
      <c r="N408" s="83" t="s">
        <v>2398</v>
      </c>
      <c r="O408" s="58" t="s">
        <v>933</v>
      </c>
      <c r="P408" s="58" t="s">
        <v>934</v>
      </c>
      <c r="Q408" s="58"/>
      <c r="R408" s="58"/>
      <c r="S408" s="58" t="s">
        <v>115</v>
      </c>
      <c r="T408" s="58" t="s">
        <v>932</v>
      </c>
      <c r="U408" s="58"/>
      <c r="V408" s="58"/>
    </row>
    <row r="409" spans="1:22" ht="13.5" customHeight="1" x14ac:dyDescent="0.25">
      <c r="A409" s="58"/>
      <c r="B409" s="58"/>
      <c r="C409" s="58"/>
      <c r="D409" s="58"/>
      <c r="E409" s="58"/>
      <c r="F409" s="58" t="s">
        <v>2029</v>
      </c>
      <c r="G409" s="58" t="s">
        <v>2030</v>
      </c>
      <c r="H409" s="58">
        <v>2214213</v>
      </c>
      <c r="I409" s="58" t="s">
        <v>2758</v>
      </c>
      <c r="J409" s="58"/>
      <c r="K409" s="58"/>
      <c r="L409" s="58" t="s">
        <v>783</v>
      </c>
      <c r="M409" s="58" t="s">
        <v>2031</v>
      </c>
      <c r="N409" s="58" t="s">
        <v>2032</v>
      </c>
      <c r="O409" s="58" t="s">
        <v>933</v>
      </c>
      <c r="P409" s="58" t="s">
        <v>934</v>
      </c>
      <c r="Q409" s="58"/>
      <c r="R409" s="58"/>
      <c r="S409" s="58" t="s">
        <v>115</v>
      </c>
      <c r="T409" s="58" t="s">
        <v>932</v>
      </c>
      <c r="U409" s="58"/>
      <c r="V409" s="58"/>
    </row>
    <row r="410" spans="1:22" ht="13.5" customHeight="1" x14ac:dyDescent="0.25">
      <c r="A410" s="58"/>
      <c r="B410" s="58"/>
      <c r="C410" s="58"/>
      <c r="D410" s="58"/>
      <c r="E410" s="58"/>
      <c r="F410" s="58" t="s">
        <v>2033</v>
      </c>
      <c r="G410" s="58" t="s">
        <v>2034</v>
      </c>
      <c r="H410" s="58">
        <v>2214214</v>
      </c>
      <c r="I410" s="58" t="s">
        <v>2758</v>
      </c>
      <c r="J410" s="58"/>
      <c r="K410" s="58"/>
      <c r="L410" s="58" t="s">
        <v>783</v>
      </c>
      <c r="M410" s="58" t="s">
        <v>2035</v>
      </c>
      <c r="N410" s="58" t="s">
        <v>2036</v>
      </c>
      <c r="O410" s="58" t="s">
        <v>933</v>
      </c>
      <c r="P410" s="58" t="s">
        <v>934</v>
      </c>
      <c r="Q410" s="58"/>
      <c r="R410" s="58"/>
      <c r="S410" s="58" t="s">
        <v>115</v>
      </c>
      <c r="T410" s="58" t="s">
        <v>932</v>
      </c>
      <c r="U410" s="58"/>
      <c r="V410" s="58"/>
    </row>
    <row r="411" spans="1:22" ht="13.5" customHeight="1" x14ac:dyDescent="0.25">
      <c r="A411" s="58"/>
      <c r="B411" s="58"/>
      <c r="C411" s="58"/>
      <c r="D411" s="58"/>
      <c r="E411" s="58"/>
      <c r="F411" s="58" t="s">
        <v>2037</v>
      </c>
      <c r="G411" s="58" t="s">
        <v>2038</v>
      </c>
      <c r="H411" s="58">
        <v>2214215</v>
      </c>
      <c r="I411" s="58" t="s">
        <v>2758</v>
      </c>
      <c r="J411" s="58"/>
      <c r="K411" s="58"/>
      <c r="L411" s="58" t="s">
        <v>783</v>
      </c>
      <c r="M411" s="58" t="s">
        <v>2039</v>
      </c>
      <c r="N411" s="58" t="s">
        <v>2040</v>
      </c>
      <c r="O411" s="58" t="s">
        <v>933</v>
      </c>
      <c r="P411" s="58" t="s">
        <v>934</v>
      </c>
      <c r="Q411" s="58"/>
      <c r="R411" s="58"/>
      <c r="S411" s="58" t="s">
        <v>115</v>
      </c>
      <c r="T411" s="58" t="s">
        <v>932</v>
      </c>
      <c r="U411" s="58"/>
      <c r="V411" s="58"/>
    </row>
    <row r="412" spans="1:22" ht="13.5" customHeight="1" x14ac:dyDescent="0.25">
      <c r="A412" s="58"/>
      <c r="B412" s="58"/>
      <c r="C412" s="58"/>
      <c r="D412" s="58"/>
      <c r="E412" s="58"/>
      <c r="F412" s="58" t="s">
        <v>2041</v>
      </c>
      <c r="G412" s="58" t="s">
        <v>2042</v>
      </c>
      <c r="H412" s="58">
        <v>2214216</v>
      </c>
      <c r="I412" s="58" t="s">
        <v>2758</v>
      </c>
      <c r="J412" s="58"/>
      <c r="K412" s="58"/>
      <c r="L412" s="58" t="s">
        <v>783</v>
      </c>
      <c r="M412" s="58" t="s">
        <v>2043</v>
      </c>
      <c r="N412" s="58" t="s">
        <v>2044</v>
      </c>
      <c r="O412" s="58" t="s">
        <v>933</v>
      </c>
      <c r="P412" s="58" t="s">
        <v>934</v>
      </c>
      <c r="Q412" s="58"/>
      <c r="R412" s="58"/>
      <c r="S412" s="58" t="s">
        <v>115</v>
      </c>
      <c r="T412" s="58" t="s">
        <v>932</v>
      </c>
      <c r="U412" s="58"/>
      <c r="V412" s="58"/>
    </row>
    <row r="413" spans="1:22" ht="13.5" customHeight="1" x14ac:dyDescent="0.25">
      <c r="A413" s="58"/>
      <c r="B413" s="58"/>
      <c r="C413" s="58"/>
      <c r="D413" s="58"/>
      <c r="E413" s="58"/>
      <c r="F413" s="58" t="s">
        <v>2045</v>
      </c>
      <c r="G413" s="58" t="s">
        <v>2046</v>
      </c>
      <c r="H413" s="58">
        <v>2214217</v>
      </c>
      <c r="I413" s="58" t="s">
        <v>2758</v>
      </c>
      <c r="J413" s="58"/>
      <c r="K413" s="58"/>
      <c r="L413" s="58" t="s">
        <v>783</v>
      </c>
      <c r="M413" s="58" t="s">
        <v>2047</v>
      </c>
      <c r="N413" s="58" t="s">
        <v>2002</v>
      </c>
      <c r="O413" s="58" t="s">
        <v>933</v>
      </c>
      <c r="P413" s="58" t="s">
        <v>934</v>
      </c>
      <c r="Q413" s="58"/>
      <c r="R413" s="58"/>
      <c r="S413" s="58" t="s">
        <v>115</v>
      </c>
      <c r="T413" s="58" t="s">
        <v>932</v>
      </c>
      <c r="U413" s="58"/>
      <c r="V413" s="58"/>
    </row>
    <row r="414" spans="1:22" ht="13.5" customHeight="1" x14ac:dyDescent="0.25">
      <c r="A414" s="58"/>
      <c r="B414" s="58"/>
      <c r="C414" s="58"/>
      <c r="D414" s="58"/>
      <c r="E414" s="58"/>
      <c r="F414" s="58" t="s">
        <v>2048</v>
      </c>
      <c r="G414" s="58" t="s">
        <v>2049</v>
      </c>
      <c r="H414" s="58">
        <v>2214218</v>
      </c>
      <c r="I414" s="58" t="s">
        <v>2758</v>
      </c>
      <c r="J414" s="58"/>
      <c r="K414" s="58"/>
      <c r="L414" s="58" t="s">
        <v>783</v>
      </c>
      <c r="M414" s="58" t="s">
        <v>2050</v>
      </c>
      <c r="N414" s="58" t="s">
        <v>2002</v>
      </c>
      <c r="O414" s="58" t="s">
        <v>933</v>
      </c>
      <c r="P414" s="58" t="s">
        <v>934</v>
      </c>
      <c r="Q414" s="58"/>
      <c r="R414" s="58"/>
      <c r="S414" s="58" t="s">
        <v>115</v>
      </c>
      <c r="T414" s="58" t="s">
        <v>932</v>
      </c>
      <c r="U414" s="58"/>
      <c r="V414" s="58"/>
    </row>
    <row r="415" spans="1:22" ht="13.5" customHeight="1" x14ac:dyDescent="0.25">
      <c r="A415" s="58"/>
      <c r="B415" s="58"/>
      <c r="C415" s="58"/>
      <c r="D415" s="58"/>
      <c r="E415" s="58"/>
      <c r="F415" s="58" t="s">
        <v>2051</v>
      </c>
      <c r="G415" s="58" t="s">
        <v>2052</v>
      </c>
      <c r="H415" s="58">
        <v>2214219</v>
      </c>
      <c r="I415" s="58" t="s">
        <v>2758</v>
      </c>
      <c r="J415" s="58"/>
      <c r="K415" s="58"/>
      <c r="L415" s="58" t="s">
        <v>783</v>
      </c>
      <c r="M415" s="58" t="s">
        <v>2053</v>
      </c>
      <c r="N415" s="58" t="s">
        <v>2054</v>
      </c>
      <c r="O415" s="58" t="s">
        <v>933</v>
      </c>
      <c r="P415" s="58" t="s">
        <v>934</v>
      </c>
      <c r="Q415" s="58"/>
      <c r="R415" s="58"/>
      <c r="S415" s="58" t="s">
        <v>115</v>
      </c>
      <c r="T415" s="58" t="s">
        <v>932</v>
      </c>
      <c r="U415" s="58"/>
      <c r="V415" s="58"/>
    </row>
    <row r="416" spans="1:22" ht="13.5" customHeight="1" x14ac:dyDescent="0.25">
      <c r="A416" s="58"/>
      <c r="B416" s="58"/>
      <c r="C416" s="58"/>
      <c r="D416" s="58"/>
      <c r="E416" s="58"/>
      <c r="F416" s="58" t="s">
        <v>2055</v>
      </c>
      <c r="G416" s="58" t="s">
        <v>2056</v>
      </c>
      <c r="H416" s="58">
        <v>2214220</v>
      </c>
      <c r="I416" s="58" t="s">
        <v>2758</v>
      </c>
      <c r="J416" s="58"/>
      <c r="K416" s="58"/>
      <c r="L416" s="58" t="s">
        <v>783</v>
      </c>
      <c r="M416" s="58" t="s">
        <v>2057</v>
      </c>
      <c r="N416" s="58" t="s">
        <v>2054</v>
      </c>
      <c r="O416" s="58" t="s">
        <v>933</v>
      </c>
      <c r="P416" s="58" t="s">
        <v>934</v>
      </c>
      <c r="Q416" s="58"/>
      <c r="R416" s="58"/>
      <c r="S416" s="58" t="s">
        <v>115</v>
      </c>
      <c r="T416" s="58" t="s">
        <v>932</v>
      </c>
      <c r="U416" s="58"/>
      <c r="V416" s="58"/>
    </row>
    <row r="417" spans="1:22" s="46" customFormat="1" ht="13.5" customHeight="1" x14ac:dyDescent="0.25">
      <c r="A417" s="58"/>
      <c r="B417" s="58"/>
      <c r="C417" s="58"/>
      <c r="D417" s="58"/>
      <c r="E417" s="58"/>
      <c r="F417" s="58" t="s">
        <v>786</v>
      </c>
      <c r="G417" s="58" t="s">
        <v>787</v>
      </c>
      <c r="H417" s="58">
        <v>2210113</v>
      </c>
      <c r="I417" s="58" t="s">
        <v>2758</v>
      </c>
      <c r="J417" s="58"/>
      <c r="K417" s="58"/>
      <c r="L417" s="58" t="s">
        <v>783</v>
      </c>
      <c r="M417" s="58" t="s">
        <v>788</v>
      </c>
      <c r="N417" s="58" t="s">
        <v>789</v>
      </c>
      <c r="O417" s="58" t="s">
        <v>933</v>
      </c>
      <c r="P417" s="58" t="s">
        <v>934</v>
      </c>
      <c r="Q417" s="58"/>
      <c r="R417" s="58"/>
      <c r="S417" s="58" t="s">
        <v>2786</v>
      </c>
      <c r="T417" s="58" t="s">
        <v>932</v>
      </c>
      <c r="U417" s="58"/>
      <c r="V417" s="58"/>
    </row>
    <row r="418" spans="1:22" s="46" customFormat="1" ht="13.5" customHeight="1" x14ac:dyDescent="0.25">
      <c r="A418" s="58"/>
      <c r="B418" s="58"/>
      <c r="C418" s="58"/>
      <c r="D418" s="58"/>
      <c r="E418" s="58"/>
      <c r="F418" s="58" t="s">
        <v>1082</v>
      </c>
      <c r="G418" s="58" t="s">
        <v>874</v>
      </c>
      <c r="H418" s="58">
        <v>2210242</v>
      </c>
      <c r="I418" s="58" t="s">
        <v>2758</v>
      </c>
      <c r="J418" s="58"/>
      <c r="K418" s="58"/>
      <c r="L418" s="58" t="s">
        <v>783</v>
      </c>
      <c r="M418" s="58" t="s">
        <v>556</v>
      </c>
      <c r="N418" s="58" t="s">
        <v>557</v>
      </c>
      <c r="O418" s="58" t="s">
        <v>933</v>
      </c>
      <c r="P418" s="58" t="s">
        <v>934</v>
      </c>
      <c r="Q418" s="58"/>
      <c r="R418" s="58"/>
      <c r="S418" s="58" t="s">
        <v>2786</v>
      </c>
      <c r="T418" s="58" t="s">
        <v>932</v>
      </c>
      <c r="U418" s="58"/>
      <c r="V418" s="58"/>
    </row>
    <row r="419" spans="1:22" s="46" customFormat="1" ht="13.5" customHeight="1" x14ac:dyDescent="0.25">
      <c r="A419" s="58"/>
      <c r="B419" s="58"/>
      <c r="C419" s="58"/>
      <c r="D419" s="58"/>
      <c r="E419" s="58"/>
      <c r="F419" s="58" t="s">
        <v>2494</v>
      </c>
      <c r="G419" s="58" t="s">
        <v>910</v>
      </c>
      <c r="H419" s="58">
        <v>2210329</v>
      </c>
      <c r="I419" s="58" t="s">
        <v>2758</v>
      </c>
      <c r="J419" s="58"/>
      <c r="K419" s="58"/>
      <c r="L419" s="58" t="s">
        <v>783</v>
      </c>
      <c r="M419" s="83" t="s">
        <v>2617</v>
      </c>
      <c r="N419" s="58" t="s">
        <v>642</v>
      </c>
      <c r="O419" s="58" t="s">
        <v>933</v>
      </c>
      <c r="P419" s="58" t="s">
        <v>934</v>
      </c>
      <c r="Q419" s="58"/>
      <c r="R419" s="58"/>
      <c r="S419" s="58" t="s">
        <v>2786</v>
      </c>
      <c r="T419" s="58" t="s">
        <v>932</v>
      </c>
      <c r="U419" s="58"/>
      <c r="V419" s="58"/>
    </row>
    <row r="420" spans="1:22" s="46" customFormat="1" ht="13.5" customHeight="1" x14ac:dyDescent="0.25">
      <c r="A420" s="58"/>
      <c r="B420" s="58"/>
      <c r="C420" s="58"/>
      <c r="D420" s="58"/>
      <c r="E420" s="58"/>
      <c r="F420" s="58" t="s">
        <v>2536</v>
      </c>
      <c r="G420" s="58" t="s">
        <v>910</v>
      </c>
      <c r="H420" s="58">
        <v>2210429</v>
      </c>
      <c r="I420" s="58" t="s">
        <v>2758</v>
      </c>
      <c r="J420" s="58"/>
      <c r="K420" s="58"/>
      <c r="L420" s="58" t="s">
        <v>783</v>
      </c>
      <c r="M420" s="83" t="s">
        <v>2578</v>
      </c>
      <c r="N420" s="58" t="s">
        <v>642</v>
      </c>
      <c r="O420" s="58" t="s">
        <v>933</v>
      </c>
      <c r="P420" s="58" t="s">
        <v>934</v>
      </c>
      <c r="Q420" s="58"/>
      <c r="R420" s="58"/>
      <c r="S420" s="58" t="s">
        <v>2786</v>
      </c>
      <c r="T420" s="58" t="s">
        <v>932</v>
      </c>
      <c r="U420" s="58"/>
      <c r="V420" s="58"/>
    </row>
  </sheetData>
  <autoFilter ref="A1:AW420"/>
  <phoneticPr fontId="1" type="noConversion"/>
  <dataValidations count="2">
    <dataValidation type="list" allowBlank="1" showInputMessage="1" showErrorMessage="1" sqref="I1:I1048576">
      <formula1>$AH$1:$AK$1</formula1>
    </dataValidation>
    <dataValidation type="list" allowBlank="1" showInputMessage="1" showErrorMessage="1" sqref="S1:S1048576">
      <formula1>$AP$1:$AW$1</formula1>
    </dataValidation>
  </dataValidations>
  <pageMargins left="0.7" right="0.7" top="0.75" bottom="0.75" header="0.3" footer="0.3"/>
  <pageSetup paperSize="9" orientation="portrait" horizontalDpi="1200" verticalDpi="1200"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G47"/>
  <sheetViews>
    <sheetView topLeftCell="A13" workbookViewId="0">
      <selection activeCell="E47" sqref="E47"/>
    </sheetView>
  </sheetViews>
  <sheetFormatPr defaultColWidth="9" defaultRowHeight="14" x14ac:dyDescent="0.25"/>
  <cols>
    <col min="1" max="1" width="16.6328125" style="46" customWidth="1"/>
    <col min="2" max="2" width="16.6328125" style="27" customWidth="1"/>
    <col min="3" max="3" width="27.54296875" style="27" customWidth="1"/>
    <col min="4" max="4" width="37" style="46" customWidth="1"/>
    <col min="5" max="5" width="51.453125" style="46" customWidth="1"/>
    <col min="6" max="6" width="47.90625" style="46" customWidth="1"/>
    <col min="7" max="7" width="72.453125" style="46" customWidth="1"/>
    <col min="8" max="22" width="9" style="46" customWidth="1"/>
    <col min="23" max="16384" width="9" style="46"/>
  </cols>
  <sheetData>
    <row r="1" spans="1:5" x14ac:dyDescent="0.25">
      <c r="A1" s="18" t="s">
        <v>118</v>
      </c>
      <c r="B1" s="19"/>
      <c r="C1" s="19"/>
    </row>
    <row r="2" spans="1:5" x14ac:dyDescent="0.25">
      <c r="A2" s="20" t="s">
        <v>119</v>
      </c>
      <c r="B2" s="21" t="s">
        <v>120</v>
      </c>
      <c r="C2" s="21" t="s">
        <v>121</v>
      </c>
    </row>
    <row r="3" spans="1:5" ht="14.15" customHeight="1" x14ac:dyDescent="0.25">
      <c r="A3" s="15" t="s">
        <v>122</v>
      </c>
      <c r="B3" s="51" t="s">
        <v>123</v>
      </c>
      <c r="C3" s="22" t="e">
        <f>C$9+C$10</f>
        <v>#DIV/0!</v>
      </c>
    </row>
    <row r="4" spans="1:5" ht="14.15" customHeight="1" x14ac:dyDescent="0.25">
      <c r="A4" s="15" t="s">
        <v>124</v>
      </c>
      <c r="B4" s="51" t="s">
        <v>125</v>
      </c>
      <c r="C4" s="22" t="e">
        <f>C$11+C$12</f>
        <v>#DIV/0!</v>
      </c>
    </row>
    <row r="5" spans="1:5" ht="14.15" customHeight="1" x14ac:dyDescent="0.25">
      <c r="A5" s="15" t="s">
        <v>126</v>
      </c>
      <c r="B5" s="51" t="s">
        <v>127</v>
      </c>
      <c r="C5" s="22" t="e">
        <f>C$9+C$10+C$11+C$12</f>
        <v>#DIV/0!</v>
      </c>
    </row>
    <row r="6" spans="1:5" ht="13.5" customHeight="1" x14ac:dyDescent="0.25">
      <c r="A6" s="20" t="s">
        <v>128</v>
      </c>
      <c r="B6" s="23">
        <f>E9/SUM(E9:E10)</f>
        <v>0.76070528967254403</v>
      </c>
      <c r="C6" s="24"/>
    </row>
    <row r="7" spans="1:5" x14ac:dyDescent="0.25">
      <c r="A7" s="25" t="s">
        <v>129</v>
      </c>
      <c r="B7" s="25"/>
      <c r="C7" s="25"/>
      <c r="D7" s="25"/>
      <c r="E7" s="25"/>
    </row>
    <row r="8" spans="1:5" x14ac:dyDescent="0.25">
      <c r="A8" s="25" t="s">
        <v>119</v>
      </c>
      <c r="B8" s="25" t="s">
        <v>130</v>
      </c>
      <c r="C8" s="25" t="s">
        <v>131</v>
      </c>
      <c r="D8" s="25" t="s">
        <v>132</v>
      </c>
      <c r="E8" s="25" t="s">
        <v>130</v>
      </c>
    </row>
    <row r="9" spans="1:5" x14ac:dyDescent="0.25">
      <c r="A9" s="25" t="s">
        <v>106</v>
      </c>
      <c r="B9" s="25">
        <f>COUNTIF(用例全集!$I:$I,A9)</f>
        <v>0</v>
      </c>
      <c r="C9" s="26" t="e">
        <f t="shared" ref="C9:C15" si="0">B9/SUM(B$9:B$15)</f>
        <v>#DIV/0!</v>
      </c>
      <c r="D9" s="25" t="s">
        <v>133</v>
      </c>
      <c r="E9" s="25">
        <f>COUNTIF(用例全集!$T:$T,D9)</f>
        <v>302</v>
      </c>
    </row>
    <row r="10" spans="1:5" x14ac:dyDescent="0.25">
      <c r="A10" s="25" t="s">
        <v>107</v>
      </c>
      <c r="B10" s="25">
        <f>COUNTIF(用例全集!$I:$I,A10)</f>
        <v>0</v>
      </c>
      <c r="C10" s="26" t="e">
        <f t="shared" si="0"/>
        <v>#DIV/0!</v>
      </c>
      <c r="D10" s="25" t="s">
        <v>134</v>
      </c>
      <c r="E10" s="25">
        <f>COUNTIF(用例全集!$T:$T,D10)</f>
        <v>95</v>
      </c>
    </row>
    <row r="11" spans="1:5" ht="14.15" customHeight="1" x14ac:dyDescent="0.25">
      <c r="A11" s="25" t="s">
        <v>108</v>
      </c>
      <c r="B11" s="25">
        <f>COUNTIF(用例全集!$I:$I,A11)</f>
        <v>0</v>
      </c>
      <c r="C11" s="26" t="e">
        <f t="shared" si="0"/>
        <v>#DIV/0!</v>
      </c>
      <c r="D11" s="25"/>
      <c r="E11" s="25"/>
    </row>
    <row r="12" spans="1:5" ht="14.15" customHeight="1" x14ac:dyDescent="0.25">
      <c r="A12" s="25" t="s">
        <v>109</v>
      </c>
      <c r="B12" s="25">
        <f>COUNTIF(用例全集!$I:$I,A12)</f>
        <v>0</v>
      </c>
      <c r="C12" s="26" t="e">
        <f t="shared" si="0"/>
        <v>#DIV/0!</v>
      </c>
      <c r="D12" s="25"/>
      <c r="E12" s="25"/>
    </row>
    <row r="13" spans="1:5" ht="14.15" customHeight="1" x14ac:dyDescent="0.25">
      <c r="A13" s="25" t="s">
        <v>110</v>
      </c>
      <c r="B13" s="25">
        <f>COUNTIF(用例全集!$I:$I,A13)</f>
        <v>0</v>
      </c>
      <c r="C13" s="26" t="e">
        <f t="shared" si="0"/>
        <v>#DIV/0!</v>
      </c>
      <c r="D13" s="25"/>
      <c r="E13" s="25"/>
    </row>
    <row r="14" spans="1:5" ht="14.15" customHeight="1" x14ac:dyDescent="0.25">
      <c r="A14" s="25" t="s">
        <v>111</v>
      </c>
      <c r="B14" s="25">
        <f>COUNTIF(用例全集!$I:$I,A14)</f>
        <v>0</v>
      </c>
      <c r="C14" s="26" t="e">
        <f t="shared" si="0"/>
        <v>#DIV/0!</v>
      </c>
      <c r="D14" s="25"/>
      <c r="E14" s="25"/>
    </row>
    <row r="15" spans="1:5" ht="14.15" customHeight="1" x14ac:dyDescent="0.25">
      <c r="A15" s="25" t="s">
        <v>112</v>
      </c>
      <c r="B15" s="25">
        <f>COUNTIF(用例全集!$I:$I,A15)</f>
        <v>0</v>
      </c>
      <c r="C15" s="26" t="e">
        <f t="shared" si="0"/>
        <v>#DIV/0!</v>
      </c>
      <c r="D15" s="25"/>
      <c r="E15" s="25"/>
    </row>
    <row r="16" spans="1:5" x14ac:dyDescent="0.25">
      <c r="A16" s="25" t="s">
        <v>135</v>
      </c>
      <c r="B16" s="25">
        <f>SUM(B9:B15)</f>
        <v>0</v>
      </c>
      <c r="C16" s="26"/>
      <c r="D16" s="25"/>
      <c r="E16" s="25"/>
    </row>
    <row r="17" spans="1:7" ht="14.15" customHeight="1" x14ac:dyDescent="0.25">
      <c r="B17" s="46"/>
      <c r="C17" s="46"/>
    </row>
    <row r="18" spans="1:7" ht="14.15" customHeight="1" x14ac:dyDescent="0.25">
      <c r="C18" s="19"/>
    </row>
    <row r="19" spans="1:7" x14ac:dyDescent="0.25">
      <c r="A19" s="18" t="s">
        <v>136</v>
      </c>
      <c r="C19" s="19"/>
    </row>
    <row r="20" spans="1:7" x14ac:dyDescent="0.25">
      <c r="A20" s="27" t="s">
        <v>137</v>
      </c>
      <c r="B20" s="19" t="s">
        <v>138</v>
      </c>
      <c r="C20" s="19"/>
    </row>
    <row r="21" spans="1:7" ht="14.15" customHeight="1" x14ac:dyDescent="0.25">
      <c r="C21" s="19"/>
    </row>
    <row r="22" spans="1:7" x14ac:dyDescent="0.25">
      <c r="A22" s="28" t="s">
        <v>139</v>
      </c>
    </row>
    <row r="23" spans="1:7" x14ac:dyDescent="0.25">
      <c r="A23" s="117" t="s">
        <v>91</v>
      </c>
      <c r="B23" s="174" t="s">
        <v>140</v>
      </c>
      <c r="C23" s="174"/>
      <c r="D23" s="174"/>
      <c r="E23" s="174"/>
      <c r="F23" s="174"/>
      <c r="G23" s="174"/>
    </row>
    <row r="24" spans="1:7" x14ac:dyDescent="0.25">
      <c r="A24" s="178" t="s">
        <v>119</v>
      </c>
      <c r="B24" s="173" t="s">
        <v>141</v>
      </c>
      <c r="C24" s="173"/>
      <c r="D24" s="173"/>
      <c r="E24" s="173"/>
      <c r="F24" s="173"/>
      <c r="G24" s="173"/>
    </row>
    <row r="25" spans="1:7" x14ac:dyDescent="0.25">
      <c r="A25" s="160"/>
      <c r="B25" s="116" t="s">
        <v>119</v>
      </c>
      <c r="C25" s="116" t="s">
        <v>2766</v>
      </c>
      <c r="D25" s="116" t="s">
        <v>2767</v>
      </c>
      <c r="E25" s="118" t="s">
        <v>2768</v>
      </c>
      <c r="F25" s="115" t="s">
        <v>2769</v>
      </c>
      <c r="G25" s="116" t="s">
        <v>2761</v>
      </c>
    </row>
    <row r="26" spans="1:7" ht="14" customHeight="1" x14ac:dyDescent="0.25">
      <c r="A26" s="160"/>
      <c r="B26" s="116" t="s">
        <v>2753</v>
      </c>
      <c r="C26" s="116" t="s">
        <v>2762</v>
      </c>
      <c r="D26" s="118" t="s">
        <v>2770</v>
      </c>
      <c r="E26" s="118" t="s">
        <v>2771</v>
      </c>
      <c r="F26" s="118" t="s">
        <v>2772</v>
      </c>
      <c r="G26" s="118" t="s">
        <v>2773</v>
      </c>
    </row>
    <row r="27" spans="1:7" x14ac:dyDescent="0.25">
      <c r="A27" s="160"/>
      <c r="B27" s="116" t="s">
        <v>2760</v>
      </c>
      <c r="C27" s="116" t="s">
        <v>2763</v>
      </c>
      <c r="D27" s="118" t="s">
        <v>2774</v>
      </c>
      <c r="E27" s="118" t="s">
        <v>2775</v>
      </c>
      <c r="F27" s="118" t="s">
        <v>2776</v>
      </c>
      <c r="G27" s="118" t="s">
        <v>2777</v>
      </c>
    </row>
    <row r="28" spans="1:7" x14ac:dyDescent="0.25">
      <c r="A28" s="160"/>
      <c r="B28" s="116" t="s">
        <v>2756</v>
      </c>
      <c r="C28" s="116" t="s">
        <v>2764</v>
      </c>
      <c r="D28" s="118" t="s">
        <v>2778</v>
      </c>
      <c r="E28" s="118" t="s">
        <v>2779</v>
      </c>
      <c r="F28" s="118" t="s">
        <v>2780</v>
      </c>
      <c r="G28" s="118" t="s">
        <v>2784</v>
      </c>
    </row>
    <row r="29" spans="1:7" x14ac:dyDescent="0.25">
      <c r="A29" s="160"/>
      <c r="B29" s="116" t="s">
        <v>2758</v>
      </c>
      <c r="C29" s="116" t="s">
        <v>2765</v>
      </c>
      <c r="D29" s="118" t="s">
        <v>2781</v>
      </c>
      <c r="E29" s="118" t="s">
        <v>2782</v>
      </c>
      <c r="F29" s="118" t="s">
        <v>2783</v>
      </c>
      <c r="G29" s="118" t="s">
        <v>2785</v>
      </c>
    </row>
    <row r="30" spans="1:7" hidden="1" x14ac:dyDescent="0.25">
      <c r="A30" s="160"/>
      <c r="B30" s="116" t="s">
        <v>110</v>
      </c>
      <c r="C30" s="116" t="s">
        <v>142</v>
      </c>
      <c r="D30" s="179" t="s">
        <v>143</v>
      </c>
      <c r="E30" s="160"/>
      <c r="F30" s="116"/>
      <c r="G30" s="43"/>
    </row>
    <row r="31" spans="1:7" hidden="1" x14ac:dyDescent="0.25">
      <c r="A31" s="160"/>
      <c r="B31" s="116" t="s">
        <v>111</v>
      </c>
      <c r="C31" s="116" t="s">
        <v>144</v>
      </c>
      <c r="D31" s="179" t="s">
        <v>145</v>
      </c>
      <c r="E31" s="160"/>
      <c r="F31" s="116"/>
      <c r="G31" s="43"/>
    </row>
    <row r="32" spans="1:7" hidden="1" x14ac:dyDescent="0.25">
      <c r="A32" s="160"/>
      <c r="B32" s="116" t="s">
        <v>112</v>
      </c>
      <c r="C32" s="116" t="s">
        <v>146</v>
      </c>
      <c r="D32" s="179" t="s">
        <v>147</v>
      </c>
      <c r="E32" s="160"/>
      <c r="F32" s="116"/>
      <c r="G32" s="43"/>
    </row>
    <row r="33" spans="1:7" x14ac:dyDescent="0.25">
      <c r="A33" s="119" t="s">
        <v>148</v>
      </c>
      <c r="B33" s="175" t="s">
        <v>149</v>
      </c>
      <c r="C33" s="176"/>
      <c r="D33" s="176"/>
      <c r="E33" s="176"/>
      <c r="F33" s="176"/>
      <c r="G33" s="177"/>
    </row>
    <row r="34" spans="1:7" x14ac:dyDescent="0.25">
      <c r="A34" s="119" t="s">
        <v>95</v>
      </c>
      <c r="B34" s="175" t="s">
        <v>150</v>
      </c>
      <c r="C34" s="176"/>
      <c r="D34" s="176"/>
      <c r="E34" s="176"/>
      <c r="F34" s="176"/>
      <c r="G34" s="177"/>
    </row>
    <row r="35" spans="1:7" x14ac:dyDescent="0.25">
      <c r="A35" s="119" t="s">
        <v>52</v>
      </c>
      <c r="B35" s="175" t="s">
        <v>150</v>
      </c>
      <c r="C35" s="176"/>
      <c r="D35" s="176"/>
      <c r="E35" s="176"/>
      <c r="F35" s="176"/>
      <c r="G35" s="177"/>
    </row>
    <row r="36" spans="1:7" x14ac:dyDescent="0.25">
      <c r="A36" s="119" t="s">
        <v>53</v>
      </c>
      <c r="B36" s="175" t="s">
        <v>151</v>
      </c>
      <c r="C36" s="176"/>
      <c r="D36" s="176"/>
      <c r="E36" s="176"/>
      <c r="F36" s="176"/>
      <c r="G36" s="177"/>
    </row>
    <row r="37" spans="1:7" x14ac:dyDescent="0.25">
      <c r="A37" s="119" t="s">
        <v>54</v>
      </c>
      <c r="B37" s="175" t="s">
        <v>152</v>
      </c>
      <c r="C37" s="176"/>
      <c r="D37" s="176"/>
      <c r="E37" s="176"/>
      <c r="F37" s="176"/>
      <c r="G37" s="177"/>
    </row>
    <row r="38" spans="1:7" x14ac:dyDescent="0.25">
      <c r="A38" s="119" t="s">
        <v>153</v>
      </c>
      <c r="B38" s="175" t="s">
        <v>154</v>
      </c>
      <c r="C38" s="176"/>
      <c r="D38" s="176"/>
      <c r="E38" s="176"/>
      <c r="F38" s="176"/>
      <c r="G38" s="177"/>
    </row>
    <row r="39" spans="1:7" x14ac:dyDescent="0.25">
      <c r="A39" s="119" t="s">
        <v>99</v>
      </c>
      <c r="B39" s="175" t="s">
        <v>155</v>
      </c>
      <c r="C39" s="176"/>
      <c r="D39" s="176"/>
      <c r="E39" s="176"/>
      <c r="F39" s="176"/>
      <c r="G39" s="177"/>
    </row>
    <row r="40" spans="1:7" x14ac:dyDescent="0.25">
      <c r="A40" s="119" t="s">
        <v>100</v>
      </c>
      <c r="B40" s="175" t="s">
        <v>156</v>
      </c>
      <c r="C40" s="176"/>
      <c r="D40" s="176"/>
      <c r="E40" s="176"/>
      <c r="F40" s="176"/>
      <c r="G40" s="177"/>
    </row>
    <row r="41" spans="1:7" x14ac:dyDescent="0.25">
      <c r="A41" s="119" t="s">
        <v>101</v>
      </c>
      <c r="B41" s="175" t="s">
        <v>157</v>
      </c>
      <c r="C41" s="176"/>
      <c r="D41" s="176"/>
      <c r="E41" s="176"/>
      <c r="F41" s="176"/>
      <c r="G41" s="177"/>
    </row>
    <row r="42" spans="1:7" ht="120" customHeight="1" x14ac:dyDescent="0.25">
      <c r="A42" s="119" t="s">
        <v>102</v>
      </c>
      <c r="B42" s="180" t="s">
        <v>2794</v>
      </c>
      <c r="C42" s="176"/>
      <c r="D42" s="176"/>
      <c r="E42" s="176"/>
      <c r="F42" s="176"/>
      <c r="G42" s="177"/>
    </row>
    <row r="43" spans="1:7" x14ac:dyDescent="0.25">
      <c r="A43" s="119" t="s">
        <v>103</v>
      </c>
      <c r="B43" s="175" t="s">
        <v>158</v>
      </c>
      <c r="C43" s="176"/>
      <c r="D43" s="176"/>
      <c r="E43" s="176"/>
      <c r="F43" s="176"/>
      <c r="G43" s="177"/>
    </row>
    <row r="44" spans="1:7" x14ac:dyDescent="0.25">
      <c r="A44" s="119" t="s">
        <v>104</v>
      </c>
      <c r="B44" s="175" t="s">
        <v>159</v>
      </c>
      <c r="C44" s="176"/>
      <c r="D44" s="176"/>
      <c r="E44" s="176"/>
      <c r="F44" s="176"/>
      <c r="G44" s="177"/>
    </row>
    <row r="45" spans="1:7" ht="14" customHeight="1" x14ac:dyDescent="0.25">
      <c r="A45" s="119" t="s">
        <v>105</v>
      </c>
      <c r="B45" s="175" t="s">
        <v>160</v>
      </c>
      <c r="C45" s="176"/>
      <c r="D45" s="176"/>
      <c r="E45" s="176"/>
      <c r="F45" s="176"/>
      <c r="G45" s="177"/>
    </row>
    <row r="47" spans="1:7" ht="14.15" customHeight="1" x14ac:dyDescent="0.25">
      <c r="B47" s="29"/>
    </row>
  </sheetData>
  <mergeCells count="19">
    <mergeCell ref="B45:G45"/>
    <mergeCell ref="B40:G40"/>
    <mergeCell ref="B41:G41"/>
    <mergeCell ref="B42:G42"/>
    <mergeCell ref="B43:G43"/>
    <mergeCell ref="B44:G44"/>
    <mergeCell ref="B35:G35"/>
    <mergeCell ref="B36:G36"/>
    <mergeCell ref="B37:G37"/>
    <mergeCell ref="B38:G38"/>
    <mergeCell ref="B39:G39"/>
    <mergeCell ref="B24:G24"/>
    <mergeCell ref="B23:G23"/>
    <mergeCell ref="B33:G33"/>
    <mergeCell ref="B34:G34"/>
    <mergeCell ref="A24:A32"/>
    <mergeCell ref="D30:E30"/>
    <mergeCell ref="D31:E31"/>
    <mergeCell ref="D32:E32"/>
  </mergeCells>
  <phoneticPr fontId="1" type="noConversion"/>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首页</vt:lpstr>
      <vt:lpstr>测试点分析</vt:lpstr>
      <vt:lpstr>测试组网设计</vt:lpstr>
      <vt:lpstr>接口配置</vt:lpstr>
      <vt:lpstr>通道配置</vt:lpstr>
      <vt:lpstr>策略配置</vt:lpstr>
      <vt:lpstr>策略匹配</vt:lpstr>
      <vt:lpstr>匹配优先级</vt:lpstr>
      <vt:lpstr>策略分析</vt:lpstr>
      <vt:lpstr>带宽保障</vt:lpstr>
      <vt:lpstr>带宽限制</vt:lpstr>
      <vt:lpstr>总额限制</vt:lpstr>
      <vt:lpstr>连接数量</vt:lpstr>
      <vt:lpstr>新建速率</vt:lpstr>
      <vt:lpstr>DFS</vt:lpstr>
      <vt:lpstr>DFR</vt:lpstr>
      <vt:lpstr>用例全集</vt:lpstr>
      <vt:lpstr>附录1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赵海波</cp:lastModifiedBy>
  <dcterms:created xsi:type="dcterms:W3CDTF">2006-09-13T11:21:51Z</dcterms:created>
  <dcterms:modified xsi:type="dcterms:W3CDTF">2022-11-21T03:26:42Z</dcterms:modified>
</cp:coreProperties>
</file>