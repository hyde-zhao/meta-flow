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vml" ContentType="application/vnd.openxmlformats-officedocument.vmlDrawing"/>
  <Default Extension="vsdx" ContentType="application/vnd.ms-visio.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025"/>
  <workbookPr codeName="ThisWorkbook" defaultThemeVersion="124226"/>
  <mc:AlternateContent xmlns:mc="http://schemas.openxmlformats.org/markup-compatibility/2006">
    <mc:Choice Requires="x15">
      <x15ac:absPath xmlns:x15ac="http://schemas.microsoft.com/office/spreadsheetml/2010/11/ac" url="E:\06_svn_test\02.测试项目\01.在研项目\08.TGFW_V6R1C01\01.测试设计\02.测试用例\"/>
    </mc:Choice>
  </mc:AlternateContent>
  <xr:revisionPtr revIDLastSave="0" documentId="13_ncr:1_{FA26A9DB-C51A-44FA-9511-4A6D89488155}" xr6:coauthVersionLast="47" xr6:coauthVersionMax="47" xr10:uidLastSave="{00000000-0000-0000-0000-000000000000}"/>
  <bookViews>
    <workbookView xWindow="-120" yWindow="-120" windowWidth="38640" windowHeight="21240" tabRatio="864" activeTab="15" xr2:uid="{00000000-000D-0000-FFFF-FFFF00000000}"/>
  </bookViews>
  <sheets>
    <sheet name="首页" sheetId="1" r:id="rId1"/>
    <sheet name="测试点分析" sheetId="2" r:id="rId2"/>
    <sheet name="测试组网设计" sheetId="3" r:id="rId3"/>
    <sheet name="防火墙日志管理" sheetId="19" r:id="rId4"/>
    <sheet name="日志归并" sheetId="23" r:id="rId5"/>
    <sheet name="日志清理" sheetId="24" r:id="rId6"/>
    <sheet name="日志备份" sheetId="25" r:id="rId7"/>
    <sheet name="日志导入导出" sheetId="26" r:id="rId8"/>
    <sheet name="日志外发" sheetId="27" r:id="rId9"/>
    <sheet name="日志过滤" sheetId="28" r:id="rId10"/>
    <sheet name="日志格式" sheetId="29" r:id="rId11"/>
    <sheet name="调试日志管理" sheetId="20" r:id="rId12"/>
    <sheet name="信息收集" sheetId="22" r:id="rId13"/>
    <sheet name="DFX" sheetId="10" r:id="rId14"/>
    <sheet name="日志进程管理" sheetId="21" r:id="rId15"/>
    <sheet name="用例全集" sheetId="12" r:id="rId16"/>
    <sheet name="禅道导出" sheetId="30" r:id="rId17"/>
    <sheet name="附录1" sheetId="13" r:id="rId18"/>
  </sheets>
  <definedNames>
    <definedName name="_xlnm._FilterDatabase" localSheetId="1" hidden="1">测试点分析!$A$1:$H$80</definedName>
    <definedName name="_xlnm._FilterDatabase" localSheetId="15" hidden="1">用例全集!$A$1:$AW$1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5" i="13" l="1"/>
  <c r="B14" i="13"/>
  <c r="B13" i="13"/>
  <c r="B12" i="13"/>
  <c r="B11" i="13"/>
  <c r="E10" i="13"/>
  <c r="B10" i="13"/>
  <c r="E9" i="13"/>
  <c r="B9" i="13"/>
  <c r="B6" i="13" l="1"/>
  <c r="C15" i="13"/>
  <c r="C10" i="13"/>
  <c r="B16" i="13"/>
  <c r="C12" i="13"/>
  <c r="C11" i="13"/>
  <c r="C13" i="13"/>
  <c r="C14" i="13"/>
  <c r="C9" i="13"/>
  <c r="C4" i="13" l="1"/>
  <c r="C5" i="13"/>
  <c r="C3" i="13"/>
</calcChain>
</file>

<file path=xl/sharedStrings.xml><?xml version="1.0" encoding="utf-8"?>
<sst xmlns="http://schemas.openxmlformats.org/spreadsheetml/2006/main" count="10007" uniqueCount="2600">
  <si>
    <t>拟定</t>
  </si>
  <si>
    <t>赵海波</t>
  </si>
  <si>
    <t>日期</t>
  </si>
  <si>
    <t>审核</t>
  </si>
  <si>
    <t>XXXX/XX/XX</t>
  </si>
  <si>
    <t>批准</t>
  </si>
  <si>
    <t>修订记录</t>
  </si>
  <si>
    <t>修订版本</t>
  </si>
  <si>
    <t>修改记录</t>
  </si>
  <si>
    <t>修改人</t>
  </si>
  <si>
    <t>V1.0</t>
  </si>
  <si>
    <t>初稿输出</t>
  </si>
  <si>
    <t>四级目录</t>
  </si>
  <si>
    <t>五级目录</t>
  </si>
  <si>
    <t>测试点</t>
  </si>
  <si>
    <t>测试设计方法</t>
  </si>
  <si>
    <t>适用场景</t>
  </si>
  <si>
    <t>用例规模（个）</t>
  </si>
  <si>
    <t>测试数据</t>
  </si>
  <si>
    <t>等价类划分&amp;数据组合</t>
  </si>
  <si>
    <t>直接分析</t>
  </si>
  <si>
    <t>DFX</t>
  </si>
  <si>
    <t>测试点汇总</t>
  </si>
  <si>
    <t>【设计方法】等价类划分&amp;数据组合</t>
  </si>
  <si>
    <t>步骤1:等价类划分</t>
  </si>
  <si>
    <t>等价类划分</t>
  </si>
  <si>
    <t>有效类</t>
  </si>
  <si>
    <t>无效类</t>
  </si>
  <si>
    <t>选取策略</t>
  </si>
  <si>
    <t>选取结果</t>
  </si>
  <si>
    <t>数据名称和分类独立</t>
  </si>
  <si>
    <t>步骤2:数据组合</t>
  </si>
  <si>
    <t>数据组合</t>
  </si>
  <si>
    <t>数据取值</t>
  </si>
  <si>
    <t>组合数据分析</t>
  </si>
  <si>
    <t>约束条件和组合策略</t>
  </si>
  <si>
    <t>组合结果</t>
  </si>
  <si>
    <t>所有数据不组合</t>
  </si>
  <si>
    <t>步骤3:逻辑用例设计</t>
  </si>
  <si>
    <t>逻辑用例编号</t>
  </si>
  <si>
    <t>测试用例描述</t>
  </si>
  <si>
    <t>覆盖的测试数据</t>
  </si>
  <si>
    <t>测试数据选取结果</t>
  </si>
  <si>
    <t>步骤4:物理用例设计</t>
  </si>
  <si>
    <t>用例标题</t>
  </si>
  <si>
    <t>预置条件</t>
  </si>
  <si>
    <t>测试步骤</t>
  </si>
  <si>
    <t>预期结果</t>
  </si>
  <si>
    <t>【设计方法】直接设计法</t>
  </si>
  <si>
    <t>步骤1:逻辑用例设计</t>
  </si>
  <si>
    <t>步骤2:物理用例设计</t>
  </si>
  <si>
    <t>一级目录</t>
  </si>
  <si>
    <t>二级目录</t>
  </si>
  <si>
    <t>三级目录</t>
  </si>
  <si>
    <t>用例名称*</t>
  </si>
  <si>
    <t>用例编号</t>
  </si>
  <si>
    <t>用例ID*</t>
  </si>
  <si>
    <t>用例级别*</t>
  </si>
  <si>
    <t>组网描述*</t>
  </si>
  <si>
    <t>组网约束</t>
  </si>
  <si>
    <t>测试步骤*</t>
  </si>
  <si>
    <t>预期结果*</t>
  </si>
  <si>
    <t>设备类型*</t>
  </si>
  <si>
    <t>单板类型</t>
  </si>
  <si>
    <t>关键词</t>
  </si>
  <si>
    <t>测试类型*</t>
  </si>
  <si>
    <t>是否自动化*</t>
  </si>
  <si>
    <t>需求编号</t>
  </si>
  <si>
    <t>备注</t>
  </si>
  <si>
    <t>LEVEL0</t>
  </si>
  <si>
    <t>LEVEL1</t>
  </si>
  <si>
    <t>LEVEL2</t>
  </si>
  <si>
    <t>LEVEL3</t>
  </si>
  <si>
    <t>LEVEL4</t>
  </si>
  <si>
    <t>LEVEL5</t>
  </si>
  <si>
    <t>LEVEL6</t>
  </si>
  <si>
    <t>功能测试</t>
  </si>
  <si>
    <t>可靠性测试</t>
  </si>
  <si>
    <t>统计信息</t>
  </si>
  <si>
    <t>用例级别</t>
  </si>
  <si>
    <t>目标占比</t>
  </si>
  <si>
    <t>实际占比</t>
  </si>
  <si>
    <t>LEVEL0~1</t>
  </si>
  <si>
    <t>&lt;15%</t>
  </si>
  <si>
    <t>LEVEL2~3</t>
  </si>
  <si>
    <t>&gt;40%</t>
  </si>
  <si>
    <t>LEVEL0~3</t>
  </si>
  <si>
    <t>&gt;60%</t>
  </si>
  <si>
    <t>可自动化率</t>
  </si>
  <si>
    <t>详细数据</t>
  </si>
  <si>
    <t>数量</t>
  </si>
  <si>
    <t>占比</t>
  </si>
  <si>
    <t>是否自动化</t>
  </si>
  <si>
    <t>是</t>
  </si>
  <si>
    <t>否</t>
  </si>
  <si>
    <t>总数</t>
  </si>
  <si>
    <t>用例基线时间点</t>
  </si>
  <si>
    <t>TR5基线一次</t>
  </si>
  <si>
    <t>TR6基线一次</t>
  </si>
  <si>
    <t>字段填写说明</t>
  </si>
  <si>
    <t>使用1到4级目录加三位数字，例如SrvQuality.Qos.Classfy.DiffServ001</t>
  </si>
  <si>
    <t>使用LEVEL0~LEVEL6级，定义说明见下表</t>
  </si>
  <si>
    <t>特性可靠性</t>
  </si>
  <si>
    <t>包含单特性的可靠性测试用例。包括反复增删单特性配置、复位重启、拔插单板、网线、主备切换等</t>
  </si>
  <si>
    <t>特性耦合测试</t>
  </si>
  <si>
    <t>包含两特性耦合和多特性耦合测试用例</t>
  </si>
  <si>
    <t>特性升级</t>
  </si>
  <si>
    <t>单特性的升级测试用例，包括升级前后配置检查、升级后观察业务、增删配置等</t>
  </si>
  <si>
    <t>组网描述</t>
  </si>
  <si>
    <t>必须是用英文的逗号分隔。例如Update01,Update02</t>
  </si>
  <si>
    <t>按实际情况填写</t>
  </si>
  <si>
    <t>通常一个用例不超过7步</t>
  </si>
  <si>
    <t>使用check点的方式填写</t>
  </si>
  <si>
    <t>适用版本</t>
  </si>
  <si>
    <t>必须以英文逗号分隔,必须使用统一的名称:V1R1C00,V1R1C01</t>
  </si>
  <si>
    <t>必须以英文逗号分隔,J1900,C236,EP</t>
  </si>
  <si>
    <t>必须以英文逗号分隔,</t>
  </si>
  <si>
    <t>必须以逗号分隔，公共的关键字必须一致，新增关键字找用例管理员申请</t>
  </si>
  <si>
    <t>"是"或者"否"</t>
  </si>
  <si>
    <t>暂时不填</t>
  </si>
  <si>
    <t>按实际情况填写
用例生成工具说明:
1、${}形式的测试数据直接替换
2、$[]形式的测试数据会在同一个用例中重复测试步骤</t>
  </si>
  <si>
    <t>名称</t>
    <phoneticPr fontId="1" type="noConversion"/>
  </si>
  <si>
    <t>名称</t>
    <phoneticPr fontId="1" type="noConversion"/>
  </si>
  <si>
    <t>NE1_link0</t>
    <phoneticPr fontId="1" type="noConversion"/>
  </si>
  <si>
    <t>组网图</t>
    <phoneticPr fontId="1" type="noConversion"/>
  </si>
  <si>
    <t>NE1_ins</t>
    <phoneticPr fontId="1" type="noConversion"/>
  </si>
  <si>
    <t>组网图</t>
    <phoneticPr fontId="1" type="noConversion"/>
  </si>
  <si>
    <t>NE1_link4_ins</t>
    <phoneticPr fontId="1" type="noConversion"/>
  </si>
  <si>
    <t>NE4_link5_ins</t>
    <phoneticPr fontId="1" type="noConversion"/>
  </si>
  <si>
    <t>组网图</t>
    <phoneticPr fontId="1" type="noConversion"/>
  </si>
  <si>
    <t>1、网元正常启动</t>
    <phoneticPr fontId="1" type="noConversion"/>
  </si>
  <si>
    <t>数据名称和分类独立</t>
    <phoneticPr fontId="1" type="noConversion"/>
  </si>
  <si>
    <t>数据名称=繁忙阈值;有效值=20,90,20-90间任意10的整数倍;无效值=10,100,繁忙阈值小于空闲阈值,繁忙阈值等于空闲阈值,20-90间任意非10的整数倍,空,非数字</t>
    <phoneticPr fontId="1" type="noConversion"/>
  </si>
  <si>
    <t>策略名称</t>
    <phoneticPr fontId="1" type="noConversion"/>
  </si>
  <si>
    <t>源地址</t>
    <phoneticPr fontId="1" type="noConversion"/>
  </si>
  <si>
    <t>目的地址</t>
    <phoneticPr fontId="1" type="noConversion"/>
  </si>
  <si>
    <t>服务</t>
    <phoneticPr fontId="1" type="noConversion"/>
  </si>
  <si>
    <t>时间</t>
    <phoneticPr fontId="1" type="noConversion"/>
  </si>
  <si>
    <t>匹配对象</t>
    <phoneticPr fontId="1" type="noConversion"/>
  </si>
  <si>
    <t>应用</t>
    <phoneticPr fontId="1" type="noConversion"/>
  </si>
  <si>
    <t>P1</t>
    <phoneticPr fontId="1" type="noConversion"/>
  </si>
  <si>
    <t>P2</t>
    <phoneticPr fontId="1" type="noConversion"/>
  </si>
  <si>
    <t>P3</t>
  </si>
  <si>
    <t>P3</t>
    <phoneticPr fontId="1" type="noConversion"/>
  </si>
  <si>
    <t>P4</t>
  </si>
  <si>
    <t>P4</t>
    <phoneticPr fontId="1" type="noConversion"/>
  </si>
  <si>
    <t>P2</t>
    <phoneticPr fontId="1" type="noConversion"/>
  </si>
  <si>
    <t>特殊要求</t>
  </si>
  <si>
    <t>接口用例</t>
    <phoneticPr fontId="1" type="noConversion"/>
  </si>
  <si>
    <t>冒烟/预测试用例</t>
  </si>
  <si>
    <t>接收/回归/必测用例</t>
  </si>
  <si>
    <t>全量测试用例（测试验证，全量验证）</t>
  </si>
  <si>
    <t>描述</t>
    <phoneticPr fontId="1" type="noConversion"/>
  </si>
  <si>
    <t>应用场景</t>
    <phoneticPr fontId="1" type="noConversion"/>
  </si>
  <si>
    <t>主要作用</t>
    <phoneticPr fontId="1" type="noConversion"/>
  </si>
  <si>
    <t>选取原则</t>
    <phoneticPr fontId="1" type="noConversion"/>
  </si>
  <si>
    <t>【应用场景】API接口级测试</t>
    <phoneticPr fontId="1" type="noConversion"/>
  </si>
  <si>
    <t>【主要作用】验证设备所有功能配置接口可以正常下发，为所有测试活动开展的基础</t>
    <phoneticPr fontId="1" type="noConversion"/>
  </si>
  <si>
    <t>【选取原则】所有API接口测试的用例，不需要组网和仪表即可完成的测试用例</t>
    <phoneticPr fontId="1" type="noConversion"/>
  </si>
  <si>
    <t>【特殊要求】该层级的用例要求100%实现自动化</t>
    <phoneticPr fontId="1" type="noConversion"/>
  </si>
  <si>
    <t>【应用场景】开发转测前自验证</t>
    <phoneticPr fontId="1" type="noConversion"/>
  </si>
  <si>
    <t>【主要作用】保证代码修改合入不会影响特性基本功能，主要是保障转发测试的入口质量要求</t>
    <phoneticPr fontId="1" type="noConversion"/>
  </si>
  <si>
    <t>【选取原则】保证特性中最核心功能，测试通过后不会出现三分之一的用例阻塞</t>
    <phoneticPr fontId="1" type="noConversion"/>
  </si>
  <si>
    <t>【特殊要求】至少占特性功能用例的5%左右，对于老版本特性需要100%实现自动化</t>
    <phoneticPr fontId="1" type="noConversion"/>
  </si>
  <si>
    <t>【应用场景】用于版本转发测试评估（接收用例集），用于版本发布必须测试的用例（回归用例集/必测用例集）</t>
    <phoneticPr fontId="1" type="noConversion"/>
  </si>
  <si>
    <t>【主要作用】用于版本转发测试评估是否存在阻塞的特性或功能，用于发布版本验证保证发布版本不存在客户必用的功能存在问题和性能不达标等</t>
    <phoneticPr fontId="1" type="noConversion"/>
  </si>
  <si>
    <t>【选取原则】特性中最基本功能、客户必然会使用的功能以及客户可以接受的最低性能要求</t>
    <phoneticPr fontId="1" type="noConversion"/>
  </si>
  <si>
    <t>【应用场景】用于覆盖客户可能存在的使用场景和功能，以及验证产品满足设计规格以及相关的DFX要求</t>
    <phoneticPr fontId="1" type="noConversion"/>
  </si>
  <si>
    <t>【主要作用】验证保障版本发布后能够满足客户的使用，并满足相关的DFX需求</t>
    <phoneticPr fontId="1" type="noConversion"/>
  </si>
  <si>
    <t>【选取原则】全量用例集，包括可靠性、耦合、升级等测试用例</t>
    <phoneticPr fontId="1" type="noConversion"/>
  </si>
  <si>
    <t>【特殊要求】验证周期小于2天，占比所有非接口用例xx%以上，对于老版本用例自动化率高于xx%</t>
    <phoneticPr fontId="1" type="noConversion"/>
  </si>
  <si>
    <t>【特殊要求】在非特性配置用例中占比低于xx%</t>
    <phoneticPr fontId="1" type="noConversion"/>
  </si>
  <si>
    <t>性能测试</t>
    <phoneticPr fontId="1" type="noConversion"/>
  </si>
  <si>
    <t>耦合测试</t>
    <phoneticPr fontId="1" type="noConversion"/>
  </si>
  <si>
    <t>配置相关</t>
    <phoneticPr fontId="1" type="noConversion"/>
  </si>
  <si>
    <t>接口测试:API测试对应P0
功能测试:
可靠性测试:报错容错、容限、疲劳、配置恢复等测试
性能测试:
耦合测试:
安装部署:升级测试,安装测试
配置相关:UI
安全相关:设备安全性</t>
    <phoneticPr fontId="1" type="noConversion"/>
  </si>
  <si>
    <t>NGFW V6R01C01 
日志中心特性测试用例</t>
    <phoneticPr fontId="1" type="noConversion"/>
  </si>
  <si>
    <t>配置管理</t>
    <phoneticPr fontId="1" type="noConversion"/>
  </si>
  <si>
    <t>日志服务器配置</t>
    <phoneticPr fontId="1" type="noConversion"/>
  </si>
  <si>
    <t>日志过滤配置</t>
    <phoneticPr fontId="1" type="noConversion"/>
  </si>
  <si>
    <t>日志备份配置</t>
    <phoneticPr fontId="1" type="noConversion"/>
  </si>
  <si>
    <t>日志归并配置</t>
    <phoneticPr fontId="1" type="noConversion"/>
  </si>
  <si>
    <t>调试日志配置</t>
    <phoneticPr fontId="1" type="noConversion"/>
  </si>
  <si>
    <t>信息收集配置</t>
    <phoneticPr fontId="1" type="noConversion"/>
  </si>
  <si>
    <t>异常信息导出配置</t>
    <phoneticPr fontId="1" type="noConversion"/>
  </si>
  <si>
    <t>防火墙日志管理配置</t>
    <phoneticPr fontId="1" type="noConversion"/>
  </si>
  <si>
    <t>日志管理</t>
    <phoneticPr fontId="1" type="noConversion"/>
  </si>
  <si>
    <t>验证日志查询功能</t>
    <phoneticPr fontId="1" type="noConversion"/>
  </si>
  <si>
    <t>1、系统日志、操作日志、入侵防御日志、防病毒日志、内容过滤日志、文件过滤日志、URL过滤日志、WEB防护日志、防暴力破解日志、弱密码日志、控制策略阻断日志、单包防护日志、Flood攻击日志、黑白名单日志、EDR推广日志、IPSecVPN日志的模糊查询和高级查询功能（清除条件、刷新）</t>
    <phoneticPr fontId="1" type="noConversion"/>
  </si>
  <si>
    <t>日志管理功能</t>
    <phoneticPr fontId="1" type="noConversion"/>
  </si>
  <si>
    <t>日志归并</t>
    <phoneticPr fontId="1" type="noConversion"/>
  </si>
  <si>
    <t>日志归并功能测试</t>
    <phoneticPr fontId="1" type="noConversion"/>
  </si>
  <si>
    <t>日志归并开启（入侵防御、防病毒、内容过滤、文件过滤、URL过滤、Web防护、防暴力破解、弱密码）、关闭。</t>
    <phoneticPr fontId="1" type="noConversion"/>
  </si>
  <si>
    <t>日志归并周期测试</t>
    <phoneticPr fontId="1" type="noConversion"/>
  </si>
  <si>
    <t>最大值，最小值，典型值</t>
    <phoneticPr fontId="1" type="noConversion"/>
  </si>
  <si>
    <t>验证多种日志的归并相互不影响</t>
    <phoneticPr fontId="1" type="noConversion"/>
  </si>
  <si>
    <t>日志归并是修改配置测试</t>
    <phoneticPr fontId="1" type="noConversion"/>
  </si>
  <si>
    <t>日志清理</t>
    <phoneticPr fontId="1" type="noConversion"/>
  </si>
  <si>
    <t>日志容量清理功能</t>
    <phoneticPr fontId="1" type="noConversion"/>
  </si>
  <si>
    <t>系统日志、操作日志、入侵防御日志、防病毒日志、内容过滤日志、文件过滤日志、URL过滤日志、WEB防护日志、防暴力破解日志、弱密码日志、控制策略阻断日志、单包防护日志、Flood攻击日志、黑白名单日志、EDR推广日志、IPSecVPN日志</t>
    <phoneticPr fontId="1" type="noConversion"/>
  </si>
  <si>
    <t>日志容量清理时的归并功能测试</t>
    <phoneticPr fontId="1" type="noConversion"/>
  </si>
  <si>
    <t>日志备份</t>
    <phoneticPr fontId="1" type="noConversion"/>
  </si>
  <si>
    <t>日志备份文件前端管理功能</t>
    <phoneticPr fontId="1" type="noConversion"/>
  </si>
  <si>
    <t>前端查看，条件筛选、下载</t>
    <phoneticPr fontId="1" type="noConversion"/>
  </si>
  <si>
    <t>日志备份文件后台管理功能</t>
    <phoneticPr fontId="1" type="noConversion"/>
  </si>
  <si>
    <t>有盘设备、无盘设备</t>
    <phoneticPr fontId="1" type="noConversion"/>
  </si>
  <si>
    <t>日志备份文件清理功能测试</t>
    <phoneticPr fontId="1" type="noConversion"/>
  </si>
  <si>
    <t>备份周期（最大值、最小值、典型值）、备份周内的文件不删除，超过周期的文件会删除</t>
    <phoneticPr fontId="1" type="noConversion"/>
  </si>
  <si>
    <t>日志备份周期修改测试</t>
    <phoneticPr fontId="1" type="noConversion"/>
  </si>
  <si>
    <t>备份周期凌晨2点生效测试</t>
    <phoneticPr fontId="1" type="noConversion"/>
  </si>
  <si>
    <t>日志归并时的日志备份测试</t>
    <phoneticPr fontId="1" type="noConversion"/>
  </si>
  <si>
    <t>日志清理后的日志备份测试</t>
    <phoneticPr fontId="1" type="noConversion"/>
  </si>
  <si>
    <t>磁盘空间满时的日志备份测试</t>
    <phoneticPr fontId="1" type="noConversion"/>
  </si>
  <si>
    <t>日志导入导出</t>
    <phoneticPr fontId="1" type="noConversion"/>
  </si>
  <si>
    <t>日志导出功能测试</t>
    <phoneticPr fontId="1" type="noConversion"/>
  </si>
  <si>
    <t>系统日志、操作日志、入侵防御日志、防病毒日志、内容过滤日志、文件过滤日志、URL过滤日志、WEB防护日志、防暴力破解日志、弱密码日志、控制策略阻断日志、单包防护日志、Flood攻击日志、黑白名单日志、EDR推广日志、IPSecVPN日志导出日志的字段正确，文件名称正确</t>
    <phoneticPr fontId="1" type="noConversion"/>
  </si>
  <si>
    <t>最大数量的日志导出功能测试</t>
    <phoneticPr fontId="1" type="noConversion"/>
  </si>
  <si>
    <t>修改系统时间对日志导出的影响</t>
    <phoneticPr fontId="1" type="noConversion"/>
  </si>
  <si>
    <t>日志服务器</t>
  </si>
  <si>
    <t>日志外发</t>
  </si>
  <si>
    <t>日志外发协议测试</t>
  </si>
  <si>
    <t>syslog（支持tcp和udp，支持加密和不加密），restAPI（加密且只支持tcp格式），tcp和udp端口边界，源IP测试</t>
    <phoneticPr fontId="1" type="noConversion"/>
  </si>
  <si>
    <t>日志服务器地址变化（地址，端口、协议方式）、路由状态变化（策略路由、静态路由）、链路震荡，区分UDP和TCP断链</t>
    <phoneticPr fontId="1" type="noConversion"/>
  </si>
  <si>
    <t>日志外发接口IP地址变化测试</t>
    <phoneticPr fontId="1" type="noConversion"/>
  </si>
  <si>
    <t>接口IP地址变化</t>
    <phoneticPr fontId="1" type="noConversion"/>
  </si>
  <si>
    <t>验证安全日志过滤功能</t>
  </si>
  <si>
    <t>验证系统日志过滤功能</t>
  </si>
  <si>
    <t>系统日志、操作日志。日志级别支持调试、信息、警告、错误、致命、严重错误</t>
  </si>
  <si>
    <t>验证流量日志过滤功能</t>
  </si>
  <si>
    <t>控制策略阻断日志、允许日志，流日志，NAT日志</t>
  </si>
  <si>
    <t>在线修改配置后的日志外发功能</t>
  </si>
  <si>
    <t>1、日志服务器、日志过滤（类型和级别）</t>
  </si>
  <si>
    <t>s6000和电力格式日志过滤功能</t>
  </si>
  <si>
    <t>标准格式、电力格式，s6000_ips，s6000_fw，配置值和默认值</t>
  </si>
  <si>
    <t>日志外发格式修改测试</t>
  </si>
  <si>
    <t>不同日志外发格式修改配置测试、日志服务器、日志过滤</t>
  </si>
  <si>
    <t>日志外发格式切换测试</t>
  </si>
  <si>
    <t>标准格式、电力格式，s6000_ips，s6000_fw</t>
  </si>
  <si>
    <t>验证标准格式和其他非标格式日志外发功能</t>
  </si>
  <si>
    <t>电力格式，s6000_ips，s6000_fw，基本信息、安全策略、告警信息、心跳日志</t>
  </si>
  <si>
    <t>地址对象、服务对象、地区对象、时间对象</t>
  </si>
  <si>
    <t>s6000_fw格式时IPv6策略内容外发功能</t>
  </si>
  <si>
    <t>设备日志管理</t>
  </si>
  <si>
    <t>调试日志管理</t>
  </si>
  <si>
    <t>日志每分钟轮转测试</t>
  </si>
  <si>
    <t>1、如果/trace目录占用率大于90%时，删除/trace/coredump/*，执行每小时任务
2、每分钟任务：如果/var/log目录占用大于90%时，则将/var/log目录清空truncate -s 0 /var/log/*</t>
  </si>
  <si>
    <t>die日志生成测试</t>
  </si>
  <si>
    <t>日志每小时轮转测试</t>
  </si>
  <si>
    <t>trace/log/*.log，/trace/log/secure，/var/log/messages，/var/log/syslog，/var/log/auth.log，/var/log/syslog进行轮转处理</t>
  </si>
  <si>
    <t>调试日志开启和关闭测试</t>
  </si>
  <si>
    <t>信息收集</t>
  </si>
  <si>
    <t>异常信息收集功能</t>
  </si>
  <si>
    <t>密码系统信息的密码是ngfw123!@#</t>
  </si>
  <si>
    <t>管理维护</t>
  </si>
  <si>
    <t>日志容量测试</t>
  </si>
  <si>
    <t>整机容量测试，规格测试，满规格时的增删改查测试</t>
  </si>
  <si>
    <t>日志速率测试</t>
  </si>
  <si>
    <t>日志写入速率、日志外发速率</t>
  </si>
  <si>
    <t>反复操作时日志功能测试</t>
  </si>
  <si>
    <t>反复修改日志格式，日志服务器，日志过滤，日志归并，信息收集、调试日志，反复收集日志、日志导出、查看日志</t>
  </si>
  <si>
    <t>日志文件容量测试</t>
  </si>
  <si>
    <t>日志备份文件、日志收集文件、异常信息收集</t>
  </si>
  <si>
    <t>日志已配置存库测试</t>
  </si>
  <si>
    <t>日志服务器、日志备份、日志归并，日志过滤、日志格式、信息收集配置存库测试，导入测试。</t>
  </si>
  <si>
    <t>日志格式配置重置测试</t>
  </si>
  <si>
    <t>日志主备同步功能</t>
  </si>
  <si>
    <t>日志配置主备同步功能（日志服务器、日志备份、日志归并，日志过滤、日志格式、信息收集配置），双主和主备</t>
  </si>
  <si>
    <t>日志进程管理</t>
  </si>
  <si>
    <t>进程守护功能测试</t>
  </si>
  <si>
    <t>日志清除</t>
    <phoneticPr fontId="1" type="noConversion"/>
  </si>
  <si>
    <t>系统日志</t>
    <phoneticPr fontId="1" type="noConversion"/>
  </si>
  <si>
    <t>日志每分钟轮转测试</t>
    <phoneticPr fontId="1" type="noConversion"/>
  </si>
  <si>
    <t>1、如果/trace目录占用率大于90%时，删除/trace/coredump/*，执行每小时任务
2、每分钟任务：如果/var/log目录占用大于90%时，则将/var/log目录清空truncate -s 0 /var/log/*</t>
    <phoneticPr fontId="1" type="noConversion"/>
  </si>
  <si>
    <t>trace/log/*.log，/trace/log/secure，/var/log/messages，/var/log/syslog，/var/log/auth.log，/var/log/syslog进行轮转处理</t>
    <phoneticPr fontId="1" type="noConversion"/>
  </si>
  <si>
    <t>log.devlog.debug.minute.trace</t>
  </si>
  <si>
    <t>log.devlog.debug.minute.trace</t>
    <phoneticPr fontId="1" type="noConversion"/>
  </si>
  <si>
    <t>log.devlog.debug.minute.varlog</t>
  </si>
  <si>
    <t>log.devlog.debug.minute.varlog</t>
    <phoneticPr fontId="1" type="noConversion"/>
  </si>
  <si>
    <t>验证/var/log目录每分钟清理功能</t>
    <phoneticPr fontId="1" type="noConversion"/>
  </si>
  <si>
    <t>验证/trace目录每分钟清理功能</t>
    <phoneticPr fontId="1" type="noConversion"/>
  </si>
  <si>
    <t>清理目录=/trace</t>
  </si>
  <si>
    <t>清理目录=/trace</t>
    <phoneticPr fontId="1" type="noConversion"/>
  </si>
  <si>
    <t>清理目录=/var/log</t>
  </si>
  <si>
    <t>清理目录=/var/log</t>
    <phoneticPr fontId="1" type="noConversion"/>
  </si>
  <si>
    <t>1、网元正常启动
2、在/trace目录下创建至少两个.log结尾的文件，并在/trace/coredump目录下创建至少两个文件，并保证/trace目录占用率低于90%</t>
    <phoneticPr fontId="1" type="noConversion"/>
  </si>
  <si>
    <t>1、网元正常启动
2、保证/var/log目录中存在文件，且/var/log占用率低于90%</t>
    <phoneticPr fontId="1" type="noConversion"/>
  </si>
  <si>
    <t>1、静置观察/var/log目录超过1分钟【check1】
2、使用dd命令在/var/log目录下构造文件使得构造/var/log目录占用率大于90%，命令参考dd if=[任意源文件] of=/var/log/test.log count=任意数量 bs=xxxM
3、观察/var/log目录【check2】</t>
    <phoneticPr fontId="1" type="noConversion"/>
  </si>
  <si>
    <t>die日志生成测试</t>
    <phoneticPr fontId="1" type="noConversion"/>
  </si>
  <si>
    <t>1、静置观察/trace和/trace/coredump目录超过1分钟【check1】
2、使用dd命令在/trace/目录下构造文件使得构造/trace目录占用率大于90%，命令参考dd if=[任意源文件] of=/trace/test.log count=任意数量 bs=xxxM
3、观察/trace目录和/trace/coredump目录【check2】【check3】
4、使用dd命令在/trace/coredump目录下构造文件使得构造/trace目录占用率大于90%，命令参考dd if=[任意源文件] of=/trace/coredump count=任意数量 bs=xxxM
5、在/trace目录下创建质量两个.log结尾的文件
6、观察/trace目录和/trace/coredump目录【check2】【check3】</t>
    <phoneticPr fontId="1" type="noConversion"/>
  </si>
  <si>
    <t>日志每小时轮转测试</t>
    <phoneticPr fontId="1" type="noConversion"/>
  </si>
  <si>
    <t>验证${日志类型}日志每小时轮转功能</t>
    <phoneticPr fontId="1" type="noConversion"/>
  </si>
  <si>
    <t>日志类型=trace;数量=2;磁盘容量=10M
日志类型=secure,syslog;数量=2;磁盘容量=10M
日志类型=messages,auth;数量=4;磁盘容量=30M</t>
    <phoneticPr fontId="1" type="noConversion"/>
  </si>
  <si>
    <t>log.devlog.debug.hour.truncate</t>
    <phoneticPr fontId="1" type="noConversion"/>
  </si>
  <si>
    <t>log.devlog.debug.hour.truncate.trace</t>
    <phoneticPr fontId="1" type="noConversion"/>
  </si>
  <si>
    <t>日志类型=trace;数量=2;磁盘容量=10M</t>
    <phoneticPr fontId="1" type="noConversion"/>
  </si>
  <si>
    <t>log.devlog.debug.hour.truncate.varlog</t>
    <phoneticPr fontId="1" type="noConversion"/>
  </si>
  <si>
    <t>1、构造/trace目录下vpp.log和agent.log文件大于${磁盘容量}，构造frr.log和snort.log小于${磁盘容量}
2、在整点或者修改防火墙系统时间到整点,观察/trace目录下的log文件【check1】【check2】
3、再次构造vpp.log和agent.log文件大于${磁盘容量}，重复步骤2【check2】【check3】
4、重复步骤3和步骤2大于${数量}次，观察/trace目录下的log文件和压缩文件。【check4】</t>
    <phoneticPr fontId="1" type="noConversion"/>
  </si>
  <si>
    <t>日志类型=secure,syslog;数量=2;磁盘容量=10M
日志类型=messages,auth.log;数量=4;磁盘容量=30M</t>
    <phoneticPr fontId="1" type="noConversion"/>
  </si>
  <si>
    <t>1、构造/var/log目录下${日志类型}小于${磁盘容量}
2、在整点或者修改防火墙系统时间到整点,观察/var/log目录下的${日志类型}文件【check1】
3、构造/var/log目录下${日志类型}大于${磁盘容量}，重复步骤2.【check2】
3、再次构造/var/log目录下${日志类型}大于${磁盘容量}，重复步骤2。【check3】
4、重复步骤3和步骤2大于${数量}次，观察/var/log目录下的${日志类型}文件和对应的压缩文件【check4】</t>
    <phoneticPr fontId="1" type="noConversion"/>
  </si>
  <si>
    <t>kill influxd和dbtask观察日志功能syslogd，logserver</t>
    <phoneticPr fontId="1" type="noConversion"/>
  </si>
  <si>
    <t>进程启动</t>
    <phoneticPr fontId="1" type="noConversion"/>
  </si>
  <si>
    <t>有盘，无盘</t>
    <phoneticPr fontId="1" type="noConversion"/>
  </si>
  <si>
    <t>进程守护功能测试</t>
    <phoneticPr fontId="1" type="noConversion"/>
  </si>
  <si>
    <t>log.dfx.process.guard</t>
    <phoneticPr fontId="1" type="noConversion"/>
  </si>
  <si>
    <t>进程名称=influxdb,dbtask,logservr</t>
    <phoneticPr fontId="1" type="noConversion"/>
  </si>
  <si>
    <t>验证${进程名称}进程守护功能</t>
    <phoneticPr fontId="1" type="noConversion"/>
  </si>
  <si>
    <t>1、linux后台查看进程启动情况【check1】
2、kill -9 ${进程名称}进程对应的进程号，linux后台查看进程【check2】
3、构造产生任意操作日志，观察日志记录情况。【check3】
4、频繁kill ${进程名称}200次以上，重复步骤2和步骤3。【check2】【check3】</t>
    <phoneticPr fontId="1" type="noConversion"/>
  </si>
  <si>
    <t>log.dfx.process.influxdb.startup</t>
    <phoneticPr fontId="1" type="noConversion"/>
  </si>
  <si>
    <t>验证influxdb组件在${存储类型}设备上的启动参数</t>
    <phoneticPr fontId="1" type="noConversion"/>
  </si>
  <si>
    <t>存储类型,启动参数,存储</t>
    <phoneticPr fontId="1" type="noConversion"/>
  </si>
  <si>
    <t>1、使用ps进程观察influxdb的启动参数【check1】
2、在/appdata/etc/agentcfg/supervisor.conf中观察influxdb的启动参数【check1】
3、使用ll观察/userdata/influxdbdata和/userdata/userfile/influxTask目录【check3】</t>
    <phoneticPr fontId="1" type="noConversion"/>
  </si>
  <si>
    <t>存储类型=有存储;启动参数="--bolt-path /appdata/etc/influxd.bolt --engine-path /userdata/influxdbdata/ --http-bind-address 127.0.0.1:8086 --http-idle-timeout 3m0s --http-read-timeout 10s --http-write-timeout 10s --query-memory-bytes 7730941132 --influxql-max-select-point 0";存储=存在软件链接/userdata/userfile/influxTask -&gt; /exdisk/userfile/influxTask和/userdata/influxdbdata -&gt; /exdisk/influxdbdata
存储类型=无存储;启动参数="--bolt-path /appdata/etc/influxd.bolt --engine-path /userdata/influxdbdata/ --http-bind-address 127.0.0.1:8086 --http-idle-timeout 3m0s --http-read-timeout 10s --http-write-timeout 10s --query-memory-bytes 1932735283 --influxql-max-select-point 0";存储=两个文件不存在软链接</t>
    <phoneticPr fontId="1" type="noConversion"/>
  </si>
  <si>
    <t>etcd的配置量小于2k条</t>
    <phoneticPr fontId="1" type="noConversion"/>
  </si>
  <si>
    <t>异常信息收集功能</t>
    <phoneticPr fontId="1" type="noConversion"/>
  </si>
  <si>
    <t>die日志</t>
    <phoneticPr fontId="1" type="noConversion"/>
  </si>
  <si>
    <t>log.devlog.debug.die</t>
    <phoneticPr fontId="1" type="noConversion"/>
  </si>
  <si>
    <t>组件名称=vpp,agent,influxdb,瀚高,sslvpn,frr,nginx</t>
    <phoneticPr fontId="1" type="noConversion"/>
  </si>
  <si>
    <t>验证瀚高组件在${存储类型}设备上的启动参数</t>
    <phoneticPr fontId="1" type="noConversion"/>
  </si>
  <si>
    <t>验证${组件名称}异常重启记录die日志功能</t>
    <phoneticPr fontId="1" type="noConversion"/>
  </si>
  <si>
    <t>1、通过kill组件${组件名称}的进程模拟异常重启
2、观察/trace/log目录【check1】
3、30分钟内再次kill组件${组件名称}的进程模拟异常重启，观察/trace/log目录【check2】
4、超过30分钟以上再次kill组件${组件名称}的进程模拟异常重启，观察/trace/log目录【check1】</t>
    <phoneticPr fontId="1" type="noConversion"/>
  </si>
  <si>
    <t>调试日志开启和关闭测试</t>
    <phoneticPr fontId="1" type="noConversion"/>
  </si>
  <si>
    <t>log.devlog.debug.switch</t>
    <phoneticPr fontId="1" type="noConversion"/>
  </si>
  <si>
    <t>关闭调试日志的时候会打包/trace/log全收集起来打tar存放/userdata/userfile/gatherinfo
开启调试日志时会开启/appdata/etc/agentcfg/supervisor.conf中所有守护进程的日志，重启防火墙后该开关失效</t>
    <phoneticPr fontId="1" type="noConversion"/>
  </si>
  <si>
    <t>信息收集限制测试</t>
    <phoneticPr fontId="1" type="noConversion"/>
  </si>
  <si>
    <t>验证调试日志开启和关闭功能</t>
    <phoneticPr fontId="1" type="noConversion"/>
  </si>
  <si>
    <t>调试日志=开启,关闭</t>
    <phoneticPr fontId="1" type="noConversion"/>
  </si>
  <si>
    <t>1、网元正常启动
2、调试日志开关为关闭</t>
    <phoneticPr fontId="1" type="noConversion"/>
  </si>
  <si>
    <t>1、观察/trace/log目录。【check1】
2、开启调试日志【check2】
3、关闭调试日志【check1】【check3】</t>
    <phoneticPr fontId="1" type="noConversion"/>
  </si>
  <si>
    <t>log.devlog.debug.switch.dfault</t>
    <phoneticPr fontId="1" type="noConversion"/>
  </si>
  <si>
    <t>验证调试日志开关默认值和重启恢复</t>
    <phoneticPr fontId="1" type="noConversion"/>
  </si>
  <si>
    <t>1、【check1】防火墙后台目录中/appdata/etc/agentcfg/supervisor.conf描述所有进程不会记录调试日志
2、【check2】防火墙后台目录中/appdata/etc/agentcfg/supervisor.conf描述所有进程开始记录调试日志
3、【check3】防火墙后台目录中/userdata/userfile/gatherinfo，会生成collection_当前时间戳.zip的文件</t>
    <phoneticPr fontId="1" type="noConversion"/>
  </si>
  <si>
    <t>1、【check1】调试日志开关为关闭
2、【check2】防火墙后台目录中/appdata/etc/agentcfg/supervisor.conf描述所有进程不会记录调试日志
3、【check2】防火墙后台目录中/appdata/etc/agentcfg/supervisor.conf描述所有进程开始记录调试日志</t>
    <phoneticPr fontId="1" type="noConversion"/>
  </si>
  <si>
    <t>1、观察调试日志开关和调试日志记录情况。【check1】【check2】
2、开启调试日志，观察调试日志记录情况。【check3】
3、重启防火墙
4、防火墙启动后观察调试日志开关和调试日志记录情况。【check1】【check2】</t>
    <phoneticPr fontId="1" type="noConversion"/>
  </si>
  <si>
    <t>log.devlog.gather.abnormal</t>
    <phoneticPr fontId="1" type="noConversion"/>
  </si>
  <si>
    <t>验证防火墙异常信息收集功能</t>
    <phoneticPr fontId="1" type="noConversion"/>
  </si>
  <si>
    <t>异常信息=core</t>
    <phoneticPr fontId="1" type="noConversion"/>
  </si>
  <si>
    <t>1、使用dd命令在/trace/coredump目录下构造11个core文件，使得/trace分区使用率在85%到90%之间
2、打开异常信息收集【check1】
3、下载最大和最小的core文件【check2】
4、删除最大和最小的core文件【check3】</t>
    <phoneticPr fontId="1" type="noConversion"/>
  </si>
  <si>
    <t>1、【check1】页面可以查看到所有的core文件
2、【check2】下载成功，下载的文件与构造的文件完全一致
3、【check3】删除成功，在linux后台产看core文件被删除</t>
    <phoneticPr fontId="1" type="noConversion"/>
  </si>
  <si>
    <t>log.devlog.gather.info.manual</t>
    <phoneticPr fontId="1" type="noConversion"/>
  </si>
  <si>
    <t>log.devlog.gather.info.auto</t>
    <phoneticPr fontId="1" type="noConversion"/>
  </si>
  <si>
    <t>验证防火墙手动收集信息功能</t>
    <phoneticPr fontId="1" type="noConversion"/>
  </si>
  <si>
    <t>验证防火墙自动收集信息功能</t>
    <phoneticPr fontId="1" type="noConversion"/>
  </si>
  <si>
    <t>log.devlog.gather.info.limit</t>
    <phoneticPr fontId="1" type="noConversion"/>
  </si>
  <si>
    <t>验证防火墙信息收集配置限制功能</t>
    <phoneticPr fontId="1" type="noConversion"/>
  </si>
  <si>
    <t>收集方式=手动</t>
  </si>
  <si>
    <t>收集方式=手动</t>
    <phoneticPr fontId="1" type="noConversion"/>
  </si>
  <si>
    <t>收集方式=限制</t>
  </si>
  <si>
    <t>收集方式=限制</t>
    <phoneticPr fontId="1" type="noConversion"/>
  </si>
  <si>
    <t>1、网元正常启动
2、构造etcd中的配置总量低于2000
3、在防火墙上开启调试日志</t>
    <phoneticPr fontId="1" type="noConversion"/>
  </si>
  <si>
    <t>log.devlog.gather.info.limit.file</t>
    <phoneticPr fontId="1" type="noConversion"/>
  </si>
  <si>
    <t>1、【check1】防火墙的上能够查当前时刻信息收集文件
2、【check2】防火墙后台目录中/userdata/userfile/gatherinfo，会生成collection_当前时间戳.zip的文件
3、【check3】下载成功
4、【check4】删除成功</t>
    <phoneticPr fontId="1" type="noConversion"/>
  </si>
  <si>
    <t xml:space="preserve">1、在防火墙发起手动收集信息，查看防火墙的信息文件列表。【check1】【check2】
2、重复发起超过3次信息收集【check1】【check2】
3、下载第一个和最后一个信息收集文件。【check3】
4、删除任意信息收集文件。【check4】
5、再次下载任意信息收集文件。【check3】
</t>
    <phoneticPr fontId="1" type="noConversion"/>
  </si>
  <si>
    <t>log.devlog.gather.info.context</t>
    <phoneticPr fontId="1" type="noConversion"/>
  </si>
  <si>
    <t>验证防火墙信息收集内容正确性</t>
    <phoneticPr fontId="1" type="noConversion"/>
  </si>
  <si>
    <t>1、网元正常启动
2、在防火墙上开启调试日志</t>
    <phoneticPr fontId="1" type="noConversion"/>
  </si>
  <si>
    <t>1、【check1】文件解压需要密码，密码为ngfw123!@#
2、【check2】收集信息包含/appdata/etc/version,/appdata/etc/ngfwfeatureinfo,/apdata/etc/license/cliclienseinfo.txt,系统时间,CPU使用率,uptime,free -lh,df -lh,ps -aux | grep /opt,top -n 3,cat /appdata/etc/agentcfg/*,etcd配置(少于2k配置),操作日志（最少1个月）,系统日志（最少1个月）,dmesg,/var/log/messages,vpp下的show logging,最近一周的CPU、内存、磁盘使用率,设备流量大小（收集当时）,每个接口的pps（收集当时）会话总数（收集当时）</t>
    <phoneticPr fontId="1" type="noConversion"/>
  </si>
  <si>
    <t>1、在防火墙发起手动或者自动收集信息
2、下载手动收集到的信息文件，解压观察收集到的信息。【check1】【check2】
3、在防火墙配置任意配置使防火墙的etcd配置草果2000个（etcdctl get --prefix / --keys-only | wc -l ）返回值大于2000
4、在防火墙发起手动或者自动收集信息【check1】【check3】</t>
    <phoneticPr fontId="1" type="noConversion"/>
  </si>
  <si>
    <t>1、【check1】文件解压需要密码，密码为ngfw123!@#
2、【check2】收集信息包含/appdata/etc/version,/appdata/etc/ngfwfeatureinfo,/apdata/etc/license/cliclienseinfo.txt,系统时间,CPU使用率,uptime,free -lh,df -lh,ps -aux | grep /opt,top -n 3,cat /appdata/etc/agentcfg/*,etcd配置(少于2k配置),操作日志（最少1个月）,系统日志（最少1个月）,dmesg,/var/log/messages,vpp下的show logging,最近一周的CPU、内存、磁盘使用率,设备流量大小（收集当时）,每个接口的pps（收集当时）会话总数（收集当时），且信息正确
3、【check3】信息收集叫check2中少了etcd配置，其他信息相同且信息正确</t>
    <phoneticPr fontId="1" type="noConversion"/>
  </si>
  <si>
    <t>1、【check1】防火墙前端和后台（/userdata/userfile/gatherinfo）均不会自动生成信息收集文件
2、【check2】防火墙的前台和后台会查询到10个信息收集文件。且第11个周期的文件会覆盖第一个（时间最早的）收集的文件。文件的时间戳间隔与配置的x秒相同。
3、【check3】信息收集文件在前端和后台会达到10个，不会删除任何信息收集文件。</t>
    <phoneticPr fontId="1" type="noConversion"/>
  </si>
  <si>
    <t>log.devlog.gather.info.auto.long</t>
    <phoneticPr fontId="1" type="noConversion"/>
  </si>
  <si>
    <t>防火墙自动收集信息功能长期测试</t>
    <phoneticPr fontId="1" type="noConversion"/>
  </si>
  <si>
    <t>1、【check1】防火墙前端和后台（/userdata/userfile/gatherinfo）均不会自动生成信息收集文件
2、【check2】防火墙的前台和后台会查询到10个信息收集文件。文件的时间戳间隔与配置的x秒相同。
3、【check3】收集内存和cpu信息，设别无cpu和内存泄漏</t>
    <phoneticPr fontId="1" type="noConversion"/>
  </si>
  <si>
    <t>日志级别</t>
    <phoneticPr fontId="1" type="noConversion"/>
  </si>
  <si>
    <t>日志描述</t>
    <phoneticPr fontId="1" type="noConversion"/>
  </si>
  <si>
    <t>操作日志</t>
    <phoneticPr fontId="1" type="noConversion"/>
  </si>
  <si>
    <t>管理员</t>
    <phoneticPr fontId="1" type="noConversion"/>
  </si>
  <si>
    <t>管理员角色</t>
    <phoneticPr fontId="1" type="noConversion"/>
  </si>
  <si>
    <t>管理员IP</t>
    <phoneticPr fontId="1" type="noConversion"/>
  </si>
  <si>
    <t>入侵防御日志</t>
    <phoneticPr fontId="1" type="noConversion"/>
  </si>
  <si>
    <t>源端口</t>
    <phoneticPr fontId="1" type="noConversion"/>
  </si>
  <si>
    <t>目的端口</t>
    <phoneticPr fontId="1" type="noConversion"/>
  </si>
  <si>
    <t>协议</t>
    <phoneticPr fontId="1" type="noConversion"/>
  </si>
  <si>
    <t>策略ID</t>
    <phoneticPr fontId="1" type="noConversion"/>
  </si>
  <si>
    <t>规则名称</t>
    <phoneticPr fontId="1" type="noConversion"/>
  </si>
  <si>
    <t>规则类型</t>
    <phoneticPr fontId="1" type="noConversion"/>
  </si>
  <si>
    <t>攻击次数</t>
    <phoneticPr fontId="1" type="noConversion"/>
  </si>
  <si>
    <t>命中配置</t>
    <phoneticPr fontId="1" type="noConversion"/>
  </si>
  <si>
    <t>告警周期</t>
    <phoneticPr fontId="1" type="noConversion"/>
  </si>
  <si>
    <t>动作</t>
    <phoneticPr fontId="1" type="noConversion"/>
  </si>
  <si>
    <t>内容过滤日志</t>
    <phoneticPr fontId="1" type="noConversion"/>
  </si>
  <si>
    <t>应用类型</t>
    <phoneticPr fontId="1" type="noConversion"/>
  </si>
  <si>
    <t>防病毒日志</t>
    <phoneticPr fontId="1" type="noConversion"/>
  </si>
  <si>
    <t>文件名</t>
    <phoneticPr fontId="1" type="noConversion"/>
  </si>
  <si>
    <t>文件大小</t>
    <phoneticPr fontId="1" type="noConversion"/>
  </si>
  <si>
    <t>病毒类型</t>
    <phoneticPr fontId="1" type="noConversion"/>
  </si>
  <si>
    <t>来源</t>
    <phoneticPr fontId="1" type="noConversion"/>
  </si>
  <si>
    <t>过滤类型</t>
    <phoneticPr fontId="1" type="noConversion"/>
  </si>
  <si>
    <t>关键字</t>
    <phoneticPr fontId="1" type="noConversion"/>
  </si>
  <si>
    <t>文件过滤日志</t>
    <phoneticPr fontId="1" type="noConversion"/>
  </si>
  <si>
    <t>URL过滤日志</t>
    <phoneticPr fontId="1" type="noConversion"/>
  </si>
  <si>
    <t>配置名称</t>
    <phoneticPr fontId="1" type="noConversion"/>
  </si>
  <si>
    <t>URL</t>
    <phoneticPr fontId="1" type="noConversion"/>
  </si>
  <si>
    <t>WEB防护日志</t>
    <phoneticPr fontId="1" type="noConversion"/>
  </si>
  <si>
    <t>防护类型</t>
    <phoneticPr fontId="1" type="noConversion"/>
  </si>
  <si>
    <t>规则编号</t>
    <phoneticPr fontId="1" type="noConversion"/>
  </si>
  <si>
    <t>漏洞名称</t>
    <phoneticPr fontId="1" type="noConversion"/>
  </si>
  <si>
    <t>防暴力破解日志</t>
    <phoneticPr fontId="1" type="noConversion"/>
  </si>
  <si>
    <t>弱密码日志</t>
    <phoneticPr fontId="1" type="noConversion"/>
  </si>
  <si>
    <t>控制策略阻断日志</t>
    <phoneticPr fontId="1" type="noConversion"/>
  </si>
  <si>
    <t>源安全域</t>
    <phoneticPr fontId="1" type="noConversion"/>
  </si>
  <si>
    <t>目的安全域</t>
    <phoneticPr fontId="1" type="noConversion"/>
  </si>
  <si>
    <t>源地区</t>
    <phoneticPr fontId="1" type="noConversion"/>
  </si>
  <si>
    <t>目的</t>
    <phoneticPr fontId="1" type="noConversion"/>
  </si>
  <si>
    <t>协议号</t>
    <phoneticPr fontId="1" type="noConversion"/>
  </si>
  <si>
    <t>本地控制策略日志</t>
    <phoneticPr fontId="1" type="noConversion"/>
  </si>
  <si>
    <t>单包防护日志</t>
    <phoneticPr fontId="1" type="noConversion"/>
  </si>
  <si>
    <t>攻击类型</t>
    <phoneticPr fontId="1" type="noConversion"/>
  </si>
  <si>
    <t>源IP</t>
    <phoneticPr fontId="1" type="noConversion"/>
  </si>
  <si>
    <t>目的IP</t>
    <phoneticPr fontId="1" type="noConversion"/>
  </si>
  <si>
    <t>Flood攻击日志</t>
    <phoneticPr fontId="1" type="noConversion"/>
  </si>
  <si>
    <t>Ddos防护策略</t>
    <phoneticPr fontId="1" type="noConversion"/>
  </si>
  <si>
    <t>防护算法</t>
    <phoneticPr fontId="1" type="noConversion"/>
  </si>
  <si>
    <t>黑白名单日志</t>
    <phoneticPr fontId="1" type="noConversion"/>
  </si>
  <si>
    <t>日志类型</t>
    <phoneticPr fontId="1" type="noConversion"/>
  </si>
  <si>
    <t>规则</t>
    <phoneticPr fontId="1" type="noConversion"/>
  </si>
  <si>
    <t>源MAC</t>
    <phoneticPr fontId="1" type="noConversion"/>
  </si>
  <si>
    <t>目的MAC</t>
    <phoneticPr fontId="1" type="noConversion"/>
  </si>
  <si>
    <t>行为</t>
    <phoneticPr fontId="1" type="noConversion"/>
  </si>
  <si>
    <t>拦截次数</t>
    <phoneticPr fontId="1" type="noConversion"/>
  </si>
  <si>
    <t>IPSecVPN日志</t>
    <phoneticPr fontId="1" type="noConversion"/>
  </si>
  <si>
    <t>本地端口</t>
    <phoneticPr fontId="1" type="noConversion"/>
  </si>
  <si>
    <t>本地网关</t>
    <phoneticPr fontId="1" type="noConversion"/>
  </si>
  <si>
    <t>对端网关</t>
    <phoneticPr fontId="1" type="noConversion"/>
  </si>
  <si>
    <t>对端端口</t>
    <phoneticPr fontId="1" type="noConversion"/>
  </si>
  <si>
    <t>源网络</t>
    <phoneticPr fontId="1" type="noConversion"/>
  </si>
  <si>
    <t>目的网络</t>
    <phoneticPr fontId="1" type="noConversion"/>
  </si>
  <si>
    <t>数据名称=系统日志;有效值=时间,日志级别,日志描述</t>
    <phoneticPr fontId="1" type="noConversion"/>
  </si>
  <si>
    <t>数据名称=操作日志;有效值=时间,日志级别,管理员,管理员角色,管理员IP,日志描述</t>
    <phoneticPr fontId="1" type="noConversion"/>
  </si>
  <si>
    <t>数据名称=入侵防御日志;有效值=时间,日志级别,源地址,源端口,目的地址,目的端口,协议,策略ID,规则名称,规则类型,攻击次数,命中配置,告警周期,动作</t>
    <phoneticPr fontId="1" type="noConversion"/>
  </si>
  <si>
    <t>数据名称=防病毒日志;有效值=时间,日志级别,源地址,源端口,目的地址,目的端口,协议,策略ID,攻击次数,应用类型,文件名,文件大小,病毒类型,动作,来源</t>
    <phoneticPr fontId="1" type="noConversion"/>
  </si>
  <si>
    <t>数据名称=内容过滤日志;有效值=时间,日志级别,源地址,源端口,目的地址,目的端口,协议,策略ID,动作,过滤类型,攻击次数,关键字</t>
    <phoneticPr fontId="1" type="noConversion"/>
  </si>
  <si>
    <t>数据名称=文件过滤日志;有效值=时间,日志级别,源地址,源端口,目的地址,目的端口,策略ID,应用类型,攻击次数,文件名,动作,日志描述</t>
    <phoneticPr fontId="1" type="noConversion"/>
  </si>
  <si>
    <t>数据名称=URL过滤日志;有效值=时间,日志级别,源地址,源端口,目的地址,目的端口,协议,策略ID,攻击次数,动作,配置名称,匹配对象,URL,过滤类型</t>
    <phoneticPr fontId="1" type="noConversion"/>
  </si>
  <si>
    <t>数据名称=WEB防护日志;有效值=时间,日志级别,源地址,源端口,目的地址,目的端口,协议,命中配置,防护类型,规则编号,漏洞名称,攻击次数,动作</t>
    <phoneticPr fontId="1" type="noConversion"/>
  </si>
  <si>
    <t>数据名称=防暴力破解日志;有效值=时间,日志级别,源地址,源端口,目的地址,目的端口,协议,命中配置,防护类型,规则编号,漏洞名称,攻击次数,动作</t>
    <phoneticPr fontId="1" type="noConversion"/>
  </si>
  <si>
    <t>数据名称=弱密码日志;有效值=时间,日志级别,源地址,源端口,目的地址,目的端口,协议,命中配置,防护类型,规则编号,漏洞名称,攻击次数,动作</t>
    <phoneticPr fontId="1" type="noConversion"/>
  </si>
  <si>
    <t>数据名称=控制策略阻断日志;有效值=时间,日志级别,源地址,源端口,目的地址,目的端口,源安全域,目的安全域,源地区,目的,应用,协议号,策略名称,动作</t>
    <phoneticPr fontId="1" type="noConversion"/>
  </si>
  <si>
    <t>数据名称=本地控制策略日志;有效值=时间,日志级别,源地址,源端口,目的地址,目的端口,源安全域,目的安全域,源地区,目的,应用,协议号,策略名称,动作</t>
    <phoneticPr fontId="1" type="noConversion"/>
  </si>
  <si>
    <t>数据名称=单包防护日志;有效值=时间,攻击类型,源IP,目的IP,源端口,目的端口,协议号,日志级别</t>
    <phoneticPr fontId="1" type="noConversion"/>
  </si>
  <si>
    <t>数据名称=黑白名单日志;有效值=时间,日志类型,规则,日志描述</t>
    <phoneticPr fontId="1" type="noConversion"/>
  </si>
  <si>
    <t>数据名称=Flood攻击日志;有效值=时间,攻击类型,源IP,目的IP,源MAC,目的MAC,源端口,目的端口,协议号,策略ID,行为,拦截次数</t>
    <phoneticPr fontId="1" type="noConversion"/>
  </si>
  <si>
    <t>数据名称=IPSecVPN日志;有效值=时间,攻击类型,名称,本地网关,本地端口,对端网关,对端端口,源网络,目的网络,日志描述</t>
    <phoneticPr fontId="1" type="noConversion"/>
  </si>
  <si>
    <t>log.logmng.put.get</t>
    <phoneticPr fontId="1" type="noConversion"/>
  </si>
  <si>
    <t>数据名称</t>
    <phoneticPr fontId="1" type="noConversion"/>
  </si>
  <si>
    <t>验证${数据名称}的写入和查询功能</t>
    <phoneticPr fontId="1" type="noConversion"/>
  </si>
  <si>
    <t>网元正常启动</t>
    <phoneticPr fontId="1" type="noConversion"/>
  </si>
  <si>
    <t>出现次数</t>
    <phoneticPr fontId="1" type="noConversion"/>
  </si>
  <si>
    <t>用户名</t>
    <phoneticPr fontId="1" type="noConversion"/>
  </si>
  <si>
    <t>弱密码告警规则</t>
    <phoneticPr fontId="1" type="noConversion"/>
  </si>
  <si>
    <t>EDR推广日志</t>
    <phoneticPr fontId="1" type="noConversion"/>
  </si>
  <si>
    <t>数据名称=系统日志;有效值=时间,日志级别,日志描述
数据名称=操作日志;有效值=时间,日志级别,管理员,管理员IP,日志描述
数据名称=入侵防御日志;有效值=时间,日志级别,源地址,源端口,目的地址,目的端口,协议,策略ID,规则名称,命中配置,动作
数据名称=防病毒日志;有效值=时间,日志级别,源地址,源端口,目的地址,目的端口,协议,策略ID,应用类型,文件名,病毒类型,动作
数据名称=内容过滤日志;有效值=时间,日志级别,源地址,源端口,目的地址,目的端口,协议,策略ID,动作
数据名称=文件过滤日志;有效值=时间,日志级别,源地址,源端口,目的地址,目的端口,策略ID,应用类型,文件名,动作
数据名称=URL过滤日志;有效值=时间,日志级别,源地址,源端口,目的地址,目的端口,协议,策略ID,动作,过滤类型
数据名称=WEB防护日志;有效值=时间,日志级别,源地址,源端口,目的地址,目的端口,协议,防护类型,攻击次数,动作
数据名称=防暴力破解日志;有效值=时间,日志级别,源地址,源端口,目的地址,目的端口,协议,动作
数据名称=弱密码日志;有效值=时间,日志级别,源地址,源端口,目的地址,目的端口,协议,策略ID,配置名称,动作
数据名称=控制策略阻断日志;有效值=时间,日志级别,源地址,源端口,目的地址,目的端口,源安全域,目的安全域,源地区,目的,应用,协议号,策略名称,动作
数据名称=本地控制策略日志;有效值=时间,日志级别,源地址,源端口,目的地址,目的端口,源安全域,目的安全域,源地区,目的,应用,协议号,策略名称,动作
数据名称=单包防护日志;有效值=时间,攻击类型,源IP,目的IP,日志级别
数据名称=Flood攻击日志;有效值=时间,攻击类型,源IP,目的IP,源端口,目的端口,Ddos防护策略,协议号,防护算法
数据名称=黑白名单日志;有效值=时间,日志类型
数据名称=EDR推广日志;有效值=时间,源IP,目的IP,源端口,目的端口,协议号,策略ID
数据名称=IPSecVPN日志;有效值=时间,攻击类型,名称,本地网关,本地端口,对端网关,对端端口,源网络,目的网络</t>
    <phoneticPr fontId="1" type="noConversion"/>
  </si>
  <si>
    <t>log.logmng.fliter.exact</t>
    <phoneticPr fontId="1" type="noConversion"/>
  </si>
  <si>
    <t>数据名称=系统日志;有效值=日志级别,日志描述
数据名称=操作日志;有效值日志级别,管理员,管理员IP,日志描述
数据名称=入侵防御日志;有效值=日志级别,源地址,源端口,目的地址,目的端口,协议,策略ID,规则名称,命中配置,动作
数据名称=防病毒日志;有效值=日志级别,源地址,源端口,目的地址,目的端口,协议,策略ID,应用类型,文件名,病毒类型,动作
数据名称=内容过滤日志;有效值=日志级别,源地址,源端口,目的地址,目的端口,协议,策略ID,动作
数据名称=文件过滤日志;有效值=日志级别,源地址,源端口,目的地址,目的端口,策略ID,应用类型,文件名,动作
数据名称=URL过滤日志;有效值=日志级别,源地址,源端口,目的地址,目的端口,协议,策略ID,动作,过滤类型
数据名称=WEB防护日志;有效值=日志级别,源地址,源端口,目的地址,目的端口,协议,防护类型,攻击次数,动作
数据名称=防暴力破解日志;有效值=日志级别,源地址,源端口,目的地址,目的端口,协议,动作
数据名称=弱密码日志;有效值=日志级别,源地址,源端口,目的地址,目的端口,协议,策略ID,配置名称,动作
数据名称=控制策略阻断日志;有效值=日志级别,源地址,源端口,目的地址,目的端口,源安全域,目的安全域,源地区,目的,应用,协议号,策略名称,动作
数据名称=本地控制策略日志;有效值=日志级别,源地址,源端口,目的地址,目的端口,源安全域,目的安全域,源地区,目的,应用,协议号,策略名称,动作
数据名称=单包防护日志;有效值=攻击类型,源IP,目的IP,日志级别
数据名称=Flood攻击日志;有效值=攻击类型,源IP,目的IP,源端口,目的端口,Ddos防护策略,协议号,防护算法
数据名称=黑白名单日志;有效值=日志类型
数据名称=EDR推广日志;有效值=源IP,目的IP,源端口,目的端口,协议号,策略ID
数据名称=IPSecVPN日志;有效值=攻击类型,名称,本地网关,本地端口,对端网关,对端端口,源网络,目的网络</t>
    <phoneticPr fontId="1" type="noConversion"/>
  </si>
  <si>
    <t>log.logmng.fliter.exact2</t>
    <phoneticPr fontId="1" type="noConversion"/>
  </si>
  <si>
    <t>1、【check1】查询到的数据与写入的数据完全相同</t>
    <phoneticPr fontId="1" type="noConversion"/>
  </si>
  <si>
    <t>验证日志高级精确过滤功能</t>
    <phoneticPr fontId="1" type="noConversion"/>
  </si>
  <si>
    <t>验证日志查询模糊过滤功能</t>
    <phoneticPr fontId="1" type="noConversion"/>
  </si>
  <si>
    <t>验证日志精确过滤功能</t>
    <phoneticPr fontId="1" type="noConversion"/>
  </si>
  <si>
    <t>验证${数据名称}的精确过滤功能</t>
    <phoneticPr fontId="1" type="noConversion"/>
  </si>
  <si>
    <t>验证${数据名称}的精确过滤时组合条件过滤功能</t>
    <phoneticPr fontId="1" type="noConversion"/>
  </si>
  <si>
    <t>验证日志模糊过滤功能</t>
    <phoneticPr fontId="1" type="noConversion"/>
  </si>
  <si>
    <t>IP</t>
    <phoneticPr fontId="1" type="noConversion"/>
  </si>
  <si>
    <t>验证${数据名称}的模糊过滤功能</t>
    <phoneticPr fontId="1" type="noConversion"/>
  </si>
  <si>
    <t>log.logmng.fliter.fuzzy</t>
    <phoneticPr fontId="1" type="noConversion"/>
  </si>
  <si>
    <t>数据名称=系统日志;有效值=时间,日志级别</t>
    <phoneticPr fontId="1" type="noConversion"/>
  </si>
  <si>
    <t>数据名称=系统日志;有效值=日志级别
数据名称=操作日志;有效值=日志级别,管理员,管理员IP
数据名称=入侵防御日志;有效值=日志级别,源地址,源端口,目的地址,目的端口,协议,策略ID,规则名称,命中配置,动作
数据名称=防病毒日志;有效值=日志级别,源地址,源端口,目的地址,目的端口,协议,策略ID,应用类型,文件名,病毒类型,动作
数据名称=内容过滤日志;有效值=日志级别,源地址,源端口,目的地址,目的端口,协议,策略ID,动作
数据名称=文件过滤日志;有效值=日志级别,源地址,源端口,目的地址,目的端口,策略ID,应用类型,文件名,动作
数据名称=URL过滤日志;有效值=日志级别,源地址,源端口,目的地址,目的端口,协议,策略ID,动作,过滤类型
数据名称=WEB防护日志;有效值=日志级别,源地址,源端口,目的地址,目的端口,协议,防护类型,攻击次数,动作
数据名称=防暴力破解日志;有效值=日志级别,源地址,源端口,目的地址,目的端口,协议,动作
数据名称=弱密码日志;有效值=日志级别,源地址,源端口,目的地址,目的端口,协议,策略ID,配置名称,动作
数据名称=控制策略阻断日志;有效值=日志级别,源地址,源端口,目的地址,目的端口,源安全域,目的安全域,源地区,目的,应用,协议号,策略名称,动作
数据名称=本地控制策略日志;有效值=日志级别,源地址,源端口,目的地址,目的端口,源安全域,目的安全域,源地区,目的,应用,协议号,策略名称,动作
数据名称=单包防护日志;有效值=攻击类型,源IP,目的IP,日志级别
数据名称=Flood攻击日志;有效值=攻击类型,源IP,目的IP,源端口,目的端口,Ddos防护策略,协议号,防护算法
数据名称=黑白名单日志;有效值=日志类型
数据名称=EDR推广日志;有效值=源IP,目的IP,源端口,目的端口,协议号,策略ID
数据名称=IPSecVPN日志;有效值=攻击类型,名称,本地网关,本地端口,对端网关,对端端口,源网络,目的网络</t>
    <phoneticPr fontId="1" type="noConversion"/>
  </si>
  <si>
    <t>数据名称=系统日志;有效值=日志级别
数据名称=操作日志;有效值=日志级别，管理员，管理员IP
数据名称=入侵防御日志;有效值=日志级别，源地址，源端口，目的地址，目的端口，协议，策略ID，规则名称，命中配置，动作
数据名称=防病毒日志;有效值=日志级别，源地址，源端口，目的地址，目的端口，协议，策略ID，应用类型，文件名，病毒类型，动作
数据名称=内容过滤日志;有效值=日志级别，源地址，源端口，目的地址，目的端口，协议，策略ID，动作
数据名称=文件过滤日志;有效值=日志级别，源地址，源端口，目的地址，目的端口，策略ID，应用类型，文件名，动作
数据名称=URL过滤日志;有效值=日志级别，源地址，源端口，目的地址，目的端口，协议，策略ID，动作，过滤类型
数据名称=WEB防护日志;有效值=日志级别，源地址，源端口，目的地址，目的端口，协议，防护类型，攻击次数，动作
数据名称=防暴力破解日志;有效值=日志级别，源地址，源端口，目的地址，目的端口，协议，动作
数据名称=弱密码日志;有效值=日志级别，源地址，源端口，目的地址，目的端口，协议，策略ID，配置名称，动作
数据名称=控制策略阻断日志;有效值=日志级别，源地址，源端口，目的地址，目的端口，源安全域，目的安全域，源地区，目的，应用，协议号，策略名称，动作
数据名称=本地控制策略日志;有效值=日志级别，源地址，源端口，目的地址，目的端口，源安全域，目的安全域，源地区，目的，应用，协议号，策略名称，动作
数据名称=单包防护日志;有效值=攻击类型，源IP，目的IP，日志级别
数据名称=Flood攻击日志;有效值=攻击类型，源IP，目的IP，源端口，目的端口，Ddos防护策略，协议号，防护算法
数据名称=黑白名单日志;有效值=日志类型
数据名称=EDR推广日志;有效值=源IP，目的IP，源端口，目的端口，协议号，策略ID
数据名称=IPSecVPN日志;有效值=攻击类型，名称，本地网关，本地端口，对端网关，对端端口，源网络，目的网络</t>
    <phoneticPr fontId="1" type="noConversion"/>
  </si>
  <si>
    <t>数据名称=系统日志;有效值=日志描述</t>
  </si>
  <si>
    <t>数据名称=操作日志;有效值=日志描述</t>
  </si>
  <si>
    <t>数据名称=入侵防御日志;有效值=源地址,源端口,目的地址,目的端口,协议,日志描述</t>
  </si>
  <si>
    <t>数据名称=防病毒日志;有效值=源地址,源端口,目的地址,目的端口,协议,应用类型,文件名,病毒类型</t>
    <phoneticPr fontId="1" type="noConversion"/>
  </si>
  <si>
    <t>数据名称=内容过滤日志;有效值=源地址,源端口,目的地址,目的端口,协议,过滤类型,关键字</t>
    <phoneticPr fontId="1" type="noConversion"/>
  </si>
  <si>
    <t>数据名称=文件过滤日志;有效值=源地址,源端口,目的地址,目的端口,应用类型,文件名,日志描述</t>
    <phoneticPr fontId="1" type="noConversion"/>
  </si>
  <si>
    <t>数据名称=URL过滤日志;有效值=源地址,源端口,目的地址,目的端口,协议,配置名称,匹配对象,URL</t>
    <phoneticPr fontId="1" type="noConversion"/>
  </si>
  <si>
    <t>数据名称=WEB防护日志;有效值=源地址,源端口,目的地址,目的端口,协议,命中配置</t>
    <phoneticPr fontId="1" type="noConversion"/>
  </si>
  <si>
    <t>数据名称=防暴力破解日志;有效值=源地址,源端口,目的地址,目的端口,协议,配置名称,服务</t>
    <phoneticPr fontId="1" type="noConversion"/>
  </si>
  <si>
    <t>数据名称=弱密码日志;有效值=源地址,源端口,目的地址,目的端口,协议,配置名称</t>
    <phoneticPr fontId="1" type="noConversion"/>
  </si>
  <si>
    <t>数据名称=控制策略阻断日志;有效值=源地址,源端口,目的地址,目的端口,协议,应用</t>
    <phoneticPr fontId="1" type="noConversion"/>
  </si>
  <si>
    <t>数据名称=本地控制策略日志;有效值=源地址,源端口,目的地址,目的端口,协议</t>
    <phoneticPr fontId="1" type="noConversion"/>
  </si>
  <si>
    <t>数据名称=单包防护日志;有效值=源地址,源端口,目的地址,目的端口,协议,攻击类型</t>
    <phoneticPr fontId="1" type="noConversion"/>
  </si>
  <si>
    <t>数据名称=Flood攻击日志;有效值=源地址,源端口,目的地址,目的端口,协议,攻击类型</t>
    <phoneticPr fontId="1" type="noConversion"/>
  </si>
  <si>
    <t>数据名称=黑白名单日志;有效值=IP,日志描述</t>
    <phoneticPr fontId="1" type="noConversion"/>
  </si>
  <si>
    <t>数据名称=EDR推广日志;有效值=源地址,源端口,目的地址,目的端口,协议,应用</t>
    <phoneticPr fontId="1" type="noConversion"/>
  </si>
  <si>
    <t>数据名称=IPSecVPN日志;有效值=时间,攻击类型,名称,本地网关,本地端口,对端网关,对端端口,源网络,目的网络,名称,日志描述</t>
    <phoneticPr fontId="1" type="noConversion"/>
  </si>
  <si>
    <t>数据名称=操作日志;有效值=时间,日志级别,管理员,管理员IP</t>
    <phoneticPr fontId="1" type="noConversion"/>
  </si>
  <si>
    <t>数据名称=入侵防御日志;有效值=时间,日志级别,源地址,源端口,目的地址,目的端口,协议,策略ID,规则名称,命中配置,动作</t>
    <phoneticPr fontId="1" type="noConversion"/>
  </si>
  <si>
    <t>数据名称=防病毒日志;有效值=时间,日志级别,源地址,源端口,目的地址,目的端口,协议,策略ID,应用类型,文件名,病毒类型,动作</t>
    <phoneticPr fontId="1" type="noConversion"/>
  </si>
  <si>
    <t>数据名称=内容过滤日志;有效值=时间,日志级别,源地址,源端口,目的地址,目的端口,协议,策略ID,动作</t>
    <phoneticPr fontId="1" type="noConversion"/>
  </si>
  <si>
    <t>数据名称=文件过滤日志;有效值=时间,日志级别,源地址,源端口,目的地址,目的端口,策略ID,应用类型,文件名,动作</t>
    <phoneticPr fontId="1" type="noConversion"/>
  </si>
  <si>
    <t>数据名称=URL过滤日志;有效值=时间,日志级别,源地址,源端口,目的地址,目的端口,协议,策略ID,动作,过滤类型</t>
    <phoneticPr fontId="1" type="noConversion"/>
  </si>
  <si>
    <t>数据名称=WEB防护日志;有效值=时间,日志级别,源地址,源端口,目的地址,目的端口,协议,防护类型,攻击次数,动作</t>
    <phoneticPr fontId="1" type="noConversion"/>
  </si>
  <si>
    <t>数据名称=防暴力破解日志;有效值=时间,日志级别,源地址,源端口,目的地址,目的端口,协议,动作</t>
    <phoneticPr fontId="1" type="noConversion"/>
  </si>
  <si>
    <t>数据名称=弱密码日志;有效值=时间,日志级别,源地址,源端口,目的地址,目的端口,协议,策略ID,配置名称,动作</t>
    <phoneticPr fontId="1" type="noConversion"/>
  </si>
  <si>
    <t>数据名称=单包防护日志;有效值=时间,攻击类型,源IP,目的IP,日志级别</t>
    <phoneticPr fontId="1" type="noConversion"/>
  </si>
  <si>
    <t>数据名称=Flood攻击日志;有效值=时间,攻击类型,源IP,目的IP,源端口,目的端口,Ddos防护策略,协议号,防护算法</t>
    <phoneticPr fontId="1" type="noConversion"/>
  </si>
  <si>
    <t>数据名称=黑白名单日志;有效值=时间,日志类型</t>
    <phoneticPr fontId="1" type="noConversion"/>
  </si>
  <si>
    <t>数据名称=EDR推广日志;有效值=时间,源IP,目的IP,源端口,目的端口,协议号,策略ID</t>
    <phoneticPr fontId="1" type="noConversion"/>
  </si>
  <si>
    <t>数据名称=IPSecVPN日志;有效值=时间,攻击类型,名称,本地网关,本地端口,对端网关,对端端口,源网络,目的网络</t>
    <phoneticPr fontId="1" type="noConversion"/>
  </si>
  <si>
    <t>数据名称=系统日志;有效值=日志描述
数据名称=操作日志;有效值=日志描述
数据名称=入侵防御日志;有效值=源地址,源端口,目的地址,目的端口,协议,日志描述
数据名称=防病毒日志;有效值=源地址,源端口,目的地址,目的端口,协议,应用类型,文件名,病毒类型
数据名称=内容过滤日志;有效值=源地址,源端口,目的地址,目的端口,协议,过滤类型,关键字
数据名称=文件过滤日志;有效值=源地址,源端口,目的地址,目的端口,应用类型,文件名,日志描述
数据名称=URL过滤日志;有效值=源地址,源端口,目的地址,目的端口,协议,配置名称,匹配对象,URL
数据名称=WEB防护日志;有效值=源地址,源端口,目的地址,目的端口,协议,命中配置
数据名称=防暴力破解日志;有效值=源地址,源端口,目的地址,目的端口,协议,配置名称,服务
数据名称=弱密码日志;有效值=源地址,源端口,目的地址,目的端口,协议,配置名称
数据名称=控制策略阻断日志;有效值=源地址,源端口,目的地址,目的端口,协议,应用
数据名称=本地控制策略日志;有效值=源地址,源端口,目的地址,目的端口,协议
数据名称=单包防护日志;有效值=源地址,源端口,目的地址,目的端口,协议,攻击类型
数据名称=Flood攻击日志;有效值=源地址,源端口,目的地址,目的端口,协议,攻击类型
数据名称=黑白名单日志;有效值=IP,日志描述
数据名称=EDR推广日志;有效值=源地址,源端口,目的地址,目的端口,协议,应用
数据名称=IPSecVPN日志;有效值=时间,攻击类型,名称,本地网关,本地端口,对端网关,对端端口,源网络,目的网络,名称,日志描述</t>
    <phoneticPr fontId="1" type="noConversion"/>
  </si>
  <si>
    <t>日志查询时间测试</t>
    <phoneticPr fontId="1" type="noConversion"/>
  </si>
  <si>
    <t>时间,修改系统时间</t>
    <phoneticPr fontId="1" type="noConversion"/>
  </si>
  <si>
    <t>log.logmng.fliter.time</t>
    <phoneticPr fontId="1" type="noConversion"/>
  </si>
  <si>
    <t>log.logmng.fliter.systime</t>
    <phoneticPr fontId="1" type="noConversion"/>
  </si>
  <si>
    <t>时间范围=all,1h,24h,7d,1m,自定义</t>
    <phoneticPr fontId="1" type="noConversion"/>
  </si>
  <si>
    <t>验证日志查询时间范围计算正确</t>
    <phoneticPr fontId="1" type="noConversion"/>
  </si>
  <si>
    <t>验证修改系统时间后的日志查询功能</t>
    <phoneticPr fontId="1" type="noConversion"/>
  </si>
  <si>
    <t>时间范围=修改系统时间</t>
    <phoneticPr fontId="1" type="noConversion"/>
  </si>
  <si>
    <t>每周日志内部全覆盖</t>
    <phoneticPr fontId="1" type="noConversion"/>
  </si>
  <si>
    <t>时间范围=1h,日志类型=系统日志
时间范围=24h,日志类型=安全日志
时间范围=7d,日志类型=控制策略阻断日志
时间范围=1m(月),日志类型=黑白名单日志
时间范围=自定义,日志类型=IPSecVPN日志</t>
    <phoneticPr fontId="1" type="noConversion"/>
  </si>
  <si>
    <t>验证${日志类型}查询时间范围计算正确</t>
    <phoneticPr fontId="1" type="noConversion"/>
  </si>
  <si>
    <t>1、【check1】仅能查询到${时间范围}内的日志
2、【check2】可以查询到所有日志</t>
    <phoneticPr fontId="1" type="noConversion"/>
  </si>
  <si>
    <t>日志清理功能</t>
    <phoneticPr fontId="1" type="noConversion"/>
  </si>
  <si>
    <t>功能测试</t>
    <phoneticPr fontId="1" type="noConversion"/>
  </si>
  <si>
    <t>优先级</t>
    <phoneticPr fontId="1" type="noConversion"/>
  </si>
  <si>
    <t>测试类型</t>
    <phoneticPr fontId="1" type="noConversion"/>
  </si>
  <si>
    <t>自动化</t>
    <phoneticPr fontId="1" type="noConversion"/>
  </si>
  <si>
    <t>待实现</t>
    <phoneticPr fontId="1" type="noConversion"/>
  </si>
  <si>
    <t>首次创建版本*</t>
    <phoneticPr fontId="16" type="noConversion"/>
  </si>
  <si>
    <t>最后变更版本</t>
    <phoneticPr fontId="16" type="noConversion"/>
  </si>
  <si>
    <t>设备类型*</t>
    <phoneticPr fontId="16" type="noConversion"/>
  </si>
  <si>
    <t>自动化*</t>
    <phoneticPr fontId="16" type="noConversion"/>
  </si>
  <si>
    <t>每种日志一个用例</t>
    <phoneticPr fontId="1" type="noConversion"/>
  </si>
  <si>
    <t>数据名称和分类合并</t>
    <phoneticPr fontId="1" type="noConversion"/>
  </si>
  <si>
    <t>有效日志类型=入侵防御日志,防病毒日志,内容过滤日志,URL过滤日志,文件过滤日志,WEB防护日志,弱密码日志,防暴力破解日志,单包防护日志,Flood攻击日志</t>
    <phoneticPr fontId="1" type="noConversion"/>
  </si>
  <si>
    <t>验证${有效日志类型}写入时的日志归并功能</t>
    <phoneticPr fontId="1" type="noConversion"/>
  </si>
  <si>
    <t>log.logmng.merge</t>
    <phoneticPr fontId="1" type="noConversion"/>
  </si>
  <si>
    <t>1、【check1】查询到的日志为空
2、【check2】仅查询到1条${有效日志类型}，该日志的攻击次数或者出现次数为n</t>
    <phoneticPr fontId="1" type="noConversion"/>
  </si>
  <si>
    <t>归并周期</t>
    <phoneticPr fontId="1" type="noConversion"/>
  </si>
  <si>
    <t>最小值（10s）</t>
    <phoneticPr fontId="1" type="noConversion"/>
  </si>
  <si>
    <t>默认值（60s）</t>
    <phoneticPr fontId="1" type="noConversion"/>
  </si>
  <si>
    <t>最大值（300s）</t>
    <phoneticPr fontId="1" type="noConversion"/>
  </si>
  <si>
    <t>随机值（11~299s）</t>
    <phoneticPr fontId="1" type="noConversion"/>
  </si>
  <si>
    <t>log.logmng.merge.porid</t>
    <phoneticPr fontId="1" type="noConversion"/>
  </si>
  <si>
    <t>log.logmng.merge.porid.max</t>
    <phoneticPr fontId="1" type="noConversion"/>
  </si>
  <si>
    <t>log.logmng.merge.porid.min</t>
    <phoneticPr fontId="1" type="noConversion"/>
  </si>
  <si>
    <t>入侵防御日志</t>
  </si>
  <si>
    <t>内容过滤日志</t>
  </si>
  <si>
    <t>防病毒日志</t>
  </si>
  <si>
    <t>单包防护日志</t>
  </si>
  <si>
    <t>WEB防护日志</t>
  </si>
  <si>
    <t>归并有ngfwlogserver实现，对与不同的日志的归并处理事一致的，选取最常用的4中日志即可</t>
    <phoneticPr fontId="1" type="noConversion"/>
  </si>
  <si>
    <t>全选</t>
    <phoneticPr fontId="1" type="noConversion"/>
  </si>
  <si>
    <t>日志类型=入侵防御日志;归并周期=最小值（10s）
日志类型=防病毒日志;归并周期=默认值（60s）
日志类型=单包防护日志;归并周期=最大值（300s）
日志类型=WEB防护日志;归并周期=随机值（11~299s）</t>
    <phoneticPr fontId="1" type="noConversion"/>
  </si>
  <si>
    <t>日志类型=单包防护日志;归并周期=最大值（300s）
日志类型=WEB防护日志;归并周期=随机值（11~299s）</t>
    <phoneticPr fontId="1" type="noConversion"/>
  </si>
  <si>
    <t>日志类型=入侵防御日志;归并周期=最小值（10s）
日志类型=防病毒日志;归并周期=默认值（60s）</t>
    <phoneticPr fontId="1" type="noConversion"/>
  </si>
  <si>
    <t>验证${日志类型}归并周期为${归并周期}时的日志归并功能</t>
    <phoneticPr fontId="1" type="noConversion"/>
  </si>
  <si>
    <t>1、【check1】查询到的日志为空
2、【check2】仅查询到1条${有效日志类型}，该日志的攻击次数或者出现次数为n1
3、【check3】仅查询到2条${有效日志类型}，第二条日志的攻击次数或者出现次数为n2</t>
    <phoneticPr fontId="1" type="noConversion"/>
  </si>
  <si>
    <t>不实现</t>
    <phoneticPr fontId="1" type="noConversion"/>
  </si>
  <si>
    <t>log.logmng.merge.multi.logs</t>
    <phoneticPr fontId="1" type="noConversion"/>
  </si>
  <si>
    <t>验证多种日志归并相互不影响</t>
    <phoneticPr fontId="1" type="noConversion"/>
  </si>
  <si>
    <t>1、【check1】查询到的日志为空
2、【check2】${有效日志类型}的在t秒内只有一条日志，日志的攻击或者出现次数与写入日志条数相同</t>
    <phoneticPr fontId="1" type="noConversion"/>
  </si>
  <si>
    <t>入侵防御日志,防病毒日志,内容过滤日志,URL过滤日志,文件过滤日志,WEB防护日志,弱密码日志,防暴力破解日志,单包防护日志,Flood攻击日志</t>
    <phoneticPr fontId="1" type="noConversion"/>
  </si>
  <si>
    <t>反复修改</t>
    <phoneticPr fontId="1" type="noConversion"/>
  </si>
  <si>
    <t>log.logmng.merge.fatigue</t>
    <phoneticPr fontId="1" type="noConversion"/>
  </si>
  <si>
    <t>验证反复修改日志归并周期后的日志归并功能</t>
    <phoneticPr fontId="1" type="noConversion"/>
  </si>
  <si>
    <t>log.logmng.merge.fatigue.switch</t>
    <phoneticPr fontId="1" type="noConversion"/>
  </si>
  <si>
    <t>log.logmng.merge.fatigue.porid</t>
    <phoneticPr fontId="1" type="noConversion"/>
  </si>
  <si>
    <t>日志归并是修改配置疲劳测试</t>
    <phoneticPr fontId="1" type="noConversion"/>
  </si>
  <si>
    <t>不需要设计用例，没有影响</t>
    <phoneticPr fontId="1" type="noConversion"/>
  </si>
  <si>
    <t>日志清除（放到日志清理中）</t>
    <phoneticPr fontId="1" type="noConversion"/>
  </si>
  <si>
    <t>日志清除功能</t>
    <phoneticPr fontId="1" type="noConversion"/>
  </si>
  <si>
    <t>支持的日志：系统日志、入侵防御日志、防病毒日志、内容过滤日志、文件过滤日志、URL过滤日志、WEB防护日志、防暴力破解日志、弱密码日志、控制策略阻断日志、单包防护日志、Flood攻击日志、黑白名单日志、EDR推广日志、IPSecVPN日志
不支持的日志:操作日志</t>
    <phoneticPr fontId="1" type="noConversion"/>
  </si>
  <si>
    <t>s6000_fw格式时IPv4策略内容外发功能</t>
    <phoneticPr fontId="1" type="noConversion"/>
  </si>
  <si>
    <t>日志自动备份功能测试</t>
    <phoneticPr fontId="1" type="noConversion"/>
  </si>
  <si>
    <t>日志超规格备份功能测试</t>
    <phoneticPr fontId="1" type="noConversion"/>
  </si>
  <si>
    <t>有备份文件，无备份文件
系统日志、操作日志、入侵防御日志、防病毒日志、内容过滤日志、文件过滤日志、URL过滤日志、WEB防护日志、防暴力破解日志、弱密码日志、控制策略阻断日志、单包防护日志、Flood攻击日志、黑白名单日志、EDR推广日志、IPSecVPN日志按天备份功能和超规格备份功能，观察备份文件名称和时间</t>
    <phoneticPr fontId="1" type="noConversion"/>
  </si>
  <si>
    <t>有备份文件，无备份文件？
系统日志、操作日志、入侵防御日志、防病毒日志、内容过滤日志、文件过滤日志、URL过滤日志、WEB防护日志、防暴力破解日志、弱密码日志、控制策略阻断日志、单包防护日志、Flood攻击日志、黑白名单日志、EDR推广日志、IPSecVPN日志按天备份功能和超规格备份功能，观察备份文件名称和时间</t>
    <phoneticPr fontId="1" type="noConversion"/>
  </si>
  <si>
    <t>系统日志</t>
  </si>
  <si>
    <t>操作日志</t>
  </si>
  <si>
    <t>文件过滤日志</t>
  </si>
  <si>
    <t>URL过滤日志</t>
  </si>
  <si>
    <t>防暴力破解日志</t>
  </si>
  <si>
    <t>弱密码日志</t>
  </si>
  <si>
    <t>控制策略阻断日志</t>
  </si>
  <si>
    <t>本地控制策略日志</t>
  </si>
  <si>
    <t>Flood攻击日志</t>
  </si>
  <si>
    <t>黑白名单日志</t>
  </si>
  <si>
    <t>EDR推广日志</t>
  </si>
  <si>
    <t>IPSecVPN日志</t>
  </si>
  <si>
    <t>log.logmng.capacity.clear</t>
  </si>
  <si>
    <t>log.logmng.capacity.clear</t>
    <phoneticPr fontId="1" type="noConversion"/>
  </si>
  <si>
    <t>有效日志类型=系统日志,操作日志,入侵防御日志,防病毒日志,内容过滤日志,文件过滤日志,URL过滤日志,WEB防护日志,防暴力破解日志,弱密码日志,控制策略阻断日志,本地控制策略日志,单包防护日志,Flood攻击日志,黑白名单日志,EDR推广日志,IPSecVPN日志</t>
    <phoneticPr fontId="1" type="noConversion"/>
  </si>
  <si>
    <t>/deletelog?logtype=filefilterlog,operationlog,systemlog
支持的日志：系统日志、入侵防御日志、防病毒日志、内容过滤日志、文件过滤日志、URL过滤日志、WEB防护日志、防暴力破解日志、弱密码日志、控制策略阻断日志、单包防护日志、Flood攻击日志、黑白名单日志、EDR推广日志、IPSecVPN日志
不支持的日志:操作日志</t>
    <phoneticPr fontId="1" type="noConversion"/>
  </si>
  <si>
    <t>清理动作</t>
    <phoneticPr fontId="1" type="noConversion"/>
  </si>
  <si>
    <t>日志类型与清理动作交叉覆盖</t>
    <phoneticPr fontId="1" type="noConversion"/>
  </si>
  <si>
    <t>清理动作,日志类型</t>
    <phoneticPr fontId="1" type="noConversion"/>
  </si>
  <si>
    <t>可靠性测试</t>
    <phoneticPr fontId="1" type="noConversion"/>
  </si>
  <si>
    <t>数据名称和分类合并</t>
  </si>
  <si>
    <t>log.logmng.capacity.clear.backup.2day</t>
    <phoneticPr fontId="1" type="noConversion"/>
  </si>
  <si>
    <t>验证${日志类型}满规格时${清理动作}功能</t>
    <phoneticPr fontId="1" type="noConversion"/>
  </si>
  <si>
    <t>清理动作=清理且备份两天日志;日志类型=防病毒日志
清理动作=清理且备份两天日志;日志类型=WEB防护日志
清理动作=清理且备份两天日志;日志类型=本地控制策略日志
清理动作=清理且备份两天日志;日志类型=EDR推广日志</t>
    <phoneticPr fontId="1" type="noConversion"/>
  </si>
  <si>
    <t>1、【check1】日志产生时间最早的20%的日志被清理掉。
2、【check2】日志备份文件没有任何变化
3、【check3】不会生成时间戳为系统时间后一天的日志备份文件</t>
    <phoneticPr fontId="1" type="noConversion"/>
  </si>
  <si>
    <t>有效日志类型=系统日志,入侵防御日志,防病毒日志,内容过滤日志,文件过滤日志,URL过滤日志,WEB防护日志,防暴力破解日志,弱密码日志,控制策略阻断日志,本地控制策略日志,单包防护日志,Flood攻击日志,黑白名单日志,EDR推广日志,IPSecVPN日志
无效日志类型=操作日志</t>
    <phoneticPr fontId="1" type="noConversion"/>
  </si>
  <si>
    <t>log.logmng.clear.valid</t>
  </si>
  <si>
    <t>log.logmng.clear.valid</t>
    <phoneticPr fontId="1" type="noConversion"/>
  </si>
  <si>
    <t>log.logmng.clear.invalid</t>
  </si>
  <si>
    <t>log.logmng.clear.invalid</t>
    <phoneticPr fontId="1" type="noConversion"/>
  </si>
  <si>
    <t>验证${日志类型}的清理功能</t>
    <phoneticPr fontId="1" type="noConversion"/>
  </si>
  <si>
    <t>日志类型=系统日志,入侵防御日志,防病毒日志,内容过滤日志,文件过滤日志,URL过滤日志,WEB防护日志,防暴力破解日志,弱密码日志,控制策略阻断日志,本地控制策略日志,单包防护日志,Flood攻击日志,黑白名单日志,EDR推广日志,IPSecVPN日志</t>
    <phoneticPr fontId="1" type="noConversion"/>
  </si>
  <si>
    <t>日志类型=操作日志</t>
    <phoneticPr fontId="1" type="noConversion"/>
  </si>
  <si>
    <t>1、向防火墙的日志侦听端口写入${日志类型}，数量为1~200条随机数n
2、使用日志查询接口查询${日志类型}，时间过滤条件为all。【check1】
3、使用接口清空全部${日志类型}
4、使用日志查询接口查询${日志类型}，时间过滤条件为all。【check2】</t>
    <phoneticPr fontId="1" type="noConversion"/>
  </si>
  <si>
    <t>1、向防火墙的日志侦听端口写入${日志类型}，数量为1~200条随机数n
2、使用日志查询接口查询${日志类型}，时间过滤条件为all。【check1】
3、使用接口清空全部${日志类型}，接口为/deletelog?logtype=operationlog。【check3】
4、使用日志查询接口查询${日志类型}，时间过滤条件为all。【check2】</t>
    <phoneticPr fontId="1" type="noConversion"/>
  </si>
  <si>
    <t>1、【check1】查询到的日志数量大于等于n。
2、【check2】查询到的${日志类型}为空。</t>
    <phoneticPr fontId="1" type="noConversion"/>
  </si>
  <si>
    <r>
      <t>有备份文件，无备份文件？</t>
    </r>
    <r>
      <rPr>
        <strike/>
        <sz val="11"/>
        <color rgb="FFFF0000"/>
        <rFont val="宋体"/>
        <family val="3"/>
        <charset val="134"/>
        <scheme val="minor"/>
      </rPr>
      <t>在日志超规格清理已设计</t>
    </r>
    <r>
      <rPr>
        <strike/>
        <sz val="11"/>
        <color theme="1"/>
        <rFont val="宋体"/>
        <family val="3"/>
        <charset val="134"/>
        <scheme val="minor"/>
      </rPr>
      <t xml:space="preserve">
系统日志、操作日志、入侵防御日志、防病毒日志、内容过滤日志、文件过滤日志、URL过滤日志、WEB防护日志、防暴力破解日志、弱密码日志、控制策略阻断日志、单包防护日志、Flood攻击日志、黑白名单日志、EDR推广日志、IPSecVPN日志按天备份功能和超规格备份功能，观察备份文件名称和时间</t>
    </r>
    <phoneticPr fontId="1" type="noConversion"/>
  </si>
  <si>
    <t>清理日志</t>
    <phoneticPr fontId="1" type="noConversion"/>
  </si>
  <si>
    <t>清理且备份日志</t>
    <phoneticPr fontId="1" type="noConversion"/>
  </si>
  <si>
    <t>清理且追加日志</t>
    <phoneticPr fontId="1" type="noConversion"/>
  </si>
  <si>
    <t>日志类型=系统日志;清理动作=清理日志
日志类型=防病毒日志;清理动作=清理日志
日志类型=URL过滤日志;清理动作=清理日志
日志类型=弱密码日志;清理动作=清理日志
日志类型=单包防护日志;清理动作=清理日志
日志类型=EDR推广日志;清理动作=清理日志</t>
  </si>
  <si>
    <t>日志类型=系统日志;清理动作=清理日志
日志类型=防病毒日志;清理动作=清理日志
日志类型=URL过滤日志;清理动作=清理日志
日志类型=弱密码日志;清理动作=清理日志
日志类型=单包防护日志;清理动作=清理日志
日志类型=EDR推广日志;清理动作=清理日志</t>
    <phoneticPr fontId="1" type="noConversion"/>
  </si>
  <si>
    <t>日志类型=操作日志;清理动作=清理且备份日志
日志类型=内容过滤日志;清理动作=清理且备份日志
日志类型=WEB防护日志;清理动作=清理且备份日志
日志类型=Flood攻击日志;清理动作=清理且备份日志
日志类型=控制策略阻断日志;清理动作=清理且备份日志
日志类型=IPSecVPN日志;清理动作=清理且备份日志</t>
  </si>
  <si>
    <t>日志类型=操作日志;清理动作=清理且备份日志
日志类型=内容过滤日志;清理动作=清理且备份日志
日志类型=WEB防护日志;清理动作=清理且备份日志
日志类型=Flood攻击日志;清理动作=清理且备份日志
日志类型=控制策略阻断日志;清理动作=清理且备份日志
日志类型=IPSecVPN日志;清理动作=清理且备份日志</t>
    <phoneticPr fontId="1" type="noConversion"/>
  </si>
  <si>
    <t>日志类型=入侵防御日志;清理动作=清理且追加日志
日志类型=文件过滤日志;清理动作=清理且追加日志
日志类型=防暴力破解日志;清理动作=清理且追加日志
日志类型=本地控制策略日志;清理动作=清理且追加日志
日志类型=黑白名单日志;清理动作=清理且追加日志</t>
    <phoneticPr fontId="1" type="noConversion"/>
  </si>
  <si>
    <t>log.logmng.capacity.clear.backup</t>
  </si>
  <si>
    <t>log.logmng.capacity.clear.backup</t>
    <phoneticPr fontId="1" type="noConversion"/>
  </si>
  <si>
    <t>log.logmng.capacity.clear.append</t>
  </si>
  <si>
    <t>log.logmng.capacity.clear.append</t>
    <phoneticPr fontId="1" type="noConversion"/>
  </si>
  <si>
    <t>1、向防火墙的日志侦听端口持续${日志类型}，日志的产生时间为当前日期0点之前，日志数量大于日志规格的20%
2、下载最新的日志备份文件
3、向防火墙的日志侦听端口持续写入${日志类型}，日志的产生时间为当天，直到日志数量达到防火墙${日志类型}的规格。（该时间段的日志数量小于日志容量的80%）
5、使用日志接口查询${日志类型}，观察日志。【check1】
6、下载最新的日志备份文件，并与步骤3下载的文件对比。【check2】【check3】</t>
    <phoneticPr fontId="1" type="noConversion"/>
  </si>
  <si>
    <t>1、向防火墙的日志侦听端口持续${日志类型}，日志的产生时间为当前日期0点之前，日志数量小于日志规格的20%
2、向防火墙的日志侦听端口持续写入${日志类型}，日志的产生时间为当天，直到日志数量达到防火墙${日志类型}的规格。（该时间段的日志数量大于日志容量的80%）
3、使用日志接口查询${日志类型}，观察日志。【check1】
4、使用接口和后台查看${日志类型}备份文件列表【check2】
5、下载时戳为当前日志后一天的日志文件，查看日志文件内容【check3】</t>
    <phoneticPr fontId="1" type="noConversion"/>
  </si>
  <si>
    <t>日志类型=系统日志;清理动作=清理日志
日志类型=防病毒日志;清理动作=清理日志
日志类型=URL过滤日志;清理动作=清理日志
日志类型=弱密码日志;清理动作=清理日志
日志类型=单包防护日志;清理动作=清理日志
日志类型=EDR推广日志;清理动作=清理日志
日志类型=操作日志;清理动作=清理且备份日志
日志类型=内容过滤日志;清理动作=清理且备份日志
日志类型=WEB防护日志;清理动作=清理且备份日志
日志类型=Flood攻击日志;清理动作=清理且备份日志
日志类型=控制策略阻断日志;清理动作=清理且备份日志
日志类型=IPSecVPN日志;清理动作=清理且备份日志
日志类型=入侵防御日志;清理动作=清理且追加日志
日志类型=文件过滤日志;清理动作=清理且追加日志
日志类型=防暴力破解日志;清理动作=清理且追加日志
日志类型=本地控制策略日志;清理动作=清理且追加日志
日志类型=黑白名单日志;清理动作=清理且追加日志</t>
    <phoneticPr fontId="1" type="noConversion"/>
  </si>
  <si>
    <t>备份</t>
    <phoneticPr fontId="1" type="noConversion"/>
  </si>
  <si>
    <t>追加</t>
    <phoneticPr fontId="1" type="noConversion"/>
  </si>
  <si>
    <t>有效清理动作=追加,备份</t>
  </si>
  <si>
    <t>日志类型=系统日志;动作=追加
日志类型=入侵防御日志;动作=追加
日志类型=内容过滤日志;动作=追加
日志类型=URL过滤日志;动作=追加
日志类型=防暴力破解日志;动作=追加
日志类型=控制策略阻断日志;动作=追加
日志类型=单包防护日志;动作=追加
日志类型=黑白名单日志;动作=追加
日志类型=IPSecVPN日志;动作=追加</t>
    <phoneticPr fontId="1" type="noConversion"/>
  </si>
  <si>
    <t>日志类型=操作日志;动作=备份
日志类型=防病毒日志;动作=备份
日志类型=文件过滤日志;动作=备份
日志类型=WEB防护日志;动作=备份
日志类型=弱密码日志;动作=备份
日志类型=本地控制策略日志;动作=备份
日志类型=Flood攻击日志;动作=备份
日志类型=EDR推广日志;动作=备份</t>
    <phoneticPr fontId="1" type="noConversion"/>
  </si>
  <si>
    <t>log.logmng.backup.new</t>
  </si>
  <si>
    <t>log.logmng.backup.new</t>
    <phoneticPr fontId="1" type="noConversion"/>
  </si>
  <si>
    <t>log.logmng.backup.append</t>
  </si>
  <si>
    <t>log.logmng.backup.append</t>
    <phoneticPr fontId="1" type="noConversion"/>
  </si>
  <si>
    <t>验证${日志类型}每日备份时${动作}功能</t>
    <phoneticPr fontId="1" type="noConversion"/>
  </si>
  <si>
    <t>动作,日志类型</t>
    <phoneticPr fontId="1" type="noConversion"/>
  </si>
  <si>
    <t>1、构造${日志类型}备份日志文件中，时戳为当前日期后一天的日志文件存在（在当天日志大于80%时触发超规格备份或者手工创建）
2、下载时戳为当前日志后一天的日志文件
3、向防火墙的日志侦听端口持续写入${日志类型}，日志的产生时间为当天，直到日志数量达到防火墙${日志类型}的规格。（需保证该时间段的日志数量大于日志容量的80%）
4、使用日志接口查询${日志类型}，观察日志。【check1】
5、使用接口和后台查看${日志类型}备份文件列表【check2】
6、下载时戳为当前日志后一天的日志文件，查看日志文件内容【check3】【check4】</t>
    <phoneticPr fontId="1" type="noConversion"/>
  </si>
  <si>
    <t>1、【check1】系统系统会创建一个当前日期的日志备份文件，文件的名称正确，不存在词义错误和拼写错误。
2、【check2】系统会创建一个当前日志前一天产生的日志全部追加到日志备份文件中。且日志文件中不会存在其他日志和其他类型的日志。</t>
    <phoneticPr fontId="1" type="noConversion"/>
  </si>
  <si>
    <t>1、【check1】当前日志前一天产生的日志全部追加到日志备份文件中，所有字段填写正确。原备份文件中的日志记录仍然存在且不被篡改
2、【check2】日志备份文件中不添加在其他日志和其他类型的日志。
3、【check3】检查日志备份文件的名称正确，不存在词义错误和拼写错误</t>
    <phoneticPr fontId="1" type="noConversion"/>
  </si>
  <si>
    <r>
      <t>备份周期凌晨2点生效测试</t>
    </r>
    <r>
      <rPr>
        <strike/>
        <sz val="11"/>
        <color rgb="FFFF0000"/>
        <rFont val="宋体"/>
        <family val="3"/>
        <charset val="134"/>
        <scheme val="minor"/>
      </rPr>
      <t>在日志自动备份中已覆盖</t>
    </r>
    <phoneticPr fontId="1" type="noConversion"/>
  </si>
  <si>
    <t>等价类划分&amp;数据组合</t>
    <phoneticPr fontId="1" type="noConversion"/>
  </si>
  <si>
    <t>日志备份支持设备形态测试</t>
    <phoneticPr fontId="1" type="noConversion"/>
  </si>
  <si>
    <t>log.logmng.backup.support</t>
    <phoneticPr fontId="1" type="noConversion"/>
  </si>
  <si>
    <t>验证${设备类型}${支持情况}日志备份功能</t>
    <phoneticPr fontId="1" type="noConversion"/>
  </si>
  <si>
    <t>设备类型,支持情况</t>
    <phoneticPr fontId="1" type="noConversion"/>
  </si>
  <si>
    <t>设备类型=有存储设备;支持情况=支持;检查点=下发成功
设备类型=无存储设备;支持情况=不支持;检查点=下发失败</t>
    <phoneticPr fontId="1" type="noConversion"/>
  </si>
  <si>
    <t>日志备份有效期测试</t>
    <phoneticPr fontId="1" type="noConversion"/>
  </si>
  <si>
    <t>最小值(90天)</t>
    <phoneticPr fontId="1" type="noConversion"/>
  </si>
  <si>
    <t>最大值(360天)</t>
    <phoneticPr fontId="1" type="noConversion"/>
  </si>
  <si>
    <t>默认值(180天)</t>
    <phoneticPr fontId="1" type="noConversion"/>
  </si>
  <si>
    <t>有效期</t>
    <phoneticPr fontId="1" type="noConversion"/>
  </si>
  <si>
    <t>log.logmng.backup.valid.period</t>
    <phoneticPr fontId="1" type="noConversion"/>
  </si>
  <si>
    <t>不组合</t>
    <phoneticPr fontId="1" type="noConversion"/>
  </si>
  <si>
    <t>收集方式=自动</t>
    <phoneticPr fontId="1" type="noConversion"/>
  </si>
  <si>
    <t>1、在防火墙发起手动收集信息
2、下载手动收集到的信息文件，解压观察收集到的信息。【check1】【check2】
3、配置防火墙为自动收集信息，且等待期完成至少1次自动化信息收。
4、下载自动收集的信息，解压观察收集到的信息。【check1】【check2】</t>
    <phoneticPr fontId="1" type="noConversion"/>
  </si>
  <si>
    <t>1、配置信息收集方式为自动，时间为60-720s任意值x，不启用自动收集，在超过x秒周期观察信息收集文件。【check1】【check3】
2、配置防火墙自动化收集信息周期为x，状态为启用。
3、保持防护墙开启自动化信息收集超过12小时。【check2】【check3】</t>
    <phoneticPr fontId="1" type="noConversion"/>
  </si>
  <si>
    <t>1、配置信息收集方式为自动，时间为60-720s任意值x，不启用自动收集，在超过x秒周期观察信息收集文件。【check1】
2、配置防火墙自动化收集信息周期为x，状态为启用。
3、在超过11*x秒周期观察日志收集文件。【check2】
4、删除任意信息收集文件，在下一周期观察信息收集文件。【check3】</t>
    <phoneticPr fontId="1" type="noConversion"/>
  </si>
  <si>
    <t>1、查看设备为${设备类型}
2、使用/api/v1/logsetting/logtimesetting接口下发日志备份。【check1】
3、使用/api/v1/logsetting/logbackcsv?page=1&amp;size=10&amp;keywords=GET接口查询备份文件。【check1】
4、修改系统时间为凌晨3:29:59分，等待1分钟后为后台查询/userdata/userfile/influxTask。【cehck2】</t>
    <phoneticPr fontId="1" type="noConversion"/>
  </si>
  <si>
    <t>1、【check1】${检查点}。
2、【check2】${检查点2}</t>
    <phoneticPr fontId="1" type="noConversion"/>
  </si>
  <si>
    <t>设备类型=有存储设备;支持情况=支持;检查点=下发成功，返回信息正确;检查点2=存在日志备份文件
设备类型=无存储设备;支持情况=不支持;检查点=下发失败，返回信息正确，设备无异常;检查点2=不存在任何日志备份文件</t>
    <phoneticPr fontId="1" type="noConversion"/>
  </si>
  <si>
    <t>验证日志备份文件有效期为${有效期}的备份功能</t>
    <phoneticPr fontId="1" type="noConversion"/>
  </si>
  <si>
    <t>随机值n(91~359天)</t>
    <phoneticPr fontId="1" type="noConversion"/>
  </si>
  <si>
    <t>有效期=最小值(90天),最大值(360天),默认值(180天),随机值n(91~359天)</t>
    <phoneticPr fontId="1" type="noConversion"/>
  </si>
  <si>
    <t>1、构造${日志类型}备份日志文件中，时戳为当前日期的日志文件存在（在当天日志大于80%时触发超规格备份或者当前已触发自动备份或者手工创建）【check3】
2、下载当前日期的日志备份文件
3、向防火墙的日志侦听端口写入${日志类型}，日志的产生时间为当前日期的前一天0点到24点的日志，日志条数大100条。
4、向防火墙的日志侦听端口写入${日志类型}，日志的产生时间为当前日期的日志，日志条数大10条。
4、确认或者修改系统时间为凌晨3:29:59分，并且后台持续ll查看${日志类型}当天的日志备份文件大小有变化后
6、下载${日志类型}当天的日志备份文件，并与步骤2下载的文件对比。【check1】【check2】</t>
    <phoneticPr fontId="1" type="noConversion"/>
  </si>
  <si>
    <t>1、查看日志文件备份文件中不存在${日志类型}当天的日志备份文件（如果存在则删除）。
2、向防火墙的日志侦听端口写入${日志类型}，日志的产生时间为当前日期的前一天0点到24点的日志，日志条数大100条。
3、向防火墙的日志侦听端口写入${日志类型}，日志的产生时间为当前日期的日志，日志条数大10条。
4、修改系统时间为凌晨3:29:59分，并且后台持续ll查看${日志类型}当天的日志备份文件大小有变化后
5、下载${日志类型}当天的日志备份文件，并与步骤2下载的文件对比。【check1】【check2】</t>
    <phoneticPr fontId="1" type="noConversion"/>
  </si>
  <si>
    <t>1、【check1】所有时间戳为有效期内的日志备份文件保留，所有时间戳为有效期前一天的日志备份文件被删除</t>
    <phoneticPr fontId="1" type="noConversion"/>
  </si>
  <si>
    <t>不需要测试</t>
    <phoneticPr fontId="1" type="noConversion"/>
  </si>
  <si>
    <t>log.logmng.backup.storage</t>
    <phoneticPr fontId="1" type="noConversion"/>
  </si>
  <si>
    <t>磁盘占用率=99%</t>
    <phoneticPr fontId="1" type="noConversion"/>
  </si>
  <si>
    <t>磁盘占用率</t>
    <phoneticPr fontId="1" type="noConversion"/>
  </si>
  <si>
    <t>验证磁盘占用满时的日志备份功能</t>
    <phoneticPr fontId="1" type="noConversion"/>
  </si>
  <si>
    <t>1、使用dd命令构造/userdata所在的分区磁盘占用率大于99%，接近100%是
2、修改系统时间为凌晨3:29:59分
3、间隔10s查询连续查询日志备份文件超过10次。【check1】【check2】
4、像日志监听接口写入任意日志
5、查询写入的日志。【check3】</t>
    <phoneticPr fontId="1" type="noConversion"/>
  </si>
  <si>
    <t>1、【check1】日志备份文件中，最新备份的80%仍然存在不受影响
2、【check2】系统正常运行
3、【check3】新写入的日志正常被查询到</t>
    <phoneticPr fontId="1" type="noConversion"/>
  </si>
  <si>
    <t>所有数据不组合，一条数据一个用例</t>
    <phoneticPr fontId="1" type="noConversion"/>
  </si>
  <si>
    <t>log.logmng.outport</t>
    <phoneticPr fontId="1" type="noConversion"/>
  </si>
  <si>
    <t>日志类型=系统日志,操作日志,入侵防御日志,防病毒日志,内容过滤日志,文件过滤日志,URL过滤日志,WEB防护日志,防暴力破解日志,弱密码日志,控制策略阻断日志,本地控制策略日志,单包防护日志,Flood攻击日志,黑白名单日志,EDR推广日志,IPSecVPN日志</t>
    <phoneticPr fontId="1" type="noConversion"/>
  </si>
  <si>
    <t>验证${日志类型}导出功能</t>
    <phoneticPr fontId="1" type="noConversion"/>
  </si>
  <si>
    <t>log.logmng.outport.capcity</t>
    <phoneticPr fontId="1" type="noConversion"/>
  </si>
  <si>
    <t>验证最大数量的日志导出功能</t>
    <phoneticPr fontId="1" type="noConversion"/>
  </si>
  <si>
    <t>日志规格</t>
    <phoneticPr fontId="1" type="noConversion"/>
  </si>
  <si>
    <t>日志规格=最大数量</t>
    <phoneticPr fontId="1" type="noConversion"/>
  </si>
  <si>
    <t>最大数量的日志备份功能</t>
    <phoneticPr fontId="1" type="noConversion"/>
  </si>
  <si>
    <t>最大数量的日志备份功能测试</t>
    <phoneticPr fontId="1" type="noConversion"/>
  </si>
  <si>
    <t>log.logmng.backup.capcity</t>
    <phoneticPr fontId="1" type="noConversion"/>
  </si>
  <si>
    <t>验证最大数量的日志备份功能</t>
    <phoneticPr fontId="1" type="noConversion"/>
  </si>
  <si>
    <t>1、配置日志备份的有效期为${有效期}
2、构造所有日志文件（包括系统日志,操作日志,入侵防御日志,防病毒日志,内容过滤日志,文件过滤日志,URL过滤日志,WEB防护日志,防暴力破解日志,弱密码日志,控制策略阻断日志,本地控制策略日志,单包防护日志,Flood攻击日志,黑白名单日志,EDR推广日志,IPSecVPN日志）存在时间戳为当前日志之前有效期和有效期前一天的日志备份文件。
3、调整系统时间为凌晨2:59:59描述，等待1分钟
4、持续查看后台文件
5、使用接口查询和下载备份文件【check1】</t>
    <phoneticPr fontId="1" type="noConversion"/>
  </si>
  <si>
    <t>1、随机选取系统日志,操作日志,入侵防御日志,防病毒日志,内容过滤日志,文件过滤日志,URL过滤日志,WEB防护日志,防暴力破解日志,弱密码日志,控制策略阻断日志,本地控制策略日志,单包防护日志,Flood攻击日志,黑白名单日志,EDR推广日志,IPSecVPN日志中的两种日志
2、向日志侦听接口写入步骤1中选取两种日志，两种日志都写到最大数量，其他所有日志写入少量即可。
3、调整系统时间为凌晨2:59:59
4、后台查看持续查看系统备份文件【check1】
5、使用接口查看日志备份文件【check2】
6、依次下载所有的当天日志备份文件【check3】</t>
    <phoneticPr fontId="1" type="noConversion"/>
  </si>
  <si>
    <t>1、【check1】所有时戳为当天的日志备份文件在5分钟内生成，检查日志备份文件生成的数量和名称全部正确
2、【check2】当天生成的日志备份文件可以查询到
3、【check3】当天生成日志备份文件全部下载成功，文件内容正确（抽取收尾和中间任意条查看）</t>
    <phoneticPr fontId="1" type="noConversion"/>
  </si>
  <si>
    <t>日志备份文件管理</t>
    <phoneticPr fontId="1" type="noConversion"/>
  </si>
  <si>
    <t>log.logmng.backup.flies</t>
    <phoneticPr fontId="1" type="noConversion"/>
  </si>
  <si>
    <t>验证日志备份文件过滤功能</t>
    <phoneticPr fontId="1" type="noConversion"/>
  </si>
  <si>
    <t>类型</t>
    <phoneticPr fontId="1" type="noConversion"/>
  </si>
  <si>
    <t>日志类型=all</t>
    <phoneticPr fontId="1" type="noConversion"/>
  </si>
  <si>
    <t>1、随机选取系统日志,操作日志,入侵防御日志,防病毒日志,内容过滤日志,文件过滤日志,URL过滤日志,WEB防护日志,防暴力破解日志,弱密码日志,控制策略阻断日志,本地控制策略日志,单包防护日志,Flood攻击日志,黑白名单日志,EDR推广日志,IPSecVPN日志中的一种日志
2、向日志侦听接口写入步骤1中选取的最大数量的日志，时间范围超出1个月。
3、导出日志，自定义时间时间范围包含所有步骤2中写入的日志。【check1】
4、检查导出的日志文件数量和内容。【check2】</t>
    <phoneticPr fontId="1" type="noConversion"/>
  </si>
  <si>
    <t>log.logmng.outport.time</t>
    <phoneticPr fontId="1" type="noConversion"/>
  </si>
  <si>
    <t>1、后台构造多个时戳不同的如下文件antiddoslog20241016.csv,antiddospktlog20241016.csv,contentsec20241016.csv,explosionproofsec20241016.csv,filesec20241016.csv,ipssec20241016.csv,operationlog20241016.csv,systemlog20241016.csv,urlsec20241016.csv,virussec20241016.csv,vppPolicyPluginLog20241016.csv,wblistlog20241016.csv,weakpwchecksec20241016.csv,websec20241016.csv,edrlog20241016.csv,ipseclog20241016.csv和本地策略日志
2、查看日志备份文件列表【check1】
3、使用名称中的关键字，查询日志文件。【check2】
4、使用日期中的关键字，查询日志文件。【check3】
5、使用类型中的关键字，查询日志文件。【check4】</t>
    <phoneticPr fontId="1" type="noConversion"/>
  </si>
  <si>
    <t>1、【check1】所有日志备份文件的名称为文件名，生成时间为时戳，日志类型正确日志名与日志类型对应关系如下：antiddoslog-flood攻击日志,antiddospktlog-单包防护日志,contentsec-内容过滤日志,explosionproofsec-防暴力破解日志,filesec-文件过滤日志,ipssec-入侵防御日志,operationlog-操作日志,systemlog-系统日志,urlsec-url过滤日志,virussec-防病毒日志,vppPolicyPluginLog-应用控制日志,wblistlog-黑白名单日志,weakpwchecksec-弱密码防护日志,websec-web防护日志,edrlog-EDR推广日志,ipseclog-ipsec日志,本地策略日志
2、【check2】名称中包含关键字的日志备份文件全部在反馈列表中，其他字段包含该关键字的文件也会在列表中
3、【check3】日期中包含关键字的日志备份文件全部在反馈列表中，其他字段包含该关键字的文件也会在列表中
4、【check4】日志类型中包含关键字的日志备份文件全部在反馈列表中，其他字段包含该关键字的文件也会在列表中</t>
    <phoneticPr fontId="1" type="noConversion"/>
  </si>
  <si>
    <t>日志导出时间测试</t>
    <phoneticPr fontId="1" type="noConversion"/>
  </si>
  <si>
    <t>近1小时,近24小时,近一周,近一月，自定义，修改系统时间</t>
    <phoneticPr fontId="1" type="noConversion"/>
  </si>
  <si>
    <t>log.logmng.outport.time.moidfy</t>
    <phoneticPr fontId="1" type="noConversion"/>
  </si>
  <si>
    <t>时间范围=近1小时,近24小时,近一周,近一月,自定义,全部</t>
    <phoneticPr fontId="1" type="noConversion"/>
  </si>
  <si>
    <t>1、【check1】防火墙只能查询到t0~1时间段的日志（1小时内的日志）
2、【check2】防火墙查询不到任何日志
3、【check3】防火墙只能查询到t1~2时间段的日志</t>
    <phoneticPr fontId="1" type="noConversion"/>
  </si>
  <si>
    <t>1、【check1】所有日志正确记录
2、【check2】${有效日志类型}的在日志归并周期内只有一条日志，日志的攻击或者出现次数与写入日志条数相同</t>
    <phoneticPr fontId="1" type="noConversion"/>
  </si>
  <si>
    <t>1、【check1】/trace/coredump目录不会被清空
2、【check2】/trace/coredump在1分钟内被清空
3、【check3】/trace目录下所有以.log结尾的文件全部被轮转。</t>
    <phoneticPr fontId="1" type="noConversion"/>
  </si>
  <si>
    <t>1、【check1】/var/log目录不会被清空
2、【check1】/var/log在1分钟内被清空</t>
    <phoneticPr fontId="1" type="noConversion"/>
  </si>
  <si>
    <t>1、【check1】原vpp.log和agent.log被研所生成压缩文件
2、【check2】frr.log和snort.log不会被轮转，保持不变
3、【check3】原vpp.log和agent.log被压缩生成第二个压缩文件
4、【check4】vpp.log和agent.log最大生成${数量}个压缩文件，超过${数量}轮转时仅保留最新的${数量}个压缩文件，更早的压缩文件被删除。</t>
    <phoneticPr fontId="1" type="noConversion"/>
  </si>
  <si>
    <t>1、【check1】/var/log目录下${日志类型}不会被压缩，并保持不变
2、【check2】/var/log目录下${日志类型}被压缩生成压缩文件
3、【check3】/var/log目录下${日志类型}被压缩生成第二个压缩文件
4、【check4】/var/log目录下${日志类型}最大生成${数量}个压缩文件，超过${数量}轮转时仅保留最新的${数量}个压缩文件，更早的压缩文件被删除。</t>
    <phoneticPr fontId="1" type="noConversion"/>
  </si>
  <si>
    <t>1、【check1】生成${组件名称}对应的die日志
2、【check2】不会生成对应的die日志</t>
    <phoneticPr fontId="1" type="noConversion"/>
  </si>
  <si>
    <t>1、【check1】${进程名称}进程正常启动
2、【check2】${进程名称}进程在5s内正常启动
3、【check3】操作日志正常记录</t>
    <phoneticPr fontId="1" type="noConversion"/>
  </si>
  <si>
    <t>1、【check1】启动参数为${启动参数}
2、【check2】${存储}</t>
    <phoneticPr fontId="1" type="noConversion"/>
  </si>
  <si>
    <t>验证${日志类型}查询时间范围为${时间范围}计算正确</t>
    <phoneticPr fontId="1" type="noConversion"/>
  </si>
  <si>
    <t>验证${日志类型}导出时间范围为${时间范围}计算正确</t>
    <phoneticPr fontId="1" type="noConversion"/>
  </si>
  <si>
    <t>验证修改系统时间的日志导出功能</t>
    <phoneticPr fontId="1" type="noConversion"/>
  </si>
  <si>
    <t>1、向防火墙日志侦听端口写入至少3条${日志类型}，日志的时间在${时间范围}内
2、向防火墙日志侦听端口写入至少3条${日志类型}，日志的时间不在${时间范围}内
3、使用接口查询${日志类型}，过滤时间范围为${时间范围}内。【check1】
4、使用接口查询${日志类型}，过滤时间范围为all。【check1】</t>
  </si>
  <si>
    <t xml:space="preserve">1、防火墙当前时间记为t，向防火墙日志侦听端口写入至少9条系统日志。至少3条日志在防火墙当前时间的前1小时内记为t0~1日志，至少3条仔防火墙当前时间前1~2小时内记为t1~2日志，至少3条仔防火墙当前时间前2~3小时内记为t2~3日志。
2、查询防火墙系统日志，过滤时间为1小时内【check1】
3、将防火墙的系统时间向后调整1个小时(即为t+1),查询防火墙系统日志，过滤时间为1小时内【check2】
4、将防火墙的时间向前调整2小时（防火墙时间为t-1），查询防火墙系统日志，过滤时间为1小时内【check3】
</t>
  </si>
  <si>
    <t>1、【check1】日志导出成功
2、【check2】导出日志的数量为正确，导出日志内容正确（检查收尾日志和中间任意一条日志）</t>
    <phoneticPr fontId="1" type="noConversion"/>
  </si>
  <si>
    <t>1、【check1】日志导出成功
2、【check2】仅导出${时间范围}的日志，导出日志的数量为正确，导出日志内容正确（检查收尾日志和中间任意一条日志）
3、【check3】会导出所有写入的日志，导出日志的数量为正确，导出日志内容正确（检查收尾日志和中间任意一条日志）</t>
    <phoneticPr fontId="1" type="noConversion"/>
  </si>
  <si>
    <t>1、向防火墙日志侦听端口写入至少3条${日志类型}，日志的时间在${时间范围}内
2、向防火墙日志侦听端口写入至少3条${日志类型}，日志的时间早于${时间范围}开始时间，至少3条晚于${时间范围}结束时间（可以晚于当前防火墙的系统时间）。
3、使用接口导出${日志类型}，过滤时间范围为${时间范围}内。【check1】【check2】
4、使用接口导出${日志类型}，过滤时间范围为all。【check1】</t>
    <phoneticPr fontId="1" type="noConversion"/>
  </si>
  <si>
    <t>1、在近1小时、近24小时、近一周、近一月中选取任意一个有效周期记为t。在系统日志,操作日志,入侵防御日志,防病毒日志,内容过滤日志,文件过滤日志,URL过滤日志,WEB防护日志,防暴力破解日志,弱密码日志,控制策略阻断日志,本地控制策略日志,单包防护日志,Flood攻击日志,黑白名单日志,EDR推广日志,IPSecVPN日志中选取任意一种日志类型
2、向防火墙的日志侦听端口写入选取的日志类型的日志，在选取的有效期内有n1条日志，有效期前一个周期有n2，有效期后一周期（日志时间晚于防火墙系统时间）有n3条，n1、n2和n3数量都不相同。
2、导出选取的日志类型，时间范围为选取的有效期【check1】【check2】
2、防火墙系统时间向前调整一个有效期，导出选取的日志类型，时间范围为选取的有效期【check1】【check3】
2、防火墙系统时间向后调整两个有效期，导出选取的日志类型，时间范围为选取的有效期【check1】【check4】</t>
    <phoneticPr fontId="1" type="noConversion"/>
  </si>
  <si>
    <t>1、【check1】日志导出成功
2、【check2】导出日志的数量为n1，导出日志内容正确（检查收尾日志和中间任意一条日志）
3、【check3】导出日志的数量为n2，导出日志内容正确（检查收尾日志和中间任意一条日志）
4、【check4】导出日志的数量为n3，导出日志内容正确（检查收尾日志和中间任意一条日志）</t>
    <phoneticPr fontId="1" type="noConversion"/>
  </si>
  <si>
    <t>日志服务器连接可靠性测试</t>
    <phoneticPr fontId="1" type="noConversion"/>
  </si>
  <si>
    <t>日志外发协议测试</t>
    <phoneticPr fontId="1" type="noConversion"/>
  </si>
  <si>
    <t>端口</t>
    <phoneticPr fontId="1" type="noConversion"/>
  </si>
  <si>
    <t>发送方式</t>
    <phoneticPr fontId="1" type="noConversion"/>
  </si>
  <si>
    <t>syslog</t>
    <phoneticPr fontId="1" type="noConversion"/>
  </si>
  <si>
    <t>restapi</t>
    <phoneticPr fontId="1" type="noConversion"/>
  </si>
  <si>
    <t>发送协议</t>
    <phoneticPr fontId="1" type="noConversion"/>
  </si>
  <si>
    <t>tcp</t>
    <phoneticPr fontId="1" type="noConversion"/>
  </si>
  <si>
    <t>upd</t>
    <phoneticPr fontId="1" type="noConversion"/>
  </si>
  <si>
    <t>常用端口514</t>
    <phoneticPr fontId="1" type="noConversion"/>
  </si>
  <si>
    <t>常用端口1468</t>
    <phoneticPr fontId="1" type="noConversion"/>
  </si>
  <si>
    <t>随机端口1~65535</t>
    <phoneticPr fontId="1" type="noConversion"/>
  </si>
  <si>
    <t>知名端口80</t>
    <phoneticPr fontId="1" type="noConversion"/>
  </si>
  <si>
    <t>加密</t>
    <phoneticPr fontId="1" type="noConversion"/>
  </si>
  <si>
    <t>不加密</t>
    <phoneticPr fontId="1" type="noConversion"/>
  </si>
  <si>
    <t>发送方式&amp;发送协议</t>
    <phoneticPr fontId="1" type="noConversion"/>
  </si>
  <si>
    <t>tcp,udp</t>
    <phoneticPr fontId="1" type="noConversion"/>
  </si>
  <si>
    <t>发送方式为syslog,发送协议可以为tcp和udp</t>
    <phoneticPr fontId="1" type="noConversion"/>
  </si>
  <si>
    <t>发送方式为restapi,发送协议不可配为空，实际处理为tcp</t>
    <phoneticPr fontId="1" type="noConversion"/>
  </si>
  <si>
    <t>发送方式=syslog;发送协议=tcp
发送方式=syslog;发送协议=udp</t>
    <phoneticPr fontId="1" type="noConversion"/>
  </si>
  <si>
    <t>发送方式=restapi;发送协议=空</t>
    <phoneticPr fontId="1" type="noConversion"/>
  </si>
  <si>
    <t>发送方式&amp;发送协议&amp;加密</t>
    <phoneticPr fontId="1" type="noConversion"/>
  </si>
  <si>
    <t>发送方式=syslog;发送协议=tcp</t>
    <phoneticPr fontId="1" type="noConversion"/>
  </si>
  <si>
    <t>发送方式=syslog;发送协议=udp</t>
    <phoneticPr fontId="1" type="noConversion"/>
  </si>
  <si>
    <t>加密,不加密</t>
    <phoneticPr fontId="1" type="noConversion"/>
  </si>
  <si>
    <t>发送方式=syslog;发送协议=tcp;加密=加密
发送方式=syslog;发送协议=tcp;加密=不加密</t>
    <phoneticPr fontId="1" type="noConversion"/>
  </si>
  <si>
    <t>发送方式=restapi;发送协议=空;加密=加密</t>
    <phoneticPr fontId="1" type="noConversion"/>
  </si>
  <si>
    <t>发送方式=syslog;发送协议=udp;加密=不加密</t>
    <phoneticPr fontId="1" type="noConversion"/>
  </si>
  <si>
    <t>加密方式为加密和不加密</t>
    <phoneticPr fontId="1" type="noConversion"/>
  </si>
  <si>
    <t>必为不加密</t>
    <phoneticPr fontId="1" type="noConversion"/>
  </si>
  <si>
    <t>必为加密</t>
    <phoneticPr fontId="1" type="noConversion"/>
  </si>
  <si>
    <t>发送方式&amp;发送协议&amp;加密&amp;端口</t>
    <phoneticPr fontId="1" type="noConversion"/>
  </si>
  <si>
    <t>发送方式=syslog;发送协议=tcp;加密=加密</t>
    <phoneticPr fontId="1" type="noConversion"/>
  </si>
  <si>
    <t>resapi常与知名端口80组合</t>
    <phoneticPr fontId="1" type="noConversion"/>
  </si>
  <si>
    <t>udp方式的常用端口为1468</t>
    <phoneticPr fontId="1" type="noConversion"/>
  </si>
  <si>
    <t>tcp方式的常用端口为514</t>
    <phoneticPr fontId="1" type="noConversion"/>
  </si>
  <si>
    <t>其他端口都有组合，这里选择随机端口</t>
    <phoneticPr fontId="1" type="noConversion"/>
  </si>
  <si>
    <t>发送方式=syslog;发送协议=tcp;加密=加密;端口=随机端口1~65535</t>
    <phoneticPr fontId="1" type="noConversion"/>
  </si>
  <si>
    <t>发送方式=syslog;发送协议=tcp;加密=不加密;端口=常用端口514</t>
    <phoneticPr fontId="1" type="noConversion"/>
  </si>
  <si>
    <t>发送方式=syslog;发送协议=udp;加密=不加密;端口=常用端口1468</t>
    <phoneticPr fontId="1" type="noConversion"/>
  </si>
  <si>
    <t>log.logserver.send</t>
    <phoneticPr fontId="1" type="noConversion"/>
  </si>
  <si>
    <t>默认</t>
    <phoneticPr fontId="1" type="noConversion"/>
  </si>
  <si>
    <t>发送方式=restapi;发送协议=默认;加密=加密;端口=知名端口80</t>
    <phoneticPr fontId="1" type="noConversion"/>
  </si>
  <si>
    <t>发送方式=syslog;发送协议=tcp;加密=加密;端口=随机端口1~65535
发送方式=syslog;发送协议=tcp;加密=不加密;端口=常用端口514
发送方式=syslog;发送协议=udp;加密=不加密;端口=常用端口1468
发送方式=restapi;发送协议=默认;加密=加密;端口=知名端口80</t>
    <phoneticPr fontId="1" type="noConversion"/>
  </si>
  <si>
    <t>1、网元正常启动
2、配置静态路由保证日志服务器网络可达</t>
    <phoneticPr fontId="1" type="noConversion"/>
  </si>
  <si>
    <t>验证日志以${发送方式}方式${发送协议}协议${加密}发送到日志服务器</t>
    <phoneticPr fontId="1" type="noConversion"/>
  </si>
  <si>
    <t>日志外发并发测试</t>
    <phoneticPr fontId="1" type="noConversion"/>
  </si>
  <si>
    <t>发送方式=syslog;发送协议=tcp;加密=不加密</t>
    <phoneticPr fontId="1" type="noConversion"/>
  </si>
  <si>
    <t>log.logserver.send.concurrency</t>
    <phoneticPr fontId="1" type="noConversion"/>
  </si>
  <si>
    <t>验证多种日志并行外发功能</t>
    <phoneticPr fontId="1" type="noConversion"/>
  </si>
  <si>
    <t>1、【check1】日志服务器上接收到的日志数量和内容正确</t>
    <phoneticPr fontId="1" type="noConversion"/>
  </si>
  <si>
    <t>1、配置开启日志服务器
2、配置日式过滤为发送所有日志
3、向日志侦听端口写入至少3条所有类型的日志（包括系统日志,操作日志,入侵防御日志,防病毒日志,内容过滤日志,文件过滤日志,URL过滤日志,WEB防护日志,防暴力破解日志,弱密码日志,控制策略阻断日志,本地控制策略日志,单包防护日志,Flood攻击日志,黑白名单日志,EDR推广日志,IPSecVPN日志）
4、观察日志服务器上接收到的日志的数量和内容。【check1】</t>
    <phoneticPr fontId="1" type="noConversion"/>
  </si>
  <si>
    <t>log.logserver.send.concurrency.servers</t>
    <phoneticPr fontId="1" type="noConversion"/>
  </si>
  <si>
    <t>验证多种日志并行外发到多个服务器功能</t>
    <phoneticPr fontId="1" type="noConversion"/>
  </si>
  <si>
    <t xml:space="preserve">1、配置开启日志服务器，配置日志服务器IP地址，端口为${端口}，发送方式为${发送方式},加密方式为${加密}，发送协议为${发送协议}。
2、配置日式过滤为发送所有日志
3、向日志侦听端口写入至少3条系统日志,操作日志,入侵防御日志,防病毒日志,内容过滤日志,文件过滤日志,URL过滤日志,WEB防护日志,防暴力破解日志,弱密码日志,控制策略阻断日志,本地控制策略日志,单包防护日志,Flood攻击日志,黑白名单日志,EDR推广日志,IPSecVPN日志中的任意日志
4、观察日志服务器上接收到的日志的数量和内容。【check1】【check2】【check3】
</t>
    <phoneticPr fontId="1" type="noConversion"/>
  </si>
  <si>
    <t>1、【check1】三个日志服务器上接收到的日志数量和内容正确
2、【check2】三个日志服务器上接收到日志的发送方式和协议正确</t>
    <phoneticPr fontId="1" type="noConversion"/>
  </si>
  <si>
    <t>1、配置开启日志服务器，配置三个服务器，三个服务器路由均可达，3个日志服务器发送的一个发送方式为restAPI，一个为syslog的TCP，一个为syslog的UDP方式
2、配置日式过滤为发送所有日志
3、向日志侦听端口写入至少3条所有类型的日志（包括系统日志,操作日志,入侵防御日志,防病毒日志,内容过滤日志,文件过滤日志,URL过滤日志,WEB防护日志,防暴力破解日志,弱密码日志,控制策略阻断日志,本地控制策略日志,单包防护日志,Flood攻击日志,黑白名单日志,EDR推广日志,IPSecVPN日志）
4、观察日志服务器上接收到的日志的数量和内容。【check1】【check2】</t>
    <phoneticPr fontId="1" type="noConversion"/>
  </si>
  <si>
    <t>多种日志，多个服务器</t>
    <phoneticPr fontId="1" type="noConversion"/>
  </si>
  <si>
    <t>log.logserver.send.reliability</t>
    <phoneticPr fontId="1" type="noConversion"/>
  </si>
  <si>
    <t>连接变化=服务器地址变化,路由震荡,接口禁用启用,tcp连接状态震荡,udp端口变化</t>
    <phoneticPr fontId="1" type="noConversion"/>
  </si>
  <si>
    <t>1、配置开启日志服务器
2、配置日式过滤为发送所有日志
3、持续向日志侦听端口写入多种类型的日志
4、构造${连接}大于200次，在日志服务器上观察日志接收。【check1】</t>
    <phoneticPr fontId="1" type="noConversion"/>
  </si>
  <si>
    <t>日志外发接口IP地址变化测</t>
    <phoneticPr fontId="1" type="noConversion"/>
  </si>
  <si>
    <t>log.logserver.send.sip</t>
    <phoneticPr fontId="1" type="noConversion"/>
  </si>
  <si>
    <t>验证日志外发时${连接}时的可靠性</t>
    <phoneticPr fontId="1" type="noConversion"/>
  </si>
  <si>
    <t>验证日志外发时${变化}时的源IP正确</t>
    <phoneticPr fontId="1" type="noConversion"/>
  </si>
  <si>
    <t>连接变化=接口地址变化,接口变化</t>
    <phoneticPr fontId="1" type="noConversion"/>
  </si>
  <si>
    <t>log.logserver.send.sip.intf</t>
    <phoneticPr fontId="1" type="noConversion"/>
  </si>
  <si>
    <t>1、网元正常启动
2、配置开启日志服务器</t>
    <phoneticPr fontId="1" type="noConversion"/>
  </si>
  <si>
    <t>连接=业务口,管理口</t>
    <phoneticPr fontId="1" type="noConversion"/>
  </si>
  <si>
    <t>连接=接口变化</t>
    <phoneticPr fontId="1" type="noConversion"/>
  </si>
  <si>
    <t>1、配置日志服务器，配置静态路由通过${连接}发送到日志服务器
2、配置日式过滤为发送所有日志
3、持续向日志侦听端口写入多种类型的日志
4、修改日志外发对应的${连接}的IP地址【check1】【check2】
5、在接口上添加多个IP地址【check1】【check3】</t>
    <phoneticPr fontId="1" type="noConversion"/>
  </si>
  <si>
    <t>1、【check1】日志服务器上接收到的日志数量和内容正确
2、【check2】日志服务器上接收到的报文的IP地址与接口的IP地址相同
3、【check3】日志服务器仍然以第一个IP地址发送日志</t>
    <phoneticPr fontId="1" type="noConversion"/>
  </si>
  <si>
    <t>1、配置冗余路由通过两条不同的接口发送到日志服务器，一条高优先级的路由通过接口1发送到日志服务器，一条低优先级的路由通过接口2发送到日志服务器。
2、持续向日志侦听端口写入多种类型的日志，观察日志服务器上接收到的日志和日志报文【check1】【check2】
3、构造接口1故障，观察日志服务器上接收到的日志和日志报文【check1】【check3】</t>
    <phoneticPr fontId="1" type="noConversion"/>
  </si>
  <si>
    <t>1、【check1】日志服务器上接收到的日志数量和内容正确
2、【check2】日志服务器上接收到日志报文的源IP为接口1的IP地址
3、【check3】日志服务器上接收到日志报文的源IP为接口2的IP地址</t>
    <phoneticPr fontId="1" type="noConversion"/>
  </si>
  <si>
    <t>入侵防御日志、防病毒日志、内容过滤日志、文件过滤、URL过滤日志、WEB防护日志、防暴力破解日志、弱密码日志。日志级别支持信息、低危、中危、高危、严重。</t>
    <phoneticPr fontId="1" type="noConversion"/>
  </si>
  <si>
    <t>在线修改配置后的日志外发功能</t>
    <phoneticPr fontId="1" type="noConversion"/>
  </si>
  <si>
    <t>验证安全日志过滤功能</t>
    <phoneticPr fontId="1" type="noConversion"/>
  </si>
  <si>
    <t>过滤级别</t>
    <phoneticPr fontId="1" type="noConversion"/>
  </si>
  <si>
    <t>信息</t>
    <phoneticPr fontId="1" type="noConversion"/>
  </si>
  <si>
    <t>低危</t>
    <phoneticPr fontId="1" type="noConversion"/>
  </si>
  <si>
    <t>中危</t>
    <phoneticPr fontId="1" type="noConversion"/>
  </si>
  <si>
    <t>高危</t>
    <phoneticPr fontId="1" type="noConversion"/>
  </si>
  <si>
    <t>严重</t>
    <phoneticPr fontId="1" type="noConversion"/>
  </si>
  <si>
    <t>日志类型=入侵防御日志,防病毒日志,内容过滤日志,URL过滤日志,文件过滤日志,WEB防护日志,弱密码日志,防暴力破解日志</t>
    <phoneticPr fontId="1" type="noConversion"/>
  </si>
  <si>
    <t>过滤级别=信息,低危,中危,高危,严重</t>
  </si>
  <si>
    <t>过滤级别=信息,低危,中危,高危,严重</t>
    <phoneticPr fontId="1" type="noConversion"/>
  </si>
  <si>
    <t>日志类型&amp;过滤级别</t>
    <phoneticPr fontId="1" type="noConversion"/>
  </si>
  <si>
    <t>全组合</t>
    <phoneticPr fontId="1" type="noConversion"/>
  </si>
  <si>
    <t>日志类型=入侵防御日志;过滤级别=信息,低危,中危,高危,严重
日志类型=防病毒日志;过滤级别=信息,低危,中危,高危,严重
日志类型=内容过滤日志;过滤级别=信息,低危,中危,高危,严重
日志类型=URL过滤日志;过滤级别=信息,低危,中危,高危,严重
日志类型=文件过滤日志;过滤级别=信息,低危,中危,高危,严重
日志类型=WEB防护日志;过滤级别=信息,低危,中危,高危,严重
日志类型=弱密码日志;过滤级别=信息,低危,中危,高危,严重
日志类型=防暴力破解日志;过滤级别=信息,低危,中危,高危,严重</t>
    <phoneticPr fontId="1" type="noConversion"/>
  </si>
  <si>
    <t>log.logserver.filter.sec</t>
    <phoneticPr fontId="1" type="noConversion"/>
  </si>
  <si>
    <t>验证标准格式${日志类型}过滤功能</t>
    <phoneticPr fontId="1" type="noConversion"/>
  </si>
  <si>
    <t>1、网元正常启动
2、配置静态路由保证日志服务器网络可达
3、开启日志服务器</t>
    <phoneticPr fontId="1" type="noConversion"/>
  </si>
  <si>
    <t>1、网元正常启动
2、配置静态路由保证日志服务器网络可达
3、开启日志服务器
4、配置开启${日志类型}的日志过滤开关为不发送</t>
    <phoneticPr fontId="1" type="noConversion"/>
  </si>
  <si>
    <t>1、持续向日志侦听端口写入${日志类型}的日志，日志级别包含${过滤级别}所有级别，观察日志服务器的日志接收。【check1】
2、配置开启${日志类型}的日志过滤开关为发送，发送日志级别仅发送$[过滤级别]的日志，观察日志服务器接收情况。【check2】
3、配置开启${日志类型}的日志过滤开关为发送，发送日志级别仅发送所有级别的日志，观察日志服务器接收情况。【check3】</t>
    <phoneticPr fontId="1" type="noConversion"/>
  </si>
  <si>
    <t>验证系统日志过滤功能</t>
    <phoneticPr fontId="1" type="noConversion"/>
  </si>
  <si>
    <t>调试</t>
    <phoneticPr fontId="1" type="noConversion"/>
  </si>
  <si>
    <t>警告</t>
    <phoneticPr fontId="1" type="noConversion"/>
  </si>
  <si>
    <t>错误</t>
    <phoneticPr fontId="1" type="noConversion"/>
  </si>
  <si>
    <t>致命错误</t>
    <phoneticPr fontId="1" type="noConversion"/>
  </si>
  <si>
    <t>严重错误</t>
    <phoneticPr fontId="1" type="noConversion"/>
  </si>
  <si>
    <t>步骤3:物理用例设计</t>
    <phoneticPr fontId="1" type="noConversion"/>
  </si>
  <si>
    <t>有效过滤级别=调试,信息,警告,错误,致命错误,严重错误</t>
    <phoneticPr fontId="1" type="noConversion"/>
  </si>
  <si>
    <t>日志类型=系统日志;过滤级别=调试,信息,警告,错误,致命错误,严重错误
日志类型=操作日志;过滤级别=调试,信息,警告,错误,致命错误,严重错误</t>
    <phoneticPr fontId="1" type="noConversion"/>
  </si>
  <si>
    <t>过滤级别=调试,信息,警告,错误,致命错误,严重错误</t>
    <phoneticPr fontId="1" type="noConversion"/>
  </si>
  <si>
    <r>
      <t>控制策略阻断日志、允许日志，流日志，NAT日志，</t>
    </r>
    <r>
      <rPr>
        <strike/>
        <sz val="11"/>
        <color rgb="FFFF0000"/>
        <rFont val="宋体"/>
        <family val="3"/>
        <charset val="134"/>
        <scheme val="minor"/>
      </rPr>
      <t>分解到其他特性</t>
    </r>
    <phoneticPr fontId="1" type="noConversion"/>
  </si>
  <si>
    <t>验证监控中心-安全日志过滤功能</t>
    <phoneticPr fontId="1" type="noConversion"/>
  </si>
  <si>
    <t>单包防护日志,Flood攻击日志,黑白名单日志,EDR推广日志,IPSecVpn日志</t>
    <phoneticPr fontId="1" type="noConversion"/>
  </si>
  <si>
    <t>IPSecVpn日志</t>
    <phoneticPr fontId="1" type="noConversion"/>
  </si>
  <si>
    <t>日志类型=单包防护日志,Flood攻击日志,黑白名单日志,EDR推广日志,IPSecVpn日志</t>
    <phoneticPr fontId="1" type="noConversion"/>
  </si>
  <si>
    <t>log.logserver.filter.center.sec</t>
    <phoneticPr fontId="1" type="noConversion"/>
  </si>
  <si>
    <t>1、持续向日志侦听端口写入${日志类型}的日志
2、配置开启${日志类型}的日志过滤开关为不发送，发送日志级别仅发送$[过滤级别]的日志，观察日志服务器接收情况。【check1】
3、配置开启${日志类型}的日志过滤开关为发送，观察日志服务器接收情况。【check3】</t>
    <phoneticPr fontId="1" type="noConversion"/>
  </si>
  <si>
    <t>1、【check1】日志服务器不能接收到任何${日志类型}的日志
2、【check2】日志服务器可以接收到${日志类型}的日志，接收到日志的所有字段与写入的字段完全相同</t>
    <phoneticPr fontId="1" type="noConversion"/>
  </si>
  <si>
    <t>1、【check1】日志服务器不能接收到任何${日志类型}的日志
2、【check2】日志服务器仅可以接收到该过滤级别的${日志类型}，接收到日志的所有字段与写入的字段完全相同
3、【check3】日志服务器可以接收到所有级别的${日志类型}，接收到日志的所有字段与写入的字段完全相同</t>
    <phoneticPr fontId="1" type="noConversion"/>
  </si>
  <si>
    <t>日志类型=操作日志,系统日志</t>
    <phoneticPr fontId="1" type="noConversion"/>
  </si>
  <si>
    <t>log.logserver.filter.system</t>
    <phoneticPr fontId="1" type="noConversion"/>
  </si>
  <si>
    <r>
      <t>1、日志服务器、日志过滤（类型和级别），</t>
    </r>
    <r>
      <rPr>
        <strike/>
        <sz val="11"/>
        <color rgb="FFFF0000"/>
        <rFont val="宋体"/>
        <family val="3"/>
        <charset val="134"/>
        <scheme val="minor"/>
      </rPr>
      <t>日志过滤在测试步骤中已覆盖，日志服务器修改在日志外发中已覆盖</t>
    </r>
    <phoneticPr fontId="1" type="noConversion"/>
  </si>
  <si>
    <t>s6000和电力格式日志过滤功能</t>
    <phoneticPr fontId="1" type="noConversion"/>
  </si>
  <si>
    <r>
      <t>标准格式、电力格式，s6000_ips，s6000_fw，配置值和默认值</t>
    </r>
    <r>
      <rPr>
        <strike/>
        <sz val="11"/>
        <color rgb="FFFF0000"/>
        <rFont val="宋体"/>
        <family val="3"/>
        <charset val="134"/>
        <scheme val="minor"/>
      </rPr>
      <t>放到日志格式中覆盖</t>
    </r>
    <phoneticPr fontId="1" type="noConversion"/>
  </si>
  <si>
    <t>标准格式、电力格式，s6000_ips，s6000_fw</t>
    <phoneticPr fontId="1" type="noConversion"/>
  </si>
  <si>
    <t>电力格式，s6000_ips，s6000_fw，基本信息、安全策略、告警信息、心跳日志</t>
    <phoneticPr fontId="1" type="noConversion"/>
  </si>
  <si>
    <t>验证标准格式和其他非标格式日志外发功能</t>
    <phoneticPr fontId="1" type="noConversion"/>
  </si>
  <si>
    <t>日志容量测试</t>
    <phoneticPr fontId="1" type="noConversion"/>
  </si>
  <si>
    <t>整机容量测试，规格测试，满规格时的增删改查测试</t>
    <phoneticPr fontId="1" type="noConversion"/>
  </si>
  <si>
    <t>验证防火墙整机日志容量</t>
    <phoneticPr fontId="1" type="noConversion"/>
  </si>
  <si>
    <t>容量=整机容量</t>
    <phoneticPr fontId="1" type="noConversion"/>
  </si>
  <si>
    <t xml:space="preserve">1、向日志侦听端口写入系统日志,操作日志,入侵防御日志,防病毒日志,内容过滤日志,文件过滤日志,URL过滤日志,WEB防护日志,防暴力破解日志,弱密码日志,控制策略阻断日志,本地控制策略日志,单包防护日志,Flood攻击日志,黑白名单日志,EDR推广日志,IPSecVPN日志中任意一种日志，使其达到该种日志的最大数量-1，使用接口查询日志。【check1】
2、再向日志端口写入另外一种日志，使其达到最大规格的30%，并使用接口查询日志。【check1】
3、遍历所有日志日类型，均写入最大数量的30%，并使用接口查询日志。【check1】【check2】
</t>
    <phoneticPr fontId="1" type="noConversion"/>
  </si>
  <si>
    <t>1、【check1】日志写入成功，查询日志与写入的数量和内容一致。
2、【check2】日志响应时间无明显降低</t>
    <phoneticPr fontId="1" type="noConversion"/>
  </si>
  <si>
    <t>log.dfx.capcity</t>
    <phoneticPr fontId="1" type="noConversion"/>
  </si>
  <si>
    <t>验证防火墙日志写入速率</t>
    <phoneticPr fontId="1" type="noConversion"/>
  </si>
  <si>
    <t>速率=最大速率</t>
    <phoneticPr fontId="1" type="noConversion"/>
  </si>
  <si>
    <t>日志速率测试</t>
    <phoneticPr fontId="1" type="noConversion"/>
  </si>
  <si>
    <t>1、【check1】日志写入成功，查询日志与写入的数量和内容一致。
2、【check2】部分日志会被丢弃，但是写入的日志数据正确
3、【check3】设备CPU、内容、磁盘无异常</t>
    <phoneticPr fontId="1" type="noConversion"/>
  </si>
  <si>
    <t>验证防火墙日志外发速率</t>
    <phoneticPr fontId="1" type="noConversion"/>
  </si>
  <si>
    <t>1、网元正常启动
2、开启日志服务器并配置三个日志服务器，分别以syslog tcp，syslog udp和restapi方式发送日志
3、配置日志服务器路由可达</t>
    <phoneticPr fontId="1" type="noConversion"/>
  </si>
  <si>
    <t xml:space="preserve">1、选取系统日志,操作日志,入侵防御日志,防病毒日志,内容过滤日志,文件过滤日志,URL过滤日志,WEB防护日志,防暴力破解日志,弱密码日志,控制策略阻断日志,本地控制策略日志,单包防护日志,Flood攻击日志,黑白名单日志,EDR推广日志,IPSecVPN日志中任意两种以上日志。
2、持续以200条/s的速率向日志侦听端口写入步骤1中选取的日志，使用接口观察日志。【check1】
3、持续以超过1000条/s的速率向日志侦听端口写入步骤1中选取的日志，使用接口观察日志。【check2】【check3】
4、持续以超过1000条/s的速率写入日志，同时没过10s查询一次日志，持续2小时以上。【check2】【chekc3】
</t>
    <phoneticPr fontId="1" type="noConversion"/>
  </si>
  <si>
    <t xml:space="preserve">1、选取系统日志,操作日志,入侵防御日志,防病毒日志,内容过滤日志,文件过滤日志,URL过滤日志,WEB防护日志,防暴力破解日志,弱密码日志,控制策略阻断日志,本地控制策略日志,单包防护日志,Flood攻击日志,黑白名单日志,EDR推广日志,IPSecVPN日志中任意两种以上需要外发的日志。
2、持续以200条/s的速率向日志侦听端口写入步骤1中选取的日志，使用接口观察日志，观察日志服务器。【check1】
3、持续以超过1000条/s的速率向日志侦听端口写入步骤1中选取的日志，观察日志服务。【check2】【check3】
4、持续以超过1000条/s的速率写入日志，持续2小时以上。【check2】【chekc3】
</t>
    <phoneticPr fontId="1" type="noConversion"/>
  </si>
  <si>
    <t>该部分用例在SPC500和SPC600已重构，C01不重构</t>
    <phoneticPr fontId="1" type="noConversion"/>
  </si>
  <si>
    <t>日志功能疲劳测试</t>
    <phoneticPr fontId="1" type="noConversion"/>
  </si>
  <si>
    <t>操作=日志格式,日志过滤</t>
    <phoneticPr fontId="1" type="noConversion"/>
  </si>
  <si>
    <r>
      <t>日志备份文件、日志收集文件、异常信息收集</t>
    </r>
    <r>
      <rPr>
        <strike/>
        <sz val="11"/>
        <color rgb="FFFF0000"/>
        <rFont val="宋体"/>
        <family val="3"/>
        <charset val="134"/>
        <scheme val="minor"/>
      </rPr>
      <t>（在日志备份,信息收集中已覆盖）</t>
    </r>
    <phoneticPr fontId="1" type="noConversion"/>
  </si>
  <si>
    <t>日志配置存库测试</t>
    <phoneticPr fontId="1" type="noConversion"/>
  </si>
  <si>
    <t>验证反复修改${操作}的日志功能</t>
    <phoneticPr fontId="1" type="noConversion"/>
  </si>
  <si>
    <t>验证反复修改${操作}的调试日志功能</t>
    <phoneticPr fontId="1" type="noConversion"/>
  </si>
  <si>
    <t xml:space="preserve">1、选取系统日志,操作日志,入侵防御日志,防病毒日志,内容过滤日志,文件过滤日志,URL过滤日志,WEB防护日志,防暴力破解日志,弱密码日志,控制策略阻断日志,本地控制策略日志,单包防护日志,Flood攻击日志,黑白名单日志,EDR推广日志,IPSecVPN日志中任意两种以上日志。
2、持续以200条/s的速率向日志侦听端口写入步骤1中选取的日志，使用接口观察日志。【check1】
3、反复修改${操作}持续时间2小时以上，修改次数超过200次
4、观察设备和使用接口观察日志【check1】【chekc2】
</t>
    <phoneticPr fontId="1" type="noConversion"/>
  </si>
  <si>
    <t>1、【check1】日志写入成功，查询日志与写入的数量和内容一致。
2、【check2】设备CPU、内容、磁盘无异常</t>
    <phoneticPr fontId="1" type="noConversion"/>
  </si>
  <si>
    <t>1、【check1】日志写入成功，查询日志与写入的数量和内容一致。
2、【check2】日志服务器只能收到部分写入的日志，接收到的部分日志内容正确
3、【check3】设备CPU、内容、磁盘无异常</t>
    <phoneticPr fontId="1" type="noConversion"/>
  </si>
  <si>
    <t>1、【check1】日志写入成功，查询日志与写入的数量和内容一致。
2、【check2】${操作}功能正常
3、【check3】设备CPU、内容、磁盘无异常</t>
    <phoneticPr fontId="1" type="noConversion"/>
  </si>
  <si>
    <t xml:space="preserve">1、选取系统日志,操作日志,入侵防御日志,防病毒日志,内容过滤日志,文件过滤日志,URL过滤日志,WEB防护日志,防暴力破解日志,弱密码日志,控制策略阻断日志,本地控制策略日志,单包防护日志,Flood攻击日志,黑白名单日志,EDR推广日志,IPSecVPN日志中任意两种以上日志。
2、持续以200条/s的速率向日志侦听端口写入步骤1中选取的日志，使用接口观察日志。【check1】
3、反复$修改{操作}持续时间2小时以上，修改次数超过200次
4、观察${操作}【check2】【chekc3】
</t>
    <phoneticPr fontId="1" type="noConversion"/>
  </si>
  <si>
    <t>操作=日志查询</t>
    <phoneticPr fontId="1" type="noConversion"/>
  </si>
  <si>
    <t xml:space="preserve">1、选取系统日志,操作日志,入侵防御日志,防病毒日志,内容过滤日志,文件过滤日志,URL过滤日志,WEB防护日志,防暴力破解日志,弱密码日志,控制策略阻断日志,本地控制策略日志,单包防护日志,Flood攻击日志,黑白名单日志,EDR推广日志,IPSecVPN日志中任意两种以上日志。
2、持续以200条/s的速率向日志侦听端口写入步骤1中选取的日志，使用接口观察日志。【check1】
3、反复${操作}持续时间2小时以上，查询次数超过200次。【check1】【check2】
</t>
    <phoneticPr fontId="1" type="noConversion"/>
  </si>
  <si>
    <t>1、网元正常启动
2、开启调试日志</t>
    <phoneticPr fontId="1" type="noConversion"/>
  </si>
  <si>
    <t>操作=修改信息收集,开启关闭调试日志,手动信息收集</t>
    <phoneticPr fontId="1" type="noConversion"/>
  </si>
  <si>
    <t>1、【check1】调试信息记录和信息收集功能正常
3、【check2】设备CPU、内容、磁盘无异常</t>
    <phoneticPr fontId="1" type="noConversion"/>
  </si>
  <si>
    <t xml:space="preserve">1、检查设备调试日志和信息收集功能。【check1】
3、反复${操作}，持续2小时以上，次数超过200次
4、验证调试日志记录和信息收集功能【check1】【chekc2】
</t>
    <phoneticPr fontId="1" type="noConversion"/>
  </si>
  <si>
    <t>log.dfx.rps</t>
  </si>
  <si>
    <t>log.dfx.rps.send</t>
  </si>
  <si>
    <t>log.dfx.reliability.format</t>
  </si>
  <si>
    <t>log.dfx.reliability.logmng</t>
  </si>
  <si>
    <t>log.dfx.reliability.log.query</t>
  </si>
  <si>
    <t>log.dfx.reliability.info</t>
  </si>
  <si>
    <t>log.dfx.conf.recover</t>
    <phoneticPr fontId="1" type="noConversion"/>
  </si>
  <si>
    <t>log.dfx.conf.import.outport</t>
    <phoneticPr fontId="1" type="noConversion"/>
  </si>
  <si>
    <t>日志服务器、日志备份、日志归并，日志过滤、日志格式、信息收集配置存库测试，导入测试。</t>
    <phoneticPr fontId="1" type="noConversion"/>
  </si>
  <si>
    <t>操作=命令重启,掉电重启</t>
    <phoneticPr fontId="1" type="noConversion"/>
  </si>
  <si>
    <t>操作=配置导入导出</t>
    <phoneticPr fontId="1" type="noConversion"/>
  </si>
  <si>
    <t>log.dfx.conf.upgrade</t>
    <phoneticPr fontId="1" type="noConversion"/>
  </si>
  <si>
    <t>操作=升级</t>
    <phoneticPr fontId="1" type="noConversion"/>
  </si>
  <si>
    <t>操作=日志导出,日志归并,日志备份,</t>
    <phoneticPr fontId="1" type="noConversion"/>
  </si>
  <si>
    <t>验证反复${操作}的日志功能</t>
    <phoneticPr fontId="1" type="noConversion"/>
  </si>
  <si>
    <r>
      <t>反复修改日志格式，</t>
    </r>
    <r>
      <rPr>
        <strike/>
        <sz val="11"/>
        <color rgb="FFFF0000"/>
        <rFont val="宋体"/>
        <family val="3"/>
        <charset val="134"/>
        <scheme val="minor"/>
      </rPr>
      <t>日志服务器（日志外发已覆盖）</t>
    </r>
    <r>
      <rPr>
        <sz val="11"/>
        <color theme="1"/>
        <rFont val="宋体"/>
        <family val="2"/>
        <charset val="134"/>
        <scheme val="minor"/>
      </rPr>
      <t>，日志过滤，</t>
    </r>
    <r>
      <rPr>
        <strike/>
        <sz val="11"/>
        <color rgb="FFFF0000"/>
        <rFont val="宋体"/>
        <family val="3"/>
        <charset val="134"/>
        <scheme val="minor"/>
      </rPr>
      <t>日志归并（已覆盖）</t>
    </r>
    <r>
      <rPr>
        <sz val="11"/>
        <color theme="1"/>
        <rFont val="宋体"/>
        <family val="2"/>
        <charset val="134"/>
        <scheme val="minor"/>
      </rPr>
      <t>，信息收集、调试日志，反复收集日志、日志导出、查看日志，日志备份,</t>
    </r>
    <r>
      <rPr>
        <strike/>
        <sz val="11"/>
        <color rgb="FFFF0000"/>
        <rFont val="宋体"/>
        <family val="3"/>
        <charset val="134"/>
        <scheme val="minor"/>
      </rPr>
      <t>进程重启（在进程管理中已覆盖）</t>
    </r>
    <phoneticPr fontId="1" type="noConversion"/>
  </si>
  <si>
    <t xml:space="preserve">1、配置日志服务器、日志过滤、日志备份（无盘系统不支持不需要配置），日志归并，信息收集方式、日志格式（CLI配置）与默认值不一样
2、验证反复${操作}10次以上。
3、防火墙启动后观察配置【check1】
4、验证日志查询、日志外发、日志备份、日志归并功能【chekc2】
5、验证信息收集功能【check3】
</t>
    <phoneticPr fontId="1" type="noConversion"/>
  </si>
  <si>
    <t>1、【check1】日志服务器、日志过滤、日志备份（无盘系统不支持不需要配置），日志归并，信息收集方式、日志格式（CLI配置）的配置与重启前相同。
2、【check2】日志查询、日志外发、日志备份、日志归并功能正常
3、【check3】信息收集功能正常</t>
    <phoneticPr fontId="1" type="noConversion"/>
  </si>
  <si>
    <t>1、【check1】配置导出功能正常
2、【check2】日志查询、日志外发、日志备份、日志归并功能正常
1、【check3】日志服务器、日志过滤、日志备份（无盘系统不支持不需要配置），日志归并，信息收集方式、日志格式（CLI配置）的配置与步骤1中导出的配置相同。
3、【check4】信息收集功能正常</t>
    <phoneticPr fontId="1" type="noConversion"/>
  </si>
  <si>
    <t>1、配置日志服务器、日志过滤、日志备份（无盘系统不支持不需要配置），日志归并，信息收集方式、日志格式（CLI配置）与默认值不一样，导出配置。【check1】
2、验证日志查询、日志外发、日志备份、日志归并功能【chekc2】
3、修改日志服务器、日志过滤、日志备份、日志归并、日志信息收集方式、日志格式配置与步骤1中的配置不一样。
4、将步骤1中导出的配置文件导入防火墙。
5、防火墙重启动后观察防火墙配置配置【check3】
6、验证日志查询、日志外发、日志备份、日志归并功能【chekc2】
7、验证信息收集功能【check4】</t>
    <phoneticPr fontId="1" type="noConversion"/>
  </si>
  <si>
    <t xml:space="preserve">1、配置日志服务器、日志过滤、日志备份（无盘系统不支持不需要配置），日志归并，信息收集方式、日志格式（CLI配置）与默认值不一样
2、升级防火墙
3、防火墙升级后观察配置【check1】
4、验证日志查询、日志外发、日志备份、日志归并功能【chekc2】
5、验证信息收集功能【check3】
</t>
    <phoneticPr fontId="1" type="noConversion"/>
  </si>
  <si>
    <t>日志格式配置重置测试</t>
    <phoneticPr fontId="1" type="noConversion"/>
  </si>
  <si>
    <t>log.dfx.conf.reset</t>
    <phoneticPr fontId="1" type="noConversion"/>
  </si>
  <si>
    <t>操作=重置配置</t>
    <phoneticPr fontId="1" type="noConversion"/>
  </si>
  <si>
    <t>验证防火墙${操作}后的日志功能</t>
    <phoneticPr fontId="1" type="noConversion"/>
  </si>
  <si>
    <t>1、配置日志服务器、日志过滤、日志备份（无盘系统不支持不需要配置），日志归并，信息收集方式、日志格式（CLI配置）与默认值不一样
2、重置防火墙配置
3、防火墙启动后观察配置【check1】</t>
    <phoneticPr fontId="1" type="noConversion"/>
  </si>
  <si>
    <t>1、【check1】日志服务器、日志过滤、日志备份（无盘系统不支持不需要配置），日志归并，信息收集方式、日志格式（CLI配置）的配置还原默认值</t>
    <phoneticPr fontId="1" type="noConversion"/>
  </si>
  <si>
    <t>日志配置HA同步功能</t>
    <phoneticPr fontId="1" type="noConversion"/>
  </si>
  <si>
    <t>log.dfx.ha</t>
    <phoneticPr fontId="1" type="noConversion"/>
  </si>
  <si>
    <t>双机热备=主备,主主</t>
    <phoneticPr fontId="1" type="noConversion"/>
  </si>
  <si>
    <t>验证防火墙${双机热备}场景下的日志功能</t>
    <phoneticPr fontId="1" type="noConversion"/>
  </si>
  <si>
    <t>1、网元正常启动
2、双机${双机热备}关系正常建立</t>
    <phoneticPr fontId="1" type="noConversion"/>
  </si>
  <si>
    <t>1、【check1】日志服务器、日志过滤、日志备份（无盘系统不支持不需要配置），日志归并，信息收集方式、日志格式（CLI配置）的配置成功
2、【check2】日志服务器、日志过滤、日志备份（无盘系统不支持不需要配置），日志归并，信息收集方式、日志格式（CLI配置）的配置同步到备机
3、【check3】备机不允许修改日志服务器、日志过滤、日志备份（无盘系统不支持不需要配置），日志归并，信息收集方式、日志格式（CLI配置）配置，提示信息正确。
4、【check4】双机的日志查询、日志外发（双机都外发）、日志备份、日志归并功能均正常
5、【check5】双机调试日志和信息收集功能正常。调试日志开关双机不同步且备机可以开始调试日志记录功能。</t>
    <phoneticPr fontId="1" type="noConversion"/>
  </si>
  <si>
    <t>1、在配置主机上配置日志服务器、日志过滤、日志备份（无盘系统不支持不需要配置），日志归并，信息收集方式、日志格式（CLI配置）与默认值不一样。【check1】
2、在配置备机上观察日志配置，并发起配置修改。【check2】【check3】
3、在双机上观察日志查询、日志外发、日志备份、日志归并功能【check4】
4、在双机上观察调试日志和信息收集功能【check5】
5、发起主备切换，重复步骤3和步骤4。【check4】【check5】
6、发起主备回切，，重复步骤3和步骤4。【check4】【check5】</t>
    <phoneticPr fontId="1" type="noConversion"/>
  </si>
  <si>
    <t>外发过滤</t>
    <phoneticPr fontId="1" type="noConversion"/>
  </si>
  <si>
    <t>标准格式的日志过滤，电网格式，s6000_fw,s6000_ips</t>
    <phoneticPr fontId="1" type="noConversion"/>
  </si>
  <si>
    <t>非标格式下的日志外发和日志过滤</t>
    <phoneticPr fontId="1" type="noConversion"/>
  </si>
  <si>
    <t>1、向防火墙的日志侦听端口写入${数据名称}，日志中的所有字段均不相同，写入方法参考wiki中的总结文档。
2、在日志中心查询${数据名称}
3、对比查询到日志的$[有效值]与步骤1中写入日志内容【check1】</t>
    <phoneticPr fontId="1" type="noConversion"/>
  </si>
  <si>
    <t>1、【check1】下载的日志中包含步骤2中写入的所有日志，抽查首尾和中间任意一条日志的字段全部正确，日志的数量正确。
2、【check2】步骤3和步骤4中写入的日志不在导出的日志中</t>
    <phoneticPr fontId="1" type="noConversion"/>
  </si>
  <si>
    <t xml:space="preserve">1、在选择任意的一个时间范围精确到秒
2、向防火墙的日志侦听端口写入${日志类型}100条,时间任意的格式为"2024-10-17 02:00:00",级别字段为中文,IP地址包含ipv4和ipv6地址，tcpudp端口为0-65535随机数，其他没有明确要求的字段包含中文数字和特殊字符点(.)中横杠(-)和空格
3、向防火墙的日志侦听端口写入至少1条${日志类型}，时间为步骤1中选取的开始时间前1s
4、向防火墙的日志侦听端口写入至少1条${日志类型}，时间为步骤1中选取的结束时间后1s
5、导出${日志类型}，时间范围为步骤1选择的时间范围。【check1】【check2】
</t>
    <phoneticPr fontId="1" type="noConversion"/>
  </si>
  <si>
    <t>发送方式=restapi;发送协议=默认</t>
    <phoneticPr fontId="1" type="noConversion"/>
  </si>
  <si>
    <t>1、【check1】日志服务器上接收到的日志数量和内容正确
2、【check2】日志接受到的源IP、协议、源目的端口、加密信息正确
3、【check3】接收到的日志发送方式正确</t>
    <phoneticPr fontId="1" type="noConversion"/>
  </si>
  <si>
    <t>1、【check1】查询到的数据与写入的数据完全相同</t>
  </si>
  <si>
    <t>1、【check1】查询不到任何日志
2、【check2】可以查询到所有写入时间为time1~time2的日志。
3、【check3】仅能查到过滤字段为str1的日志，其他字段为str1的日志不会被查询到。
4、【check4】查询到的日志数量正确，选取首尾和随机条的所有字段正确。</t>
  </si>
  <si>
    <t>1、【check1】查询不到任何日志
2、【check2】可以查询到所有写入时间为time1~time2的日志。
3、【check3】仅能查到过滤字段为str1的日志，其他字段为str1的日志不会被查询到。
4、【check4】查询到的日志数量正确，选取首尾和随机条的所有字段正确。</t>
    <phoneticPr fontId="1" type="noConversion"/>
  </si>
  <si>
    <t>1、向防火墙的日志侦听端口写入一条${数据名称}，该日志的时间为任意有效时间time1~time2内，其他非时间为任意字符串str1。遍历${数据名称}的所有字段，每个字段对应一到两条日志，日志的时间部分在time1~time2内部分在time2~time3内（time3大于time2），日志中只有一个字段存为str1，其他字段不为str1。
2、使用高级查询功能查询${数据名称}，过滤时间范围在time1~time3【check1】
3、使用高级查询功能查询${数据名称}，过滤时间范围为time1~time2【check2】【check4】
4、使用高级查询功能查询${数据名称}，仅$[有效值]过滤str1【check3】【check4】</t>
    <phoneticPr fontId="1" type="noConversion"/>
  </si>
  <si>
    <t>1、【check1】仅能查到过3条所有字段都是str1的日志。
2、【check2】查询到的日志数量正确，选取首尾和随机条的所有字段正确。</t>
  </si>
  <si>
    <t>1、【check1】仅能查到过3条所有字段都是str1的日志。
2、【check2】查询到的日志数量正确，选取首尾和随机条的所有字段正确。</t>
    <phoneticPr fontId="1" type="noConversion"/>
  </si>
  <si>
    <t>1、向防火墙的日志侦听端口写入一条${数据名称}，该日志的时间为任意有效时间time1~time2内，其他非时间为任意字符串str1。
2、遍历${数据名称}的所有字段，每个字段对应写入一到两条日志，日志的时间部分在time1~time2内部分在time2~time3内（time3大于time2），日志中只有一个字段存为str1，其他字段不为str1。
3、写入至少3条，时间在time2~time3之间，${有效值}全部为str1的日志
4、使用高级查询功能查询${数据名称}，过滤时间范围在time2~time3，过滤${有效值}字段都为str1。【check1】【check2】</t>
    <phoneticPr fontId="1" type="noConversion"/>
  </si>
  <si>
    <t>数据名称=系统日志;有效值=日志描述
数据名称=操作日志;有效值=日志描述
数据名称=入侵防御日志;有效值=源地址，源端口，目的地址，目的端口，协议，日志描述
数据名称=防病毒日志;有效值=源地址，源端口，目的地址，目的端口，协议，应用类型，文件名，病毒类型
数据名称=内容过滤日志;有效值=源地址，源端口，目的地址，目的端口，协议，过滤类型，关键字
数据名称=文件过滤日志;有效值=源地址，源端口，目的地址，目的端口，应用类型，文件名，日志描述
数据名称=URL过滤日志;有效值=源地址，源端口，目的地址，目的端口，协议，配置名称，匹配对象，URL
数据名称=WEB防护日志;有效值=源地址，源端口，目的地址，目的端口，协议，命中配置
数据名称=防暴力破解日志;有效值=源地址，源端口，目的地址，目的端口，协议，配置名称，服务
数据名称=弱密码日志;有效值=源地址，源端口，目的地址，目的端口，协议，配置名称
数据名称=控制策略阻断日志;有效值=源地址，源端口，目的地址，目的端口，协议，应用
数据名称=本地控制策略日志;有效值=源地址，源端口，目的地址，目的端口，协议
数据名称=单包防护日志;有效值=源地址，源端口，目的地址，目的端口，协议，攻击类型
数据名称=Flood攻击日志;有效值=源地址，源端口，目的地址，目的端口，协议，攻击类型
数据名称=黑白名单日志;有效值=IP，日志描述
数据名称=EDR推广日志;有效值=源地址，源端口，目的地址，目的端口，协议，应用
数据名称=IPSecVPN日志;有效值=时间，攻击类型，名称，本地网关，本地端口，对端网关，对端端口，源网络，目的网络，名称，日志描述</t>
    <phoneticPr fontId="1" type="noConversion"/>
  </si>
  <si>
    <t>1、【check1】查询到的日志数量正确，选取首尾和随机条的所有字段正确。
2、【check2】可以查到时间范围在time2~time3内，${有效值}字段包含str1的日志。
3、【check3】不能查到时间范围在time2~time3内，非${有效值}字段包含为str1的日志</t>
    <phoneticPr fontId="1" type="noConversion"/>
  </si>
  <si>
    <t>1、向防火墙的日志侦听端口写入一条${数据名称}，该日志的时间为任意有效时间time1~time2内，其他非时间为任意字符串str1。
2、遍历${数据名称}的所有字段，每个字段对应写入一到两条日志，日志的时间部分在time1~time2内部分在time2~time3内（time3大于time2），日志中只有一个字段存为str1，其他字段不为且不包含str1。
3、遍历${数据名称}的所有字段，每个字段对应写入一到两条日志，日志的时间部分在time1~time2内、部分在time2~time3内（time3大于time2），日志中只有一个字段存包含str1，其他字段不为且不包含str1。
4、使用模糊查询功能查询${数据名称}，过滤时间范围在time2~time3，日志内容为过滤条件为str1。【check1】【check2】【check3】</t>
    <phoneticPr fontId="1" type="noConversion"/>
  </si>
  <si>
    <t>1、【check1】仅能查询到${时间范围}内的日志
2、【check2】可以查询到所有日志
3、【check3】查询到的日志数量正确，选取首尾和随机条的所有字段正确。</t>
    <phoneticPr fontId="1" type="noConversion"/>
  </si>
  <si>
    <t>1、向防火墙日志侦听端口写入至少3条${日志类型}，日志的时间在${时间范围}内
2、向防火墙日志侦听端口写入至少3条${日志类型}，日志的时间早于${时间范围}开始时间，至少3条晚于${时间范围}结束时间（可以晚于当前防火墙的系统时间）。
3、使用接口查询${日志类型}，过滤时间范围为${时间范围}内。【check1】【check3】
4、使用接口查询${日志类型}，过滤时间范围为all。【check1】【check3】</t>
    <phoneticPr fontId="1" type="noConversion"/>
  </si>
  <si>
    <t>1、【check1】防火墙只能查询到t0~1时间段的日志（1小时内的日志）
2、【check2】防火墙查询不到任何日志
3、【check3】防火墙只能查询到t1~2时间段的日志
4、【check4】查询到的日志数量正确，选取首尾和随机条的所有字段正确。</t>
  </si>
  <si>
    <t>1、【check1】防火墙只能查询到t0~1时间段的日志（1小时内的日志）
2、【check2】防火墙查询不到任何日志
3、【check3】防火墙只能查询到t1~2时间段的日志
4、【check4】查询到的日志数量正确，选取首尾和随机条的所有字段正确。</t>
    <phoneticPr fontId="1" type="noConversion"/>
  </si>
  <si>
    <t xml:space="preserve">1、防火墙当前时间记为t，向防火墙日志侦听端口写入至少9条系统日志。至少3条日志在防火墙当前时间的前1小时内记为t0~1日志，至少3条仔防火墙当前时间前1~2小时内记为t1~2日志，至少3条仔防火墙当前时间前2~3小时内记为t2~3日志。
2、查询防火墙系统日志，过滤时间为1小时内【check1】【check4】
3、将防火墙的系统时间向后调整1个小时(即为t+1),查询防火墙系统日志，过滤时间为1小时内【check2】【check4】
4、将防火墙的时间向前调整2小时（防火墙时间为t-1），查询防火墙系统日志，过滤时间为1小时内【check3】【check4】
</t>
  </si>
  <si>
    <t xml:space="preserve">1、防火墙当前时间记为t，向防火墙日志侦听端口写入至少9条系统日志。至少3条日志在防火墙当前时间的前1小时内记为t0~1日志，至少3条仔防火墙当前时间前1~2小时内记为t1~2日志，至少3条仔防火墙当前时间前2~3小时内记为t2~3日志。
2、查询防火墙系统日志，过滤时间为1小时内【check1】【check4】
3、将防火墙的系统时间向后调整1个小时(即为t+1),查询防火墙系统日志，过滤时间为1小时内【check2】【check4】
4、将防火墙的时间向前调整2小时（防火墙时间为t-1），查询防火墙系统日志，过滤时间为1小时内【check3】【check4】
</t>
    <phoneticPr fontId="1" type="noConversion"/>
  </si>
  <si>
    <t>1、开启日志归并，配置日志归并时间为10~60之间的随机值t秒
2、清空${有效日志类型}，并查询日志。【check1】
3、在t秒时间内向防火墙的日志侦听端口写入2~200之间任意值n条${有效日志类型}，日志除了时间其他内容完全相同
4、使用接口查询${有效日志类型}【check2】</t>
    <phoneticPr fontId="1" type="noConversion"/>
  </si>
  <si>
    <t>1、开启日志归并，配置日志归并时间为${归并周期}
2、清空${有效日志类型}，并查询日志。【check1】
3、在${归并周期}内向防火墙的日志侦听端口写入2~200之间任意值n1条${日志类型}，日志的除了时间，其他内容完全相同。
4、使用接口查询${日志类型}【check2】
5、等待1~3之间非整数倍的归并周期，后再${归并周期}内向向防火墙的日志侦听端口写入2~200之间任意值n2条${日志类型}，日志的除了时间，其他内容完全相同。【check3】</t>
    <phoneticPr fontId="1" type="noConversion"/>
  </si>
  <si>
    <t>log.logmng.merge.multi.records</t>
    <phoneticPr fontId="1" type="noConversion"/>
  </si>
  <si>
    <t>验证同种日志不同日志间的归并相互不影响</t>
  </si>
  <si>
    <t>验证同种日志不同日志间的归并相互不影响</t>
    <phoneticPr fontId="1" type="noConversion"/>
  </si>
  <si>
    <t>1、向防火墙日志侦听端口持续写入${有效日志类型}
2、不修改日志归并周期，反复修改开启关闭日志归并 200次以上，
3、停止持续写入日志，等待日志归并周期时间，后查看${有效日志类型}【check1】
4、在日志归并周期内向防火墙日志侦听端口同时写入${有效日志类型}，日志数量为1~10的随机值。
5、等待日志归并周期后，查看${有效日志类型}。【check2】</t>
    <phoneticPr fontId="1" type="noConversion"/>
  </si>
  <si>
    <t>1、向防火墙日志侦听端口持续写入${有效日志类型}
2、保持日志归并开启，反复修改日志归并周期200次以上，
3、停止持续写入日志，等待日志归并周期时间，后查看${有效日志类型}【check1】
4、在日志归并周期内向防火墙日志侦听端口同时写入${有效日志类型}，日志数量为1~10的随机值。
5、等待日志归并周期后，查看${有效日志类型}。【check2】</t>
    <phoneticPr fontId="1" type="noConversion"/>
  </si>
  <si>
    <t>1、开启日志归并，配置日志归并周期为10~15s任意值t
2、选择${有效日志类型}中任意日志，除了时间和攻击次数（出现次数）以外，为每个字段构造一条日志，该日志仅该字段不相同以外，其他字段均相同。
3、在t秒内，向防火墙日志侦听端口同时写入选出的日志类型和日志种类，每种日志类型的条数为1~100的随机值且都不相同。
4、在t秒之后查询选取的日志类型【check2】</t>
    <phoneticPr fontId="1" type="noConversion"/>
  </si>
  <si>
    <t>1、开启日志归并，配置日志归并周期为10~15s任意值t
2、清空${有效日志类型}，并查询日志。【check1】
3、在t秒内，向防火墙日志侦听端口同时写入${有效日志类型}，每种日志类型的条数为1~100的随机值且都不相同，同一日志的内容除了时间，其他内容完全相同。
4、在t秒之后查询${有效日志类型}【check2】</t>
    <phoneticPr fontId="1" type="noConversion"/>
  </si>
  <si>
    <t>多种日志的归并相互不影响</t>
    <phoneticPr fontId="1" type="noConversion"/>
  </si>
  <si>
    <t>日志归并开关关闭功能</t>
    <phoneticPr fontId="1" type="noConversion"/>
  </si>
  <si>
    <t>日志归并关闭功能测试</t>
    <phoneticPr fontId="1" type="noConversion"/>
  </si>
  <si>
    <t>log.logmng.merge.close</t>
    <phoneticPr fontId="1" type="noConversion"/>
  </si>
  <si>
    <t>验证反复修改日志归并周期后的日志归并功能</t>
  </si>
  <si>
    <t>1、关闭日志归并
2、向防火墙日志侦听端口写入${有效日志类型}，每种日志1~100条，除了时间其他内容完全相同。
3、使用接口查看${有效日志类型}。【check1】【check2】</t>
    <phoneticPr fontId="1" type="noConversion"/>
  </si>
  <si>
    <t>1、【check1】所有写入的日志都记录正确，日志数量正确。首尾和随机条日志的内容完全正确
2、【check2】所有日志的攻击次数或者出现次数都为1</t>
  </si>
  <si>
    <t>1、【check1】所有写入的日志都记录正确，日志数量正确。首尾和随机条日志的内容完全正确
2、【check2】所有日志的攻击次数或者出现次数都为1</t>
    <phoneticPr fontId="1" type="noConversion"/>
  </si>
  <si>
    <t>1、【check1】日志产生时间最早的20%的日志被清理掉。
2、【check2】接口查看和后台查询存在一个时戳为当前日志后一天的日志备份文件
3、【check3】被清理掉的所有产生日志为当前日期的日志被记录在备份文件中。文件中的日志数量正确。日志内容的首尾和随机条内容正确。</t>
  </si>
  <si>
    <t>1、【check1】日志产生时间最早的20%的日志被清理掉。
2、【check2】接口查看和后台查询存在一个时戳为当前日志后一天的日志备份文件
3、【check3】被清理掉的所有产生日志为当前日期的日志被记录在备份文件中。文件中的日志数量正确。日志内容的首尾和随机条内容正确。</t>
    <phoneticPr fontId="1" type="noConversion"/>
  </si>
  <si>
    <t>1、【check1】日志产生时间最早的20%的日志被清理掉。
2、【check2】接口查看和后台查询仅存在一个时戳为当前日志后一天的日志备份文件
3、【check3】被清理掉的所有产生日志为当前日期的日志被记录在备份文件中
4、【check4】步骤2中下载的日志备份文件中的内容仍然存在，仅追加了check3中的内容。文件中的日志数量正确。日志内容的首尾和随机条内容正确。</t>
  </si>
  <si>
    <t>1、【check1】日志产生时间最早的20%的日志被清理掉。
2、【check2】接口查看和后台查询仅存在一个时戳为当前日志后一天的日志备份文件
3、【check3】被清理掉的所有产生日志为当前日期的日志被记录在备份文件中
4、【check4】步骤2中下载的日志备份文件中的内容仍然存在，仅追加了check3中的内容。文件中的日志数量正确。日志内容的首尾和随机条内容正确。</t>
    <phoneticPr fontId="1" type="noConversion"/>
  </si>
  <si>
    <t>1、【check1】查询到的日志数量大于等于n。
2、【check2】查询到的日志数量大于等于n，且与步骤2查询到的日志条数相同。日志内容的首尾和随机条内容正确。
3、【check3】接口下发失败，返回的错误信息正确。</t>
  </si>
  <si>
    <t>1、【check1】查询到的日志数量大于等于n。
2、【check2】查询到的日志数量大于等于n，且与步骤2查询到的日志条数相同。日志内容的首尾和随机条内容正确。
3、【check3】接口下发失败，返回的错误信息正确。</t>
    <phoneticPr fontId="1" type="noConversion"/>
  </si>
  <si>
    <t>1、【check1】当前日志前一天产生的日志全部追加到日志备份文件中，所有字段填写正确。原备份文件中的日志记录仍然存在且不被篡改
2、【check2】日志备份文件中不添加在其他日志和其他类型的日志。
3、【check3】检查日志备份文件的名称正确，不存在词义错误和拼写错误</t>
  </si>
  <si>
    <t>修改系统时间后的日志归并</t>
    <phoneticPr fontId="1" type="noConversion"/>
  </si>
  <si>
    <t>log.logmng.merge.systime</t>
    <phoneticPr fontId="1" type="noConversion"/>
  </si>
  <si>
    <t>验证修改系统时间后的日志归并</t>
  </si>
  <si>
    <t>验证修改系统时间后的日志归并</t>
    <phoneticPr fontId="1" type="noConversion"/>
  </si>
  <si>
    <t>1、开启日志归并，配置日志归并周期为120~300之间任意值t
2、选择${有效日志类型}中任意日志，向日志侦听端口写入选择的日志，时间为当前系统时间，日志条数1~100之间任意值n1，除了时间其他字段全部相同。
3、在日志归并周期到期前修改系统时间
4、向日志侦听端口写入步骤2的日志，除了系统时间为修改系统时间后的当前时间之外，其他内容都相同，日志条数为1~100之间任意值n2。
5、等待日志归并周期后，使用接口查询所有的该日志。【check1】</t>
    <phoneticPr fontId="1" type="noConversion"/>
  </si>
  <si>
    <t xml:space="preserve">
1、【check1】产生两条日志，其中条产生时间为修改前的系统时间，攻击次数或者出现次数为n1。其中一条为修改后的系统时间，攻击次数为n2</t>
    <phoneticPr fontId="1" type="noConversion"/>
  </si>
  <si>
    <t>S6000格式外发</t>
    <phoneticPr fontId="1" type="noConversion"/>
  </si>
  <si>
    <t>防火墙日志</t>
    <phoneticPr fontId="1" type="noConversion"/>
  </si>
  <si>
    <t>日志外发格式</t>
    <phoneticPr fontId="1" type="noConversion"/>
  </si>
  <si>
    <t>时间范围=1h;日志类型=系统日志
时间范围=24h;日志类型=安全日志
时间范围=7d;日志类型=控制策略阻断日志
时间范围=1m(月);日志类型=黑白名单日志
时间范围=自定义;日志类型=IPSecVPN日志</t>
    <phoneticPr fontId="1" type="noConversion"/>
  </si>
  <si>
    <t>验证关闭日志归并后日志记录功能</t>
  </si>
  <si>
    <t>验证关闭日志归并后日志记录功能</t>
    <phoneticPr fontId="1" type="noConversion"/>
  </si>
  <si>
    <t>验证反复修改日志归并开关后的日志归并功能</t>
  </si>
  <si>
    <t>验证反复修改日志归并开关后的日志归并功能</t>
    <phoneticPr fontId="1" type="noConversion"/>
  </si>
  <si>
    <t>待实现</t>
  </si>
  <si>
    <t>验证日志每日备份有效期为${有效期}时的日志备份功能</t>
    <phoneticPr fontId="1" type="noConversion"/>
  </si>
  <si>
    <t>时间范围=近1小时;日志类型=操作日志
时间范围=近24小时;日志类型=安全日志
时间范围=近一周;日志类型=Flood攻击日志
时间范围=近一月;日志类型=EDR推广日志
时间范围=自定义;日志类型=本地策略日志</t>
    <phoneticPr fontId="1" type="noConversion"/>
  </si>
  <si>
    <t>验证日志外发${连接}时的源IP正确</t>
    <phoneticPr fontId="1" type="noConversion"/>
  </si>
  <si>
    <t>验证日志外发使用${连接}时的源IP正确</t>
    <phoneticPr fontId="1" type="noConversion"/>
  </si>
  <si>
    <t>验证日志外发${连接变化}时的可靠性</t>
    <phoneticPr fontId="1" type="noConversion"/>
  </si>
  <si>
    <t>1、【check1】所的在t秒内只有一条日志，每种日志只生成了一条日志。日志的内容全部正确
2、【check2】每种日志的攻击次数或者出现次数与写入的该种日志的数量相同</t>
    <phoneticPr fontId="1" type="noConversion"/>
  </si>
  <si>
    <t>所属用例库</t>
  </si>
  <si>
    <t>所属模块</t>
  </si>
  <si>
    <t>相关系统需求SR</t>
  </si>
  <si>
    <t>前置条件</t>
  </si>
  <si>
    <t>步骤</t>
  </si>
  <si>
    <t>预期</t>
  </si>
  <si>
    <t>实际情况</t>
  </si>
  <si>
    <t>优先级</t>
  </si>
  <si>
    <t>用例类型</t>
  </si>
  <si>
    <t>适用阶段</t>
  </si>
  <si>
    <t>用例状态</t>
  </si>
  <si>
    <t>产生Bug数</t>
  </si>
  <si>
    <t>执行结果数</t>
  </si>
  <si>
    <t>用例步骤数</t>
  </si>
  <si>
    <t>执行人</t>
  </si>
  <si>
    <t>执行时间</t>
  </si>
  <si>
    <t>结果</t>
  </si>
  <si>
    <t>由谁创建</t>
  </si>
  <si>
    <t>创建日期</t>
  </si>
  <si>
    <t>最后修改者</t>
  </si>
  <si>
    <t>修改日期</t>
  </si>
  <si>
    <t>用例版本</t>
  </si>
  <si>
    <t>相关用例</t>
  </si>
  <si>
    <t>最后变更版本</t>
  </si>
  <si>
    <t>首次创建版本</t>
  </si>
  <si>
    <t>设备类型</t>
  </si>
  <si>
    <t>自动化</t>
  </si>
  <si>
    <t>子状态</t>
  </si>
  <si>
    <t>用例编号（FSBG）</t>
  </si>
  <si>
    <t>组网编号</t>
  </si>
  <si>
    <t>附件</t>
  </si>
  <si>
    <t>明御防火墙_通用(#10)</t>
  </si>
  <si>
    <t>/管理维护/监控统计/日志中心/日志服务器/日志外发(#19384)</t>
  </si>
  <si>
    <t>(#0)</t>
  </si>
  <si>
    <t>验证日志以syslog方式tcp协议加密发送到日志服务器</t>
  </si>
  <si>
    <t>1、网元正常启动
2、配置静态路由保证日志服务器网络可达</t>
  </si>
  <si>
    <t>1. 配置开启日志服务器，配置日志服务器IP地址，端口为随机端口1~65535，发送方式为syslog,加密方式为加密，发送协议为tcp。
2. 配置日式过滤为发送所有日志
3. 向日志侦听端口写入至少3条系统日志,操作日志,入侵防御日志,防病毒日志,内容过滤日志,文件过滤日志,URL过滤日志,WEB防护日志,防暴力破解日志,弱密码日志,控制策略阻断日志,本地控制策略日志,单包防护日志,Flood攻击日志,黑白名单日志,EDR推广日志,IPSecVPN日志中的任意日志
4. 观察日志服务器上接收到的日志的数量和内容。【check1】【check2】【check3】</t>
  </si>
  <si>
    <t>1. 【check1】日志服务器上接收到的日志数量和内容正确
2. 【check2】日志接受到的源IP、协议、源目的端口、加密信息正确
3. 【check3】接收到的日志发送方式正确
4.</t>
  </si>
  <si>
    <t>1. 
2. 
3. 
4.</t>
  </si>
  <si>
    <t>P2</t>
  </si>
  <si>
    <t>待评审</t>
  </si>
  <si>
    <t>2024-10-22 19:00:11</t>
  </si>
  <si>
    <t>TGFW-V6R01C01</t>
  </si>
  <si>
    <t>验证日志以syslog方式tcp协议不加密发送到日志服务器</t>
  </si>
  <si>
    <t>1. 配置开启日志服务器，配置日志服务器IP地址，端口为常用端口514，发送方式为syslog,加密方式为不加密，发送协议为tcp。
2. 配置日式过滤为发送所有日志
3. 向日志侦听端口写入至少3条系统日志,操作日志,入侵防御日志,防病毒日志,内容过滤日志,文件过滤日志,URL过滤日志,WEB防护日志,防暴力破解日志,弱密码日志,控制策略阻断日志,本地控制策略日志,单包防护日志,Flood攻击日志,黑白名单日志,EDR推广日志,IPSecVPN日志中的任意日志
4. 观察日志服务器上接收到的日志的数量和内容。【check1】【check2】【check3】</t>
  </si>
  <si>
    <t>验证日志以syslog方式udp协议不加密发送到日志服务器</t>
  </si>
  <si>
    <t>1. 配置开启日志服务器，配置日志服务器IP地址，端口为常用端口1468，发送方式为syslog,加密方式为不加密，发送协议为udp。
2. 配置日式过滤为发送所有日志
3. 向日志侦听端口写入至少3条系统日志,操作日志,入侵防御日志,防病毒日志,内容过滤日志,文件过滤日志,URL过滤日志,WEB防护日志,防暴力破解日志,弱密码日志,控制策略阻断日志,本地控制策略日志,单包防护日志,Flood攻击日志,黑白名单日志,EDR推广日志,IPSecVPN日志中的任意日志
4. 观察日志服务器上接收到的日志的数量和内容。【check1】【check2】【check3】</t>
  </si>
  <si>
    <t>验证日志以restapi方式默认协议加密发送到日志服务器</t>
  </si>
  <si>
    <t>1. 配置开启日志服务器，配置日志服务器IP地址，端口为知名端口80，发送方式为restapi,加密方式为加密，发送协议为默认。
2. 配置日式过滤为发送所有日志
3. 向日志侦听端口写入至少3条系统日志,操作日志,入侵防御日志,防病毒日志,内容过滤日志,文件过滤日志,URL过滤日志,WEB防护日志,防暴力破解日志,弱密码日志,控制策略阻断日志,本地控制策略日志,单包防护日志,Flood攻击日志,黑白名单日志,EDR推广日志,IPSecVPN日志中的任意日志
4. 观察日志服务器上接收到的日志的数量和内容。【check1】【check2】【check3】</t>
  </si>
  <si>
    <t>验证多种日志并行外发功能</t>
  </si>
  <si>
    <t>1. 配置开启日志服务器
2. 配置日式过滤为发送所有日志
3. 向日志侦听端口写入至少3条所有类型的日志（包括系统日志,操作日志,入侵防御日志,防病毒日志,内容过滤日志,文件过滤日志,URL过滤日志,WEB防护日志,防暴力破解日志,弱密码日志,控制策略阻断日志,本地控制策略日志,单包防护日志,Flood攻击日志,黑白名单日志,EDR推广日志,IPSecVPN日志）
4. 观察日志服务器上接收到的日志的数量和内容。【check1】</t>
  </si>
  <si>
    <t>1. 【check1】日志服务器上接收到的日志数量和内容正确
2. 
3. 
4.</t>
  </si>
  <si>
    <t>不实现</t>
  </si>
  <si>
    <t>验证多种日志并行外发到多个服务器功能</t>
  </si>
  <si>
    <t>1. 配置开启日志服务器，配置三个服务器，三个服务器路由均可达，3个日志服务器发送的一个发送方式为restAPI，一个为syslog的TCP，一个为syslog的UDP方式
2. 配置日式过滤为发送所有日志
3. 向日志侦听端口写入至少3条所有类型的日志（包括系统日志,操作日志,入侵防御日志,防病毒日志,内容过滤日志,文件过滤日志,URL过滤日志,WEB防护日志,防暴力破解日志,弱密码日志,控制策略阻断日志,本地控制策略日志,单包防护日志,Flood攻击日志,黑白名单日志,EDR推广日志,IPSecVPN日志）
4. 观察日志服务器上接收到的日志的数量和内容。【check1】【check2】</t>
  </si>
  <si>
    <t>1. 【check1】三个日志服务器上接收到的日志数量和内容正确
2. 【check2】三个日志服务器上接收到日志的发送方式和协议正确
3. 
4.</t>
  </si>
  <si>
    <t>验证日志外发服务器地址变化时的可靠性</t>
  </si>
  <si>
    <t>1. 配置开启日志服务器
2. 配置日式过滤为发送所有日志
3. 持续向日志侦听端口写入多种类型的日志
4. 构造${连接}大于200次，在日志服务器上观察日志接收。【check1】</t>
  </si>
  <si>
    <t>验证日志外发路由震荡时的可靠性</t>
  </si>
  <si>
    <t>验证日志外发接口禁用启用时的可靠性</t>
  </si>
  <si>
    <t>验证日志外发tcp连接状态震荡时的可靠性</t>
  </si>
  <si>
    <t>验证日志外发udp端口变化时的可靠性</t>
  </si>
  <si>
    <t>验证日志外发使用业务口时的源IP正确</t>
  </si>
  <si>
    <t>1、网元正常启动
2、配置开启日志服务器</t>
  </si>
  <si>
    <t>1. 配置日志服务器，配置静态路由通过业务口发送到日志服务器
2. 配置日式过滤为发送所有日志
3. 持续向日志侦听端口写入多种类型的日志
4. 修改日志外发对应的业务口的IP地址【check1】【check2】
5. 在接口上添加多个IP地址【check1】【check3】</t>
  </si>
  <si>
    <t>1. 【check1】日志服务器上接收到的日志数量和内容正确
2. 【check2】日志服务器上接收到的报文的IP地址与接口的IP地址相同
3. 【check3】日志服务器仍然以第一个IP地址发送日志
4. 
5.</t>
  </si>
  <si>
    <t>1. 
2. 
3. 
4. 
5.</t>
  </si>
  <si>
    <t>验证日志外发使用管理口时的源IP正确</t>
  </si>
  <si>
    <t>1. 配置日志服务器，配置静态路由通过管理口发送到日志服务器
2. 配置日式过滤为发送所有日志
3. 持续向日志侦听端口写入多种类型的日志
4. 修改日志外发对应的管理口的IP地址【check1】【check2】
5. 在接口上添加多个IP地址【check1】【check3】</t>
  </si>
  <si>
    <t>验证日志外发接口变化时的源IP正确</t>
  </si>
  <si>
    <t>1. 配置冗余路由通过两条不同的接口发送到日志服务器，一条高优先级的路由通过接口1发送到日志服务器，一条低优先级的路由通过接口2发送到日志服务器。
2. 持续向日志侦听端口写入多种类型的日志，观察日志服务器上接收到的日志和日志报文【check1】【check2】
3. 构造接口1故障，观察日志服务器上接收到的日志和日志报文【check1】【check3】</t>
  </si>
  <si>
    <t>1. 【check1】日志服务器上接收到的日志数量和内容正确
2. 【check2】日志服务器上接收到日志报文的源IP为接口1的IP地址
3. 【check3】日志服务器上接收到日志报文的源IP为接口2的IP地址</t>
  </si>
  <si>
    <t>1. 
2. 
3.</t>
  </si>
  <si>
    <t>/管理维护/监控统计/日志中心/日志服务器/外发过滤(#19385)</t>
  </si>
  <si>
    <t>验证标准格式入侵防御日志过滤功能</t>
  </si>
  <si>
    <t>1、网元正常启动
2、配置静态路由保证日志服务器网络可达
3、开启日志服务器
4、配置开启入侵防御日志的日志过滤开关为不发送</t>
  </si>
  <si>
    <t>1. 持续向日志侦听端口写入入侵防御日志的日志，日志级别包含信息所有级别，观察日志服务器的日志接收。【check1】
2. 配置开启入侵防御日志的日志过滤开关为发送，发送日志级别仅发送信息的日志，观察日志服务器接收情况。【check2】
3. 配置开启入侵防御日志的日志过滤开关为发送，发送日志级别仅发送低危的日志，观察日志服务器接收情况。【check2】
4. 配置开启入侵防御日志的日志过滤开关为发送，发送日志级别仅发送中危的日志，观察日志服务器接收情况。【check2】
5. 配置开启入侵防御日志的日志过滤开关为发送，发送日志级别仅发送高危的日志，观察日志服务器接收情况。【check2】
6. 配置开启入侵防御日志的日志过滤开关为发送，发送日志级别仅发送严重的日志，观察日志服务器接收情况。【check2】
7. 配置开启入侵防御日志的日志过滤开关为发送，发送日志级别仅发送所有级别的日志，观察日志服务器接收情况。【check3】</t>
  </si>
  <si>
    <t>1. 【check1】日志服务器不能接收到任何入侵防御日志的日志
2. 【check2】日志服务器仅可以接收到该过滤级别的入侵防御日志，接收到日志的所有字段与写入的字段完全相同
3. 【check3】日志服务器可以接收到所有级别的入侵防御日志，接收到日志的所有字段与写入的字段完全相同
4. 
5. 
6. 
7.</t>
  </si>
  <si>
    <t>1. 
2. 
3. 
4. 
5. 
6. 
7.</t>
  </si>
  <si>
    <t>验证标准格式防病毒日志过滤功能</t>
  </si>
  <si>
    <t>1、网元正常启动
2、配置静态路由保证日志服务器网络可达
3、开启日志服务器
4、配置开启防病毒日志的日志过滤开关为不发送</t>
  </si>
  <si>
    <t>1. 持续向日志侦听端口写入防病毒日志的日志，日志级别包含信息所有级别，观察日志服务器的日志接收。【check1】
2. 配置开启防病毒日志的日志过滤开关为发送，发送日志级别仅发送信息的日志，观察日志服务器接收情况。【check2】
3. 配置开启防病毒日志的日志过滤开关为发送，发送日志级别仅发送低危的日志，观察日志服务器接收情况。【check2】
4. 配置开启防病毒日志的日志过滤开关为发送，发送日志级别仅发送中危的日志，观察日志服务器接收情况。【check2】
5. 配置开启防病毒日志的日志过滤开关为发送，发送日志级别仅发送高危的日志，观察日志服务器接收情况。【check2】
6. 配置开启防病毒日志的日志过滤开关为发送，发送日志级别仅发送严重的日志，观察日志服务器接收情况。【check2】
7. 配置开启防病毒日志的日志过滤开关为发送，发送日志级别仅发送所有级别的日志，观察日志服务器接收情况。【check3】</t>
  </si>
  <si>
    <t>1. 【check1】日志服务器不能接收到任何防病毒日志的日志
2. 【check2】日志服务器仅可以接收到该过滤级别的防病毒日志，接收到日志的所有字段与写入的字段完全相同
3. 【check3】日志服务器可以接收到所有级别的防病毒日志，接收到日志的所有字段与写入的字段完全相同
4. 
5. 
6. 
7.</t>
  </si>
  <si>
    <t>验证标准格式内容过滤日志过滤功能</t>
  </si>
  <si>
    <t>1、网元正常启动
2、配置静态路由保证日志服务器网络可达
3、开启日志服务器
4、配置开启内容过滤日志的日志过滤开关为不发送</t>
  </si>
  <si>
    <t>1. 持续向日志侦听端口写入内容过滤日志的日志，日志级别包含信息所有级别，观察日志服务器的日志接收。【check1】
2. 配置开启内容过滤日志的日志过滤开关为发送，发送日志级别仅发送信息的日志，观察日志服务器接收情况。【check2】
3. 配置开启内容过滤日志的日志过滤开关为发送，发送日志级别仅发送低危的日志，观察日志服务器接收情况。【check2】
4. 配置开启内容过滤日志的日志过滤开关为发送，发送日志级别仅发送中危的日志，观察日志服务器接收情况。【check2】
5. 配置开启内容过滤日志的日志过滤开关为发送，发送日志级别仅发送高危的日志，观察日志服务器接收情况。【check2】
6. 配置开启内容过滤日志的日志过滤开关为发送，发送日志级别仅发送严重的日志，观察日志服务器接收情况。【check2】
7. 配置开启内容过滤日志的日志过滤开关为发送，发送日志级别仅发送所有级别的日志，观察日志服务器接收情况。【check3】</t>
  </si>
  <si>
    <t>1. 【check1】日志服务器不能接收到任何内容过滤日志的日志
2. 【check2】日志服务器仅可以接收到该过滤级别的内容过滤日志，接收到日志的所有字段与写入的字段完全相同
3. 【check3】日志服务器可以接收到所有级别的内容过滤日志，接收到日志的所有字段与写入的字段完全相同
4. 
5. 
6. 
7.</t>
  </si>
  <si>
    <t>验证标准格式URL过滤日志过滤功能</t>
  </si>
  <si>
    <t>1、网元正常启动
2、配置静态路由保证日志服务器网络可达
3、开启日志服务器
4、配置开启URL过滤日志的日志过滤开关为不发送</t>
  </si>
  <si>
    <t>1. 持续向日志侦听端口写入URL过滤日志的日志，日志级别包含信息所有级别，观察日志服务器的日志接收。【check1】
2. 配置开启URL过滤日志的日志过滤开关为发送，发送日志级别仅发送信息的日志，观察日志服务器接收情况。【check2】
3. 配置开启URL过滤日志的日志过滤开关为发送，发送日志级别仅发送低危的日志，观察日志服务器接收情况。【check2】
4. 配置开启URL过滤日志的日志过滤开关为发送，发送日志级别仅发送中危的日志，观察日志服务器接收情况。【check2】
5. 配置开启URL过滤日志的日志过滤开关为发送，发送日志级别仅发送高危的日志，观察日志服务器接收情况。【check2】
6. 配置开启URL过滤日志的日志过滤开关为发送，发送日志级别仅发送严重的日志，观察日志服务器接收情况。【check2】
7. 配置开启URL过滤日志的日志过滤开关为发送，发送日志级别仅发送所有级别的日志，观察日志服务器接收情况。【check3】</t>
  </si>
  <si>
    <t>1. 【check1】日志服务器不能接收到任何URL过滤日志的日志
2. 【check2】日志服务器仅可以接收到该过滤级别的URL过滤日志，接收到日志的所有字段与写入的字段完全相同
3. 【check3】日志服务器可以接收到所有级别的URL过滤日志，接收到日志的所有字段与写入的字段完全相同
4. 
5. 
6. 
7.</t>
  </si>
  <si>
    <t>验证标准格式文件过滤日志过滤功能</t>
  </si>
  <si>
    <t>1、网元正常启动
2、配置静态路由保证日志服务器网络可达
3、开启日志服务器
4、配置开启文件过滤日志的日志过滤开关为不发送</t>
  </si>
  <si>
    <t>1. 持续向日志侦听端口写入文件过滤日志的日志，日志级别包含信息所有级别，观察日志服务器的日志接收。【check1】
2. 配置开启文件过滤日志的日志过滤开关为发送，发送日志级别仅发送信息的日志，观察日志服务器接收情况。【check2】
3. 配置开启文件过滤日志的日志过滤开关为发送，发送日志级别仅发送低危的日志，观察日志服务器接收情况。【check2】
4. 配置开启文件过滤日志的日志过滤开关为发送，发送日志级别仅发送中危的日志，观察日志服务器接收情况。【check2】
5. 配置开启文件过滤日志的日志过滤开关为发送，发送日志级别仅发送高危的日志，观察日志服务器接收情况。【check2】
6. 配置开启文件过滤日志的日志过滤开关为发送，发送日志级别仅发送严重的日志，观察日志服务器接收情况。【check2】
7. 配置开启文件过滤日志的日志过滤开关为发送，发送日志级别仅发送所有级别的日志，观察日志服务器接收情况。【check3】</t>
  </si>
  <si>
    <t>1. 【check1】日志服务器不能接收到任何文件过滤日志的日志
2. 【check2】日志服务器仅可以接收到该过滤级别的文件过滤日志，接收到日志的所有字段与写入的字段完全相同
3. 【check3】日志服务器可以接收到所有级别的文件过滤日志，接收到日志的所有字段与写入的字段完全相同
4. 
5. 
6. 
7.</t>
  </si>
  <si>
    <t>验证标准格式WEB防护日志过滤功能</t>
  </si>
  <si>
    <t>1、网元正常启动
2、配置静态路由保证日志服务器网络可达
3、开启日志服务器
4、配置开启WEB防护日志的日志过滤开关为不发送</t>
  </si>
  <si>
    <t>1. 持续向日志侦听端口写入WEB防护日志的日志，日志级别包含信息所有级别，观察日志服务器的日志接收。【check1】
2. 配置开启WEB防护日志的日志过滤开关为发送，发送日志级别仅发送信息的日志，观察日志服务器接收情况。【check2】
3. 配置开启WEB防护日志的日志过滤开关为发送，发送日志级别仅发送低危的日志，观察日志服务器接收情况。【check2】
4. 配置开启WEB防护日志的日志过滤开关为发送，发送日志级别仅发送中危的日志，观察日志服务器接收情况。【check2】
5. 配置开启WEB防护日志的日志过滤开关为发送，发送日志级别仅发送高危的日志，观察日志服务器接收情况。【check2】
6. 配置开启WEB防护日志的日志过滤开关为发送，发送日志级别仅发送严重的日志，观察日志服务器接收情况。【check2】
7. 配置开启WEB防护日志的日志过滤开关为发送，发送日志级别仅发送所有级别的日志，观察日志服务器接收情况。【check3】</t>
  </si>
  <si>
    <t>1. 【check1】日志服务器不能接收到任何WEB防护日志的日志
2. 【check2】日志服务器仅可以接收到该过滤级别的WEB防护日志，接收到日志的所有字段与写入的字段完全相同
3. 【check3】日志服务器可以接收到所有级别的WEB防护日志，接收到日志的所有字段与写入的字段完全相同
4. 
5. 
6. 
7.</t>
  </si>
  <si>
    <t>验证标准格式弱密码日志过滤功能</t>
  </si>
  <si>
    <t>1、网元正常启动
2、配置静态路由保证日志服务器网络可达
3、开启日志服务器
4、配置开启弱密码日志的日志过滤开关为不发送</t>
  </si>
  <si>
    <t>1. 持续向日志侦听端口写入弱密码日志的日志，日志级别包含信息所有级别，观察日志服务器的日志接收。【check1】
2. 配置开启弱密码日志的日志过滤开关为发送，发送日志级别仅发送信息的日志，观察日志服务器接收情况。【check2】
3. 配置开启弱密码日志的日志过滤开关为发送，发送日志级别仅发送低危的日志，观察日志服务器接收情况。【check2】
4. 配置开启弱密码日志的日志过滤开关为发送，发送日志级别仅发送中危的日志，观察日志服务器接收情况。【check2】
5. 配置开启弱密码日志的日志过滤开关为发送，发送日志级别仅发送高危的日志，观察日志服务器接收情况。【check2】
6. 配置开启弱密码日志的日志过滤开关为发送，发送日志级别仅发送严重的日志，观察日志服务器接收情况。【check2】
7. 配置开启弱密码日志的日志过滤开关为发送，发送日志级别仅发送所有级别的日志，观察日志服务器接收情况。【check3】</t>
  </si>
  <si>
    <t>1. 【check1】日志服务器不能接收到任何弱密码日志的日志
2. 【check2】日志服务器仅可以接收到该过滤级别的弱密码日志，接收到日志的所有字段与写入的字段完全相同
3. 【check3】日志服务器可以接收到所有级别的弱密码日志，接收到日志的所有字段与写入的字段完全相同
4. 
5. 
6. 
7.</t>
  </si>
  <si>
    <t>验证标准格式防暴力破解日志过滤功能</t>
  </si>
  <si>
    <t>1、网元正常启动
2、配置静态路由保证日志服务器网络可达
3、开启日志服务器
4、配置开启防暴力破解日志的日志过滤开关为不发送</t>
  </si>
  <si>
    <t>1. 持续向日志侦听端口写入防暴力破解日志的日志，日志级别包含信息所有级别，观察日志服务器的日志接收。【check1】
2. 配置开启防暴力破解日志的日志过滤开关为发送，发送日志级别仅发送信息的日志，观察日志服务器接收情况。【check2】
3. 配置开启防暴力破解日志的日志过滤开关为发送，发送日志级别仅发送低危的日志，观察日志服务器接收情况。【check2】
4. 配置开启防暴力破解日志的日志过滤开关为发送，发送日志级别仅发送中危的日志，观察日志服务器接收情况。【check2】
5. 配置开启防暴力破解日志的日志过滤开关为发送，发送日志级别仅发送高危的日志，观察日志服务器接收情况。【check2】
6. 配置开启防暴力破解日志的日志过滤开关为发送，发送日志级别仅发送严重的日志，观察日志服务器接收情况。【check2】
7. 配置开启防暴力破解日志的日志过滤开关为发送，发送日志级别仅发送所有级别的日志，观察日志服务器接收情况。【check3】</t>
  </si>
  <si>
    <t>1. 【check1】日志服务器不能接收到任何防暴力破解日志的日志
2. 【check2】日志服务器仅可以接收到该过滤级别的防暴力破解日志，接收到日志的所有字段与写入的字段完全相同
3. 【check3】日志服务器可以接收到所有级别的防暴力破解日志，接收到日志的所有字段与写入的字段完全相同
4. 
5. 
6. 
7.</t>
  </si>
  <si>
    <t>验证标准格式系统日志过滤功能</t>
  </si>
  <si>
    <t>1、网元正常启动
2、配置静态路由保证日志服务器网络可达
3、开启日志服务器
4、配置开启系统日志的日志过滤开关为不发送</t>
  </si>
  <si>
    <t>1. 持续向日志侦听端口写入系统日志的日志，日志级别包含调试所有级别，观察日志服务器的日志接收。【check1】
2. 配置开启系统日志的日志过滤开关为发送，发送日志级别仅发送调试的日志，观察日志服务器接收情况。【check2】
3. 配置开启系统日志的日志过滤开关为发送，发送日志级别仅发送信息的日志，观察日志服务器接收情况。【check2】
4. 配置开启系统日志的日志过滤开关为发送，发送日志级别仅发送警告的日志，观察日志服务器接收情况。【check2】
5. 配置开启系统日志的日志过滤开关为发送，发送日志级别仅发送错误的日志，观察日志服务器接收情况。【check2】
6. 配置开启系统日志的日志过滤开关为发送，发送日志级别仅发送致命错误的日志，观察日志服务器接收情况。【check2】
7. 配置开启系统日志的日志过滤开关为发送，发送日志级别仅发送严重错误的日志，观察日志服务器接收情况。【check2】
8. 配置开启系统日志的日志过滤开关为发送，发送日志级别仅发送所有级别的日志，观察日志服务器接收情况。【check3】</t>
  </si>
  <si>
    <t>1. 【check1】日志服务器不能接收到任何系统日志的日志
2. 【check2】日志服务器仅可以接收到该过滤级别的系统日志，接收到日志的所有字段与写入的字段完全相同
3. 【check3】日志服务器可以接收到所有级别的系统日志，接收到日志的所有字段与写入的字段完全相同
4. 
5. 
6. 
7. 
8.</t>
  </si>
  <si>
    <t>1. 
2. 
3. 
4. 
5. 
6. 
7. 
8.</t>
  </si>
  <si>
    <t>2024-10-22 19:00:20</t>
  </si>
  <si>
    <t>验证标准格式操作日志过滤功能</t>
  </si>
  <si>
    <t>1、网元正常启动
2、配置静态路由保证日志服务器网络可达
3、开启日志服务器
4、配置开启操作日志的日志过滤开关为不发送</t>
  </si>
  <si>
    <t>1. 持续向日志侦听端口写入操作日志的日志，日志级别包含调试所有级别，观察日志服务器的日志接收。【check1】
2. 配置开启操作日志的日志过滤开关为发送，发送日志级别仅发送调试的日志，观察日志服务器接收情况。【check2】
3. 配置开启操作日志的日志过滤开关为发送，发送日志级别仅发送信息的日志，观察日志服务器接收情况。【check2】
4. 配置开启操作日志的日志过滤开关为发送，发送日志级别仅发送警告的日志，观察日志服务器接收情况。【check2】
5. 配置开启操作日志的日志过滤开关为发送，发送日志级别仅发送错误的日志，观察日志服务器接收情况。【check2】
6. 配置开启操作日志的日志过滤开关为发送，发送日志级别仅发送致命错误的日志，观察日志服务器接收情况。【check2】
7. 配置开启操作日志的日志过滤开关为发送，发送日志级别仅发送严重错误的日志，观察日志服务器接收情况。【check2】
8. 配置开启操作日志的日志过滤开关为发送，发送日志级别仅发送所有级别的日志，观察日志服务器接收情况。【check3】</t>
  </si>
  <si>
    <t>1. 【check1】日志服务器不能接收到任何操作日志的日志
2. 【check2】日志服务器仅可以接收到该过滤级别的操作日志，接收到日志的所有字段与写入的字段完全相同
3. 【check3】日志服务器可以接收到所有级别的操作日志，接收到日志的所有字段与写入的字段完全相同
4. 
5. 
6. 
7. 
8.</t>
  </si>
  <si>
    <t>验证标准格式单包防护日志过滤功能</t>
  </si>
  <si>
    <t>1、网元正常启动
2、配置静态路由保证日志服务器网络可达
3、开启日志服务器</t>
  </si>
  <si>
    <t>1. 持续向日志侦听端口写入单包防护日志的日志
2. 配置开启单包防护日志的日志过滤开关为不发送，发送日志级别仅发送$[过滤级别]的日志，观察日志服务器接收情况。【check1】
3. 配置开启单包防护日志的日志过滤开关为发送，观察日志服务器接收情况。【check3】</t>
  </si>
  <si>
    <t>1. 【check1】日志服务器不能接收到任何单包防护日志的日志
2. 【check2】日志服务器可以接收到单包防护日志的日志，接收到日志的所有字段与写入的字段完全相同
3.</t>
  </si>
  <si>
    <t>验证标准格式Flood攻击日志过滤功能</t>
  </si>
  <si>
    <t>1. 持续向日志侦听端口写入Flood攻击日志的日志
2. 配置开启Flood攻击日志的日志过滤开关为不发送，发送日志级别仅发送$[过滤级别]的日志，观察日志服务器接收情况。【check1】
3. 配置开启Flood攻击日志的日志过滤开关为发送，观察日志服务器接收情况。【check3】</t>
  </si>
  <si>
    <t>1. 【check1】日志服务器不能接收到任何Flood攻击日志的日志
2. 【check2】日志服务器可以接收到Flood攻击日志的日志，接收到日志的所有字段与写入的字段完全相同
3.</t>
  </si>
  <si>
    <t>验证标准格式黑白名单日志过滤功能</t>
  </si>
  <si>
    <t>1. 持续向日志侦听端口写入黑白名单日志的日志
2. 配置开启黑白名单日志的日志过滤开关为不发送，发送日志级别仅发送$[过滤级别]的日志，观察日志服务器接收情况。【check1】
3. 配置开启黑白名单日志的日志过滤开关为发送，观察日志服务器接收情况。【check3】</t>
  </si>
  <si>
    <t>1. 【check1】日志服务器不能接收到任何黑白名单日志的日志
2. 【check2】日志服务器可以接收到黑白名单日志的日志，接收到日志的所有字段与写入的字段完全相同
3.</t>
  </si>
  <si>
    <t>验证标准格式EDR推广日志过滤功能</t>
  </si>
  <si>
    <t>1. 持续向日志侦听端口写入EDR推广日志的日志
2. 配置开启EDR推广日志的日志过滤开关为不发送，发送日志级别仅发送$[过滤级别]的日志，观察日志服务器接收情况。【check1】
3. 配置开启EDR推广日志的日志过滤开关为发送，观察日志服务器接收情况。【check3】</t>
  </si>
  <si>
    <t>1. 【check1】日志服务器不能接收到任何EDR推广日志的日志
2. 【check2】日志服务器可以接收到EDR推广日志的日志，接收到日志的所有字段与写入的字段完全相同
3.</t>
  </si>
  <si>
    <t>验证标准格式IPSecVpn日志过滤功能</t>
  </si>
  <si>
    <t>1. 持续向日志侦听端口写入IPSecVpn日志的日志
2. 配置开启IPSecVpn日志的日志过滤开关为不发送，发送日志级别仅发送$[过滤级别]的日志，观察日志服务器接收情况。【check1】
3. 配置开启IPSecVpn日志的日志过滤开关为发送，观察日志服务器接收情况。【check3】</t>
  </si>
  <si>
    <t>1. 【check1】日志服务器不能接收到任何IPSecVpn日志的日志
2. 【check2】日志服务器可以接收到IPSecVpn日志的日志，接收到日志的所有字段与写入的字段完全相同
3.</t>
  </si>
  <si>
    <t>/管理维护/监控统计/日志中心/日志服务器/日志外发格式(#19386)</t>
  </si>
  <si>
    <t>验证电网日志模式时IPv4用户日志外发功能</t>
  </si>
  <si>
    <t>1、防火墙正常启动
2、日志服务器正常启动，并且防火墙到日志服务器路由可达</t>
  </si>
  <si>
    <t>1. 后台命令配置网元的日志模式为电网日志模式。
2. 在防火墙上构造用户登录日志，在日志服务器上观察防火墙外发的日志格式【check1】
3. 在防火墙上构造用户登出日志，在日志服务器上观察防火墙外发的日志格式【check2】
4. 在防火墙上构造用户登录失败日志，在日志服务器上观察防火墙外发的日志格式【check3】</t>
  </si>
  <si>
    <t>1. 【check1】告警级别为告知(5)、类型为0、子类型为1、内容为“用户名&lt;空格&gt;源地址”
2. 【check2】告警级别为告知(5)、类型为0、子类型为2、内容为“用户名&lt;空格&gt;源地址”
3. 【check3】告警级别为一般(4)、类型为0、子类型为3、内容为“用户名&lt;空格&gt;源地址”
4.</t>
  </si>
  <si>
    <t>正常</t>
  </si>
  <si>
    <t>肖洋</t>
  </si>
  <si>
    <t>2024-09-10 14:37:12</t>
  </si>
  <si>
    <t>通过</t>
  </si>
  <si>
    <t>2024-02-27 11:46:45</t>
  </si>
  <si>
    <t>2024-10-22 17:14:58</t>
  </si>
  <si>
    <t>TGFW-V6R01C00SPC500</t>
  </si>
  <si>
    <t>TGFW</t>
  </si>
  <si>
    <t>验证电网日志模式时IPv6用户日志外发功能</t>
  </si>
  <si>
    <t>朱玮泽</t>
  </si>
  <si>
    <t>2024-02-28 15:30:18</t>
  </si>
  <si>
    <t>失败</t>
  </si>
  <si>
    <t>验证电网日志模式时CPU利用率日志外发功能</t>
  </si>
  <si>
    <t>1. 后台命令配置网元的日志模式为电网日志模式。
2. 在防火墙上构造CPU使用率超限日志，在日志服务器上观察防火墙外发的日志格式【check1】
3. 在防火墙上构造CPU使用率恢复日志，在日志服务器上观察防火墙外发的日志格式【check1】</t>
  </si>
  <si>
    <t>1. 【check1】告警级别为告知(5)、类型为1、子类型为1、内容为“利用率百分比”
2. 
3.</t>
  </si>
  <si>
    <t>2024-02-27 17:50:49</t>
  </si>
  <si>
    <t>验证电网日志模式时内存使用率日志外发功能</t>
  </si>
  <si>
    <t>1. 后台命令配置网元的日志模式为电网日志模式。
2. 在防火墙上构造内存使用率超限日志，在日志服务器上观察防火墙外发的日志格式【check1】
3. 在防火墙上构造内存使用率恢复日志，在日志服务器上观察防火墙外发的日志格式【check1】</t>
  </si>
  <si>
    <t>1. 【check1】告警级别为告知(5)、类型为1、子类型为2、内容为“利用率百分比”
2. 
3.</t>
  </si>
  <si>
    <t>2024-02-27 17:52:32</t>
  </si>
  <si>
    <t>验证电网日志模式时温度异常日志外发功能</t>
  </si>
  <si>
    <t>1. 后台命令配置网元的日志模式为电网日志模式。
2. 在防火墙上构造温度异常日志，在日志服务器上观察防火墙外发的日志格式【check1】
3. 在防火墙上构造温度异常恢复日志，在日志服务器上观察防火墙外发的日志格式【check1】</t>
  </si>
  <si>
    <t>1. 【check1】告警级别为紧急(1)、类型为1、子类型为5、内容为“温度超限描述和具体温度”
2. 
3.</t>
  </si>
  <si>
    <t>2024-02-27 17:52:42</t>
  </si>
  <si>
    <t>验证电网日志模式时网口状态日志外发功能</t>
  </si>
  <si>
    <t>1. 后台命令配置网元的日志模式为电网日志模式。
2. 在防火墙上构造物理口状态异常日志，在日志服务器上观察防火墙外发的日志格式【check1】
3. 在防火墙上构造物理口状态恢复日志，在日志服务器上观察防火墙外发的日志格式【check2】
4. 在防火墙上构造逻辑口状态异常日志，在日志服务器上观察防火墙外发的日志格式【check1】
5. 在防火墙上构造逻辑口状态恢复日志，在日志服务器上观察防火墙外发的日志格式【check2】</t>
  </si>
  <si>
    <t>1. 【check1】告警级别为重要(4)、类型为1、子类型为7、内容为“接口名称和状态”
2. 【check2】告警级别为重要(4)、类型为1、子类型为8、内容为“接口名称和状态”
3. 
4. 
5.</t>
  </si>
  <si>
    <t>2024-02-29 17:28:48</t>
  </si>
  <si>
    <t>验证电网日志模式时IPv4访问控制策略变化日志外发功能</t>
  </si>
  <si>
    <t>1. 后台命令配置网元的日志模式为电网日志模式。
2. 在防火墙上构造添加IPv4访问控制策略日志，在日志服务器上观察防火墙外发的日志格式【check1】
3. 在防火墙上构造修改IPv4访问控制策略日志，在日志服务器上观察防火墙外发的日志格式【check1】
4. 在防火墙上构造删除IPv4访问控制策略日志，在日志服务器上观察防火墙外发的日志格式【check2】</t>
  </si>
  <si>
    <t>1. 【check1】告警级别为告知(4)、类型为0、子类型为4、内容为“用户名&lt;空格&gt;源地址&lt;空格&gt;修改内容（包含策略 ID）”
2. 
3. 
4.</t>
  </si>
  <si>
    <t>验证电网日志模式时IPv6访问控制策略变化日志外发功能</t>
  </si>
  <si>
    <t>1. 后台命令配置网元的日志模式为电网日志模式。
2. 在防火墙上构造添加IPv6访问控制策略日志，在日志服务器上观察防火墙外发的日志格式【check1】
3. 在防火墙上构造修改IPv6访问控制策略日志，在日志服务器上观察防火墙外发的日志格式【check1】
4. 在防火墙上构造删除IPv6访问控制策略日志，在日志服务器上观察防火墙外发的日志格式【check2】</t>
  </si>
  <si>
    <t>2024-02-27 17:53:21</t>
  </si>
  <si>
    <t>阻塞</t>
  </si>
  <si>
    <t>验证电网日志模式时不符合安全策略访问日志外发功能</t>
  </si>
  <si>
    <t>1. 后台命令配置网元的日志模式为电网日志模式。
2. 在防火墙上构造IPv4控制策略阻断日志日志，在日志服务器上观察防火墙外发的日志格式【check1】
3. 在防火墙上构造IPv6控制策略阻断日志日志，在日志服务器上观察防火墙外发的日志格式【check1】</t>
  </si>
  <si>
    <t>1. 【check1】告警级别为重要(2)、类型为3、子类型为1、内容为“协议&lt;空格&gt;源 IP 地址&lt;空格&gt;源端口&lt;空格&gt;目的 IP 地址&lt;空格&gt;目的端口”
2. 
3.</t>
  </si>
  <si>
    <t>验证电网日志模式时安全攻击日志外发功能</t>
  </si>
  <si>
    <t>1. 后台命令配置网元的日志模式为电网日志模式，并在防火墙日志过滤中配置配置发送所有安全日志,
2. 在防火墙上构造IPv4地址任意安全攻击日志，在日志服务器观察该额接收到的日志【check1】【check2】
3. 在防火墙上构造IPv6地址任意安全攻击日志，在日志服务器观察该额接收到的日志【check1】【check2】</t>
  </si>
  <si>
    <t>1. 【check1】新产生的安全攻击日志可以被接收到
2. 【check2】告警级别为紧急(1),类型为3,子类型为2,内容为“协议&lt;空格&gt;攻击类型&lt;空格&gt;攻击源 IP 地址&lt;空格&gt;攻击源端口&lt;空格&gt;攻击目标IP 地址&lt;空格&gt;攻击目标端口”
3.</t>
  </si>
  <si>
    <t>验证电网日志模式时系统日志外发过滤功能</t>
  </si>
  <si>
    <t>1. 后台命令配置网元的日志模式为电网日志模式。
2. 配置防火墙日志过滤，选择系统日志为不发送。
3. 在设备上个构造用户登录日志（登录成功、登录失败和登出日志），在日志服务器上观察日志接收情况。【check1】
4. 在设备上个构造CPU使用率日志，在日志服务器上观察日志接收情况。【check1】
5. 在设备上个构造内存使用率日志，在日志服务器上观察日志接收情况。【check1】
6. 在设备上个构造温度异常日志，在日志服务器上观察日志接收情况。【check1】
7. 在设备上个构造网口状态日志（网口异常或网口恢复），在日志服务器上观察日志接收情况。【check1】</t>
  </si>
  <si>
    <t>1. 【check1】日志服务器不会接收到构造的日志系统日志。
2. 
3. 
4. 
5. 
6. 
7.</t>
  </si>
  <si>
    <t>2024-02-27 19:13:38</t>
  </si>
  <si>
    <t>验证电网日志模式时操作日志外发过滤功能</t>
  </si>
  <si>
    <t>1. 后台命令配置网元的日志模式为电网日志模式。
2. 配置防火墙日志过滤，选择操作日志为不发送。
3. 在设备上个构造IPv4访问控制策略变化日志，在日志服务器上观察日志接收情况。【check1】
4. 在设备上个构造IPv6访问控制策略变化日志，在日志服务器上观察日志接收情况。【check1】
5. 配置防火墙的日志过滤，选择操作日志为要发送。
6. 在设备上个构造IPv4访问控制策略变化日志，在日志服务器上观察日志接收情况。【check2】
7. 在设备上个构造IPv6访问控制策略变化日志，在日志服务器上观察日志接收情况。【check2】</t>
  </si>
  <si>
    <t>1. 【check1】日志服务器不会接收到构造的日志系统日志。
2. 【check2】日志服务器可以接收到构造的日志系统日志。
3. 
4. 
5. 
6. 
7.</t>
  </si>
  <si>
    <t>验证电网日志模式时控制策略阻断日志外发过滤功能</t>
  </si>
  <si>
    <t>1. 后台命令配置网元的日志模式为电网日志模式。
2. 配置防火墙日志过滤，选择控制策略阻断日志为不发送。
3. 在设备上个构造IPv4控制策略阻断日志，在日志服务器上观察日志接收情况。【check1】
4. 在设备上个构造IPv6控制策略阻断日志，在日志服务器上观察日志接收情况。【check1】
5. 配置防火墙的日志过滤，选择控制策略阻断日志为要发送。
6. 在设备上个构造IPv4控制策略阻断日志，在日志服务器上观察日志接收情况。【check2】
7. 在设备上个构造IPv6控制策略阻断日志，在日志服务器上观察日志接收情况。【check2】</t>
  </si>
  <si>
    <t>2024-02-28 11:16:03</t>
  </si>
  <si>
    <t>验证电网日志模式时入侵防护外发过滤功能</t>
  </si>
  <si>
    <t>1. 后台命令配置网元的日志模式为电网日志模式。
2. 在防火墙日志过滤中选择入侵防护日志为要发送
3. 在防火墙上构造该入侵防护日志，并在日志服务器观察该额接收到的日志【check1】【check2】
4. 在防火墙日志过滤中选择入侵防护日志为不发送
5. 在防火墙上构造该入侵防护日志，并在日志服务器观察该额接收到的日志【check3】</t>
  </si>
  <si>
    <t>1. 【check1】新产生的入侵防护日志可以被接收到
2. 【check2】告警级别为紧急(1),类型为3,子类型为2,内容为“协议&lt;空格&gt;攻击类型&lt;空格&gt;攻击源 IP 地址&lt;空格&gt;攻击源端口&lt;空格&gt;攻击目标IP 地址&lt;空格&gt;攻击目标端口”
3. 【check3】新产生的入侵防护日志在日志服务器上不能接受到
4. 
5.</t>
  </si>
  <si>
    <t>验证电网日志模式时防病毒外发过滤功能</t>
  </si>
  <si>
    <t>1. 后台命令配置网元的日志模式为电网日志模式。
2. 在防火墙日志过滤中选择防病毒日志为要发送
3. 在防火墙上构造该防病毒日志，并在日志服务器观察该额接收到的日志【check1】【check2】
4. 在防火墙日志过滤中选择防病毒日志为不发送
5. 在防火墙上构造该防病毒日志，并在日志服务器观察该额接收到的日志【check3】</t>
  </si>
  <si>
    <t>1. 【check1】新产生的防病毒日志可以被接收到
2. 【check2】告警级别为紧急(1),类型为3,子类型为2,内容为“协议&lt;空格&gt;攻击类型&lt;空格&gt;攻击源 IP 地址&lt;空格&gt;攻击源端口&lt;空格&gt;攻击目标IP 地址&lt;空格&gt;攻击目标端口”
3. 【check3】新产生的防病毒日志在日志服务器上不能接受到
4. 
5.</t>
  </si>
  <si>
    <t>江元芮</t>
  </si>
  <si>
    <t>2024-09-25 15:57:49</t>
  </si>
  <si>
    <t>验证电网日志模式时内容过滤外发过滤功能</t>
  </si>
  <si>
    <t>1. 后台命令配置网元的日志模式为电网日志模式。
2. 在防火墙日志过滤中选择内容过滤日志为要发送
3. 在防火墙上构造该内容过滤日志，并在日志服务器观察该额接收到的日志【check1】【check2】
4. 在防火墙日志过滤中选择内容过滤日志为不发送
5. 在防火墙上构造该内容过滤日志，并在日志服务器观察该额接收到的日志【check3】</t>
  </si>
  <si>
    <t>1. 【check1】新产生的内容过滤日志可以被接收到
2. 【check2】告警级别为紧急(1),类型为3,子类型为2,内容为“协议&lt;空格&gt;攻击类型&lt;空格&gt;攻击源 IP 地址&lt;空格&gt;攻击源端口&lt;空格&gt;攻击目标IP 地址&lt;空格&gt;攻击目标端口”
3. 【check3】新产生的内容过滤日志在日志服务器上不能接受到
4. 
5.</t>
  </si>
  <si>
    <t>2024-02-28 14:17:18</t>
  </si>
  <si>
    <t>验证电网日志模式时文件过滤外发过滤功能</t>
  </si>
  <si>
    <t>1. 后台命令配置网元的日志模式为电网日志模式。
2. 在防火墙日志过滤中选择文件过滤日志为要发送
3. 在防火墙上构造该文件过滤日志，并在日志服务器观察该额接收到的日志【check1】【check2】
4. 在防火墙日志过滤中选择文件过滤日志为不发送
5. 在防火墙上构造该文件过滤日志，并在日志服务器观察该额接收到的日志【check3】</t>
  </si>
  <si>
    <t>1. 【check1】新产生的文件过滤日志可以被接收到
2. 【check2】告警级别为紧急(1),类型为3,子类型为2,内容为“协议&lt;空格&gt;攻击类型&lt;空格&gt;攻击源 IP 地址&lt;空格&gt;攻击源端口&lt;空格&gt;攻击目标IP 地址&lt;空格&gt;攻击目标端口”
3. 【check3】新产生的文件过滤日志在日志服务器上不能接受到
4. 
5.</t>
  </si>
  <si>
    <t>2024-02-28 14:37:00</t>
  </si>
  <si>
    <t>验证电网日志模式时URL过滤外发过滤功能</t>
  </si>
  <si>
    <t>1. 后台命令配置网元的日志模式为电网日志模式。
2. 在防火墙日志过滤中选择URL过滤日志为要发送
3. 在防火墙上构造该URL过滤日志，并在日志服务器观察该额接收到的日志【check1】【check2】
4. 在防火墙日志过滤中选择URL过滤日志为不发送
5. 在防火墙上构造该URL过滤日志，并在日志服务器观察该额接收到的日志【check3】</t>
  </si>
  <si>
    <t>1. 【check1】新产生的URL过滤日志可以被接收到
2. 【check2】告警级别为紧急(1),类型为3,子类型为2,内容为“协议&lt;空格&gt;攻击类型&lt;空格&gt;攻击源 IP 地址&lt;空格&gt;攻击源端口&lt;空格&gt;攻击目标IP 地址&lt;空格&gt;攻击目标端口”
3. 【check3】新产生的URL过滤日志在日志服务器上不能接受到
4. 
5.</t>
  </si>
  <si>
    <t>2024-02-29 17:44:12</t>
  </si>
  <si>
    <t>验证电网日志模式时WEB防护外发过滤功能</t>
  </si>
  <si>
    <t>1. 后台命令配置网元的日志模式为电网日志模式。
2. 在防火墙日志过滤中选择WEB防护日志为要发送
3. 在防火墙上构造该WEB防护日志，并在日志服务器观察该额接收到的日志【check1】【check2】
4. 在防火墙日志过滤中选择WEB防护日志为不发送
5. 在防火墙上构造该WEB防护日志，并在日志服务器观察该额接收到的日志【check3】</t>
  </si>
  <si>
    <t>1. 【check1】新产生的WEB防护日志可以被接收到
2. 【check2】告警级别为紧急(1),类型为3,子类型为2,内容为“协议&lt;空格&gt;攻击类型&lt;空格&gt;攻击源 IP 地址&lt;空格&gt;攻击源端口&lt;空格&gt;攻击目标IP 地址&lt;空格&gt;攻击目标端口”
3. 【check3】新产生的WEB防护日志在日志服务器上不能接受到
4. 
5.</t>
  </si>
  <si>
    <t>2024-02-28 14:43:58</t>
  </si>
  <si>
    <t>验证电网日志模式时防暴力破解外发过滤功能</t>
  </si>
  <si>
    <t>1. 后台命令配置网元的日志模式为电网日志模式。
2. 在防火墙日志过滤中选择防暴力破解日志为要发送
3. 在防火墙上构造该防暴力破解日志，并在日志服务器观察该额接收到的日志【check1】【check2】
4. 在防火墙日志过滤中选择防暴力破解日志为不发送
5. 在防火墙上构造该防暴力破解日志，并在日志服务器观察该额接收到的日志【check3】</t>
  </si>
  <si>
    <t>1. 【check1】新产生的防暴力破解日志可以被接收到
2. 【check2】告警级别为紧急(1),类型为3,子类型为2,内容为“协议&lt;空格&gt;攻击类型&lt;空格&gt;攻击源 IP 地址&lt;空格&gt;攻击源端口&lt;空格&gt;攻击目标IP 地址&lt;空格&gt;攻击目标端口”
3. 【check3】新产生的防暴力破解日志在日志服务器上不能接受到
4. 
5.</t>
  </si>
  <si>
    <t>2024-02-28 14:50:04</t>
  </si>
  <si>
    <t>验证电网日志模式时弱密码外发过滤功能</t>
  </si>
  <si>
    <t>1. 后台命令配置网元的日志模式为电网日志模式。
2. 在防火墙日志过滤中选择弱密码日志为要发送
3. 在防火墙上构造该弱密码日志，并在日志服务器观察该额接收到的日志【check1】【check2】
4. 在防火墙日志过滤中选择弱密码日志为不发送
5. 在防火墙上构造该弱密码日志，并在日志服务器观察该额接收到的日志【check3】</t>
  </si>
  <si>
    <t>1. 【check1】新产生的弱密码日志可以被接收到
2. 【check2】告警级别为紧急(1),类型为3,子类型为2,内容为“协议&lt;空格&gt;攻击类型&lt;空格&gt;攻击源 IP 地址&lt;空格&gt;攻击源端口&lt;空格&gt;攻击目标IP 地址&lt;空格&gt;攻击目标端口”
3. 【check3】新产生的弱密码日志在日志服务器上不能接受到
4. 
5.</t>
  </si>
  <si>
    <t>2024-02-28 18:14:16</t>
  </si>
  <si>
    <t>验证电网日志模式时单包防护外发过滤功能</t>
  </si>
  <si>
    <t>1. 后台命令配置网元的日志模式为电网日志模式。
2. 在防火墙日志过滤中选择单包防护日志为要发送
3. 在防火墙上构造该单包防护日志，并在日志服务器观察该额接收到的日志【check1】【check2】
4. 在防火墙日志过滤中选择单包防护日志为不发送
5. 在防火墙上构造该单包防护日志，并在日志服务器观察该额接收到的日志【check3】</t>
  </si>
  <si>
    <t>1. 【check1】新产生的单包防护日志可以被接收到
2. 【check2】告警级别为紧急(1),类型为3,子类型为2,内容为“协议&lt;空格&gt;攻击类型&lt;空格&gt;攻击源 IP 地址&lt;空格&gt;攻击源端口&lt;空格&gt;攻击目标IP 地址&lt;空格&gt;攻击目标端口”
3. 【check3】新产生的单包防护日志在日志服务器上不能接受到
4. 
5.</t>
  </si>
  <si>
    <t>2024-02-28 18:23:40</t>
  </si>
  <si>
    <t>验证电网日志模式时Flood攻击外发过滤功能</t>
  </si>
  <si>
    <t>1. 后台命令配置网元的日志模式为电网日志模式。
2. 在防火墙日志过滤中选择Flood攻击日志为要发送
3. 在防火墙上构造该Flood攻击日志，并在日志服务器观察该额接收到的日志【check1】【check2】
4. 在防火墙日志过滤中选择Flood攻击日志为不发送
5. 在防火墙上构造该Flood攻击日志，并在日志服务器观察该额接收到的日志【check3】</t>
  </si>
  <si>
    <t>1. 【check1】新产生的Flood攻击日志可以被接收到
2. 【check2】告警级别为紧急(1),类型为3,子类型为2,内容为“协议&lt;空格&gt;攻击类型&lt;空格&gt;攻击源 IP 地址&lt;空格&gt;攻击源端口&lt;空格&gt;攻击目标IP 地址&lt;空格&gt;攻击目标端口”
3. 【check3】新产生的Flood攻击日志在日志服务器上不能接受到
4. 
5.</t>
  </si>
  <si>
    <t>2024-02-29 10:30:22</t>
  </si>
  <si>
    <t>验证电网日志模式时黑名单外发过滤功能</t>
  </si>
  <si>
    <t>1. 后台命令配置网元的日志模式为电网日志模式。
2. 在防火墙日志过滤中选择黑名单日志为要发送
3. 在防火墙上构造该黑名单日志，并在日志服务器观察该额接收到的日志【check1】【check2】
4. 在防火墙日志过滤中选择黑名单日志为不发送
5. 在防火墙上构造该黑名单日志，并在日志服务器观察该额接收到的日志【check3】</t>
  </si>
  <si>
    <t>1. 【check1】新产生的黑名单日志可以被接收到
2. 【check2】告警级别为紧急(1),类型为3,子类型为2,内容为“协议&lt;空格&gt;攻击类型&lt;空格&gt;攻击源 IP 地址&lt;空格&gt;攻击源端口&lt;空格&gt;攻击目标IP 地址&lt;空格&gt;攻击目标端口”
3. 【check3】新产生的黑名单日志在日志服务器上不能接受到
4. 
5.</t>
  </si>
  <si>
    <t>2024-02-29 19:30:25</t>
  </si>
  <si>
    <t>验证电网日志模式时EDR推广外发过滤功能</t>
  </si>
  <si>
    <t>1. 后台命令配置网元的日志模式为电网日志模式。
2. 在防火墙日志过滤中选择EDR推广日志为要发送
3. 在防火墙上构造该EDR推广日志，并在日志服务器观察该额接收到的日志【check1】【check2】
4. 在防火墙日志过滤中选择EDR推广日志为不发送
5. 在防火墙上构造该EDR推广日志，并在日志服务器观察该额接收到的日志【check3】</t>
  </si>
  <si>
    <t>1. 【check1】新产生的EDR推广日志可以被接收到
2. 【check2】告警级别为紧急(1),类型为3,子类型为2,内容为“协议&lt;空格&gt;攻击类型&lt;空格&gt;攻击源 IP 地址&lt;空格&gt;攻击源端口&lt;空格&gt;攻击目标IP 地址&lt;空格&gt;攻击目标端口”
3. 【check3】新产生的EDR推广日志在日志服务器上不能接受到
4. 
5.</t>
  </si>
  <si>
    <t>2024-02-29 18:52:21</t>
  </si>
  <si>
    <t>验证电网日志模式时不支持日志外发过滤功能</t>
  </si>
  <si>
    <t>1. 后台命令配置网元的日志模式为电网日志模式。
2. 配置防火墙日志，所有日志的选项均为要发送。
3. 在设备上个构造流量日志（NAT日志和流日志），在日志服务器上观察日志接收情况。【check1】
4. 在设备上个构造不支持的电网发送的系统日志（HA异常、进程异常等），在日志服务器上观察日志接收情况。【check1】
5. 在设备上个构造非访问控制策略的操作日志，在日志服务器上观察日志接收情况。【check1】</t>
  </si>
  <si>
    <t>1. 
2. 
3. 
4. 
5. 【check1】日志服务器不会接收到构造的日志系统日志。</t>
  </si>
  <si>
    <t>2024-02-27 19:25:49</t>
  </si>
  <si>
    <t>验证电网日志模式下大量的日志往外发功能</t>
  </si>
  <si>
    <t>1. 后台命令配置网元的日志模式为电网格式。
2. 配置防火墙日志过滤，选择所有日志为要发送。
3. 打入流量产生大量的安全日志和策略阻断日志，同时进行挂脚本进行安全策略修改，使每s钟产生的日志接近200条左右。
4. 观察防火墙状态。【check1】【check2】
5. 在日志服务器观察接收到的日志。【check3】</t>
  </si>
  <si>
    <t>1. 【check1】influxd，dbtask，agent进程占用内存和CPU使用率增加合理，且无内存泄漏。
2. 【check2】网元可以正常进行访问和操作。
3. 【check3】日志服务器可以接收到产生的日志。且格式正确。
4. 
5.</t>
  </si>
  <si>
    <t>2024-03-01 13:51:08</t>
  </si>
  <si>
    <t>TGFW-V6R01C00SPC600</t>
  </si>
  <si>
    <t>验证日志格式配置功能</t>
  </si>
  <si>
    <t>1. 新安装设备，查看日志格式，并观察/appdata/etc目录【check1】
2. 使用set logformat修改日志格式为电网格式后查询日志格式，并观察/appdata/etc目录【check2】
3. 使用set logformat修改日志格式为s6000_fw格式后查询日志格式，并观察/appdata/etc目录【check2】
4. 使用set logformat修改日志格式为s6000_ips格式后查询日志格式，并观察/appdata/etc目录【check2】
5. 使用set logformat修改日志格式为标准格式后查询日志格式，并观察/appdata/etc目录【check1】</t>
  </si>
  <si>
    <t>1. 【check1】日志格式标准格式，/appdata/etc目录下没有dianlilog_mark,s6000_fw_mark,s6000_ips_mark任意一个文件
2. 【check2】日志格式电网格式，/appdata/etc目录下存在dianlilog_mark文件，不存在,s6000_fw_mark,s6000_ips_mark
3. 【check3】日志格式s6000_fw格式，/appdata/etc目录下存在s6000_fw_mark文件，不存在dianlilog_mark和,s6000_ips_mark
4. 【check4】日志格式为s6000_ips格式，/appdata/etc目录下存在s6000_ips_mark文件，不存在,dianlilog_mark和s6000_fw_mark
5.</t>
  </si>
  <si>
    <t>P1</t>
  </si>
  <si>
    <t>2024-05-22 18:30:31</t>
  </si>
  <si>
    <t>验证电网日志格式开关导入和导出功能</t>
  </si>
  <si>
    <t>1. 在防火墙上配置日志外发模式为任意非默认的格式。
2. 导出系统配置。【check1】
3. 在防火墙上配置日志格式为任意其他格式。
4. 导入步骤2中导出的配置，设备启动后观察日志外发格式。【check2】
5. 在设备上构造任意需要外发的日志，在服务器上观察接收到的日志。【check3】</t>
  </si>
  <si>
    <t>1. 【check1】配置正常导出
2. 【check2】日志正常导出，导出的日志格式正确。
3. 【check3】服务器上收到的日志格式与导入配置的格式相同。
4. 
5.</t>
  </si>
  <si>
    <t>2024-07-19 14:46:35</t>
  </si>
  <si>
    <t>验证反复修改日志格式后日志外发功能正常</t>
  </si>
  <si>
    <t>1、防火墙正常启动
2、日志服务器正常启动，并且防火墙到日志服务器路由可达
3、在防火墙上配置日志外发格式为任意格式。</t>
  </si>
  <si>
    <t>1. 在设备上构造任意需要外发的日志，在服务器上观察接收到的日志。【check1】
2. 在设备上持续同时构造普通格式、电网格式、s6000_fw格式和s6000_ips需要外发的日志，在日志服务器上观察接收到的日志。【check2】
3. 反复修改日志格式为普通格式、电网格式、s6000_fw格式和s6000_ips格式200次以上，观察日设备运行情况。【check3】
4. 在日志服务器上观察接收到的日志。【check4】</t>
  </si>
  <si>
    <t>1. 【check1】服务器上接收到的日志格式正确。
2. 【check2】在步骤1配置的日志格式下支持外发的日志与配置的格式相同。步骤1中配置的日志格式不支持外发的日志发送的日志为标准格式。
3. 【check3】设备无异常重启，CPU和内存占用不会增加
4. 【check4】在步骤3最后配置的日志格式下支持外发的日志与配置的格式相同。步骤3中最后配置的日志格式不支持外发的日志发送的日志为标准格式。</t>
  </si>
  <si>
    <t>2024-07-22 11:48:18</t>
  </si>
  <si>
    <t>验证电网日志格式重启恢复</t>
  </si>
  <si>
    <t>1. 在设备上构造任意需要外发的日志，在服务器上观察接收到的日志。【check1】
2. 在设备上持续同时构造普通格式、电网格式、s6000_fw格式和s6000_ips需要外发的日志，在日志服务器上观察接收到的日志。【check2】
3. 重启防火墙，防火墙启动后观察日志格式【check1】
4. 配置设备日志格式为任意其他格式，在服务器上观察接收到的日志。【check3】【check4】</t>
  </si>
  <si>
    <t>1. 【check1】服务器上接收到的日志格式正确。
2. 【check2】在步骤1配置的日志格式下支持外发的日志与配置的格式相同。步骤1中配置的日志格式不支持外发的日志发送的日志为标准格式。
3. 【check3】配置成功
4. 【check4】在步骤4最后配置的日志格式下支持外发的日志与配置的格式相同。步骤4中最后配置的日志格式不支持外发的日志发送的日志为标准格式。</t>
  </si>
  <si>
    <t>2024-07-19 14:43:53</t>
  </si>
  <si>
    <t>验证电网日志格式升级功能</t>
  </si>
  <si>
    <t>1. 在防火墙安装不支持配置日志格式的版本后将设备升级到支持格式配置的版本。
2. 后台查看系统日志外发模式【check1】。
3. 在设备上构造任意需要外发的日志，在服务器上观察接收到的日志。【check2】
4. 在设备上配置日志外发格式为任意非默认模式，在设备上查看日志格式【check3】
5. 在设备上构造任意需要外发的日志，在服务器上观察接收到的日志。【check4】</t>
  </si>
  <si>
    <t>1. 【check1】日志外发模式默认为标准模式。
2. 【check2】服务器上收到的日志格式为标准格式。
3. 【check3】日志外发模式为配置的格式。
4. 【check4】服务器上收到的日志格式与配置的格式相同。
5.</t>
  </si>
  <si>
    <t>耦合测试</t>
  </si>
  <si>
    <t>验证电网日志外发协议仅支持syslog功能</t>
  </si>
  <si>
    <t>1. 后台命令配置网元的日志模式为电网日志模式。
2. 配置日志外发协议为restAPI，构造任意电网外发日志，在日志服务器观察接收到的日志。【check1】
3. 配置日志外发协议未syslog，构造任意电网外发日志，在日志服务器观察接收到的日志。【check1】</t>
  </si>
  <si>
    <t>1. 【check1】日志服务器正常接收到触发的日志
2. 【check2】接收到的日志为restAPI常规格式，且日志内容正确
3. 【check3】接收到的日志为syslog电网格式，且日志内容正确</t>
  </si>
  <si>
    <t>2024-02-29 19:30:41</t>
  </si>
  <si>
    <t>2024-02-27 13:50:27</t>
  </si>
  <si>
    <t>验证日志发送格式为s6000_fw时心跳日志发送功能</t>
  </si>
  <si>
    <t>1. 后台命令配置网元的日志模式为s6000_fw模式。
2. 在日志服务器观察接收到的设备心跳日志的内容【check1】【check2】
3. 修改设备管理口（有独立管理口的设备为Admin口，无独立管理口的设备为GE0_1）的IPv4地址，配置日志服务器后，观察服务器接收到的基本信息日志。【check2】
4. 修改设备管理口（有独立管理口的设备为Admin口，无独立管理口的设备为GE0_1）的IPv4地址，配置日志服务器后，观察服务器接收到的基本信息日志。【check2】
5. 删除管理口的IPv4地址或者IPv6地址，配置日志服务器后，观察服务器接收到的基本信息日志。【check3】</t>
  </si>
  <si>
    <t>1. 【check1】日志格式和所有字段信息正确。日志格式为：设备厂商|*设备类型|*日志类型|*设备IPV4|*设备IPV6|*时间|*设备版本号|*内存占用百分比。内容参考为：安恒|*1|*0|*192.168.1.1|*2001:0000:1F1F:0000:0000:0100:11A0:ADDF|*2019-01-08 12:50:00|* V6.0.0|*90
2. 【check2】报文的设备IPv4地址和IPv6地址正确（有管理口的设备地址为Admin口地址，没有独立管理口的设备地址为GE0_1的地址）
3. 【check3】设备地址为空时仅该字段为空，其他字段正确且无错位
4. 
5.</t>
  </si>
  <si>
    <t>2024-09-25 11:27:19</t>
  </si>
  <si>
    <t>2024-05-22 15:48:23</t>
  </si>
  <si>
    <t>验证日志发送格式为s6000_ips时心跳日志发送功能</t>
  </si>
  <si>
    <t>1. 后台命令配置网元的日志模式为s6000_ips模式。
2. 在日志服务器观察接收到的设备心跳日志的内容【check1】【check2】
3. 修改设备管理口（有独立管理口的设备为Admin口，无独立管理口的设备为GE0_1）的IPv4地址，配置日志服务器后，观察服务器接收到的基本信息日志。【check2】
4. 修改设备管理口（有独立管理口的设备为Admin口，无独立管理口的设备为GE0_1）的IPv4地址，配置日志服务器后，观察服务器接收到的基本信息日志。【check2】
5. 删除管理口的IPv4地址或者IPv6地址，配置日志服务器后，观察服务器接收到的基本信息日志。【check3】</t>
  </si>
  <si>
    <t>1. 【check1】日志格式和所有字段信息正确。日志格式为：设备厂商|*设备类型|*日志类型|*设备IPV4|*设备IPV6|*时间|*设备版本号|*内存占用百分比。内容参考为：安恒|*3|*0|*192.168.1.1|*2001:0000:1F1F:0000:0000:0100:11A0:ADDF|*2019-01-08 12:50:00|* V6.0.0|*90
2. 【check2】报文的设备IPv4地址和IPv6地址正确（有管理口的设备地址为Admin口地址，没有独立管理口的设备地址为GE0_1的地址）
3. 【check3】设备地址为空时仅该字段为空，其他字段正确且无错位
4. 
5.</t>
  </si>
  <si>
    <t>2024-07-19 14:47:05</t>
  </si>
  <si>
    <t>验证日志发送格式为s6000_fw时基本信息发送功能</t>
  </si>
  <si>
    <t>1. 后台命令配置网元的日志模式为s6000_fw模式。
2. 在日志服务器观察接收到的设备基本信息的内容【check1】
3. 检查URL特征库、病毒特征库、Web防护特征库、IPS特征库和应用识别特征库的版本和时间均正确。【check2】</t>
  </si>
  <si>
    <t>1. 【check1】日志格式和信息正确。日志格式为：设备厂商|*设备类型|*日志类型|*设备IPV4|*设备IPV6|*设备MAC|*特征库版本信息|*特征库更新时间。发送内容参考为：安恒|*1|*3|*192.168.1.1|*2001:0000:1F1F:0000:0000:0100:11A0:ADDF |* AA-BB-CC-DD-EE-FF|*V1.10.1|*2019-01-10 12:50:00
2. 【check2】URL特征库、精度特征库、Web防护特征库、IPS特征库、应用识别特征库每个特征库会发送一条基本信息日志，特征库版本正确。
3. 【check3】URL特征库、精度特征库、Web防护特征库、IPS特征库、应用识别特征库的更新时间为升级日志中记录的最新时间，如果升级日志中没有改特征库的升级记录则为空。</t>
  </si>
  <si>
    <t>2024-07-19 14:47:16</t>
  </si>
  <si>
    <t>验证日志发送格式为s6000_ips时基本信息发送功能</t>
  </si>
  <si>
    <t>1. 后台命令配置网元的日志模式为s6000_ips模式。
2. 在日志服务器观察接收到的设备基本信息的内容【check1】
3. 检查URL特征库、病毒特征库、Web防护特征库、IPS特征库和应用识别特征库的版本和时间均正确。【check2】</t>
  </si>
  <si>
    <t>1. 【check1】日志格式和信息正确。日志格式为：设备厂商|*设备类型|*日志类型|*设备IPV4|*设备IPV6|*设备MAC|*特征库版本信息|*特征库更新时间。发送内容参考为：安恒|*3|*3|*192.168.1.1|*2001:0000:1F1F:0000:0000:0100:11A0:ADDF |* AA-BB-CC-DD-EE-FF|*V1.10.1|*2019-01-10 12:50:00
2. 【check2】IPS特征库会发送一条基本信息日志，特征库版本正确。
3. 【check3】URL特征库、精度特征库、Web防护特征库、IPS特征库、应用识别特征库的更新时间为升级日志中记录的最新时间，如果升级日志中没有改特征库的升级记录则为空。</t>
  </si>
  <si>
    <t>2024-09-25 11:26:12</t>
  </si>
  <si>
    <t>TGFW-V6R01C00SPC610</t>
  </si>
  <si>
    <t>验证日志发送格式为s6000_fw时IPv4包过滤日志发送功能</t>
  </si>
  <si>
    <t>1. 后台命令配置网元的日志模式为s6000_fw模式。
2. 构造IPv4访问控制策略阻断流量，在日志服务器观察接收到的设备基本信息的内容和频率【check1】【check2】
3. 构造IPv4访问控制策略允许流量，在日志服务器观察接收到的设备基本信息的内容和频率【check1】【check2】</t>
  </si>
  <si>
    <t>1. 【check1】日志格式为：设备厂商|*设备类型|*日志类型|*设备IPV4|*设备IPV6|*流量时间|*源IP|*源端口|*目的IP|*目的端口|*传输协议|*策略动作。参考日志内容为：源目的IP为IPv6版本：安恒|*1|*2|*192.168.1.1|*2001:0000:1F1F:0000:0000:0100:11A0:ADDF |*2019-01-08 12:50:00|*2001:0000:1F1F:0000:0000:0100:11A0:ADDD|*99|*2001:0000:1F1F:0000:0000:0100:11A0:ADDC |*22|*http|*0
2. 【check2】包过滤日志发送为实时发送
3.</t>
  </si>
  <si>
    <t>2024-07-19 14:47:39</t>
  </si>
  <si>
    <t>验证日志发送格式为s6000_fw时IPv6包过滤日志发送功能</t>
  </si>
  <si>
    <t>1. 后台命令配置网元的日志模式为s6000_fw模式。
2. 构造IPv6访问控制策略阻断流量，在日志服务器观察接收到的设备基本信息的内容和频率【check1】【check2】
3. 构造IPv6访问控制策略允许流量，在日志服务器观察接收到的设备基本信息的内容和频率【check1】【check2】</t>
  </si>
  <si>
    <t>1. 
2. 
3. 【check1】日志格式为：设备厂商|*设备类型|*日志类型|*设备IPV4|*设备IPV6|*流量时间|*源IP|*源端口|*目的IP|*目的端口|*传输协议|*策略动作。参考日志内容为：源目的IP为IPv6版本：安恒|*1|*2|*192.168.1.1|*2001:0000:1F1F:0000:0000:0100:11A0:ADDF |*2019-01-08 12:50:00|*2001:0000:1F1F:0000:0000:0100:11A0:ADDD|*99|*2001:0000:1F1F:0000:0000:0100:11A0:ADDC |*22|*http|*0
【check2】包过滤日志发送为实时发送</t>
  </si>
  <si>
    <t>2024-09-25 11:22:32</t>
  </si>
  <si>
    <t>验证日志发送格式为s6000_ips时告警日志发送功能</t>
  </si>
  <si>
    <t>1. 后台命令配置网元的日志模式为s6000_ips模式。
2. 构造IPv4流量触发的IPS日志，在日志服务器观察接收到的设备基本信息的内容和频率【check1】【check2】
3. 构造IPv6流量触发的IPS日志，在日志服务器观察接收到的设备基本信息的内容和频率【check1】【check2】</t>
  </si>
  <si>
    <t>1. 【check1】日志格式为：设备厂商|*设备类型|*日志类型|*设备IPV4|*设备IPV6|*告警级别|*标准类别|*告警名称|*告警时间|*源IP|*源端口|*目的IP|*目的端口|*传输协议|*告警次数|*策略动作|*是否启用IP封禁|*HTTP请求方法|*域名|*访问路径|*HTTP请求或响应信息|*网络流量包|*告警附加信息一|*告警附加信息二|*告警附加信息三|*告警附加信息四|*告警附加信息五。日志发送内容参考为：安恒|*3|*2|*192.168.1.1|*2001:0000:1F1F:0000:0000:0100:11A0:ADDF |*3|*后门攻击|*后门攻击|*2015-04-18 20:01:12|*192.168.1.2|*8080|*192.168.1.3|*8080|*HTTP|*10|*2|*0|*GET|*www.sgcc.com.cn|*/html/main/|*POST|*http://xg.mediportal.com.cn/health/sms/verify/telephone HTTP/1.1\nUser-Agent: DGroupPatient/1.052701.230/Dalvik/2.1.0 (Linux; U; Android 5.1.1; KIW-AL10 Build/HONORKIW-AL10)\nContent-Type:application/x-www-form-urlencoded;charset=UTF-8\nHost:xg.mediportal.com.cn\nConnection:Keep-Alive\nAccept-Encoding:gzip\nContent-Length: 33\ntelephone=15527177736&amp;userType=1&amp;|*value1|*value2|*value3|*value4|*value5
2. 【check2】IPS日志发送频率为实时发送
3.</t>
  </si>
  <si>
    <t>2024-09-24 17:25:50</t>
  </si>
  <si>
    <t>验证日志发送格式为s6000_fw时访问空策略日志发送功能</t>
  </si>
  <si>
    <t>1. 在防火墙上配置IPv4和IPv6访问控制策略，后台命令配置网元的日志模式为s6000_fw模式。
2. 在日志服务器上观察接口到访问控制策略日志。【check1】【check2】
3. 修改IPv4访问控制策略，配置日志服务器后，观察服务器接收到的访问控制策略日志。【check1】【check2】【check3】
4. 修改IPv6访问控制策略，配置日志服务器后，观察服务器接收到的访问控制策略日志。【check1】【check2】【check3】</t>
  </si>
  <si>
    <t>1. 
2. 
3. 
4. 【check1】日志格式为：设备厂商|*设备类型|*日志类型|*设备IPV4|*设备IPV6|*设备MAC|*策略名称|*策略编号|*源|*目的|*协议|*策略类型|*启用时间|*结束时间。参考日志格式为：安恒|*1|*1|*192.168.1.1|*2001:0000:1F1F:0000:0000:0100:11A0:ADDF|* AA-BB-CC-DD-EE-FF|*登录|*eyruiy111|*192.168.1/16|*111.11.11.12|*http|*0|*2019-01-08 12:50:00|*2019-01-10 12:50:00
【check2】每条IPv4和IPv6访问控制策略均会发送一条访问控制策略日志。日志的所有字段正确
【check3】日志的启用和结束时间正确</t>
  </si>
  <si>
    <t>2024-09-24 17:20:59</t>
  </si>
  <si>
    <t>验证日志发送格式为s6000_fw时的日志发送频率</t>
  </si>
  <si>
    <t>1. 在防火墙后台命令配置网元的日志模式为s6000_fw模式。
2. 观察心跳日志、基本信息日志、包过滤日志和访问控制策略日志的发送周期。【check1】
3. 修改系统时间。【check2】
4. 在防火墙上配置日志服务器后，在日志日志服务器上观察接收到的日志。【check3】</t>
  </si>
  <si>
    <t>1. 【check1】心跳日志的发送频率为不低于次/5分钟，基本信息日志发送频率不低于次/24小时，包过滤日志的发送周期为实时发送，访问控制策略日志发送频率不低于次/24小时
2. 【check2】修改系统时间不影响日志发送周期
3. 【check3】心跳日志、基本信息日志和访问控制策略日志会立即发送一次后按照特定的周期发送。IPS日志不会发送。
4.</t>
  </si>
  <si>
    <t>2024-09-24 17:20:33</t>
  </si>
  <si>
    <t>验证日志发送格式为s6000_ips时的日志发送频率</t>
  </si>
  <si>
    <t>1. 在防火墙后台命令配置网元的日志模式为s6000_ips模式。
2. 观察心跳日志、基本信息日志、告警日志的发送周期。【check1】
3. 修改系统时间。【check2】
4. 在防火墙上配置日志服务器后，在日志日志服务器上观察接收到的日志。【check3】</t>
  </si>
  <si>
    <t>1. 【check1】心跳日志的发送频率为不低于次/5分钟，基本信息日志发送频率不低于次/24小时，告警日志的发送周期为实时发送
2. 【check2】修改系统时间不影响日志发送周期
3. 【check3】心跳日志、基本信息日志和访问控制策略日志会立即发送一次后按照特定的周期发送。包过滤日志不会发送。
4.</t>
  </si>
  <si>
    <t>2024-09-24 17:20:29</t>
  </si>
  <si>
    <t>验证日志外发模式为s6000_fw时的日志过滤功能</t>
  </si>
  <si>
    <t>1. 后台命令配置网元的日志外发格式为为s6000_fw。
2. 配置防火墙不发送基本信息日志，并在防火墙上配置日志服务器后在服务器上观察接收到的日志。【check1】
3. 配置防火墙不发送心跳信息日志，并在防火墙上配置日志服务器后在服务器上观察接收到的日志。【check2】
4. 配置防火墙不发送安全策略日志，在防火墙上构造日志，在服务器上观察接收到的日志。【check3】
5. 配置防火墙不发送包过滤日志，在防火墙上构造IPv4和IPv6安全策略允许流量和阻断流量，在服务器上观察接收到的日志。【check4】
6. 在防火墙上配置不发送任何s6000_fw日志，并在防火墙上配置日志服务器后在服务器上观察接收到的日志。【check5】
7. 在防火墙上部分s6000_fw日志不发送，不分要发送。并在防火墙上配置日志服务器后再构造包过滤日志，再在服务器上观察接收到的日志。【check6】</t>
  </si>
  <si>
    <t>1. 【check1】日志服务器上不能接收到防火墙的基本信息日志
2. 【check2】日志服务器上不能接收到防火墙的心跳信息日志
3. 【check3】日志服务器上不能接收到防火墙的IPS信息日志
4. 【check4】日志服务器上不能接收到防火墙的IPv4允许信息日志和阻断信息日志。日志服务器上不能接收到防火墙的IPv6允许信息日志和阻断信息日志
5. 【check5】防火墙上不能收到任何s6000_fw日志
6. 【check6】防火墙上不能收到不发送s6000_fw日志，可以接收到要发送的s6000_fw日志。
7.</t>
  </si>
  <si>
    <t>2024-07-19 14:49:12</t>
  </si>
  <si>
    <t>验证日志外发模式为s6000_ips时的日志过滤功能</t>
  </si>
  <si>
    <t>1. 后台命令配置网元的日志外发格式为为s6000_ips。
2. 配置防火墙不发送基本信息日志，并在防火墙上配置日志服务器后在服务器上观察接收到的日志。【check1】
3. 配置防火墙不发送心跳信息日志，并在防火墙上配置日志服务器后在服务器上观察接收到的日志。【check2】
4. 配置防火墙不发送告警信息日志，在防火墙上构造IPS日志，在服务器上观察接收到的日志。【check3】
5. 在防火墙上配置不发送任何s6000_ips日志，并在防火墙上配置日志服务器后在服务器上观察接收到的日志。【check4】
6. 在防火墙上部分s6000_ips日志不发送，不分要发送。并在防火墙上配置日志服务器后再构造IPS日志，再在服务器上观察接收到的日志。【check4】</t>
  </si>
  <si>
    <t>1. 【check1】日志服务器上不能接收到防火墙的基本信息日志
2. 【check2】日志服务器上不能接收到防火墙的心跳信息日志
3. 【check3】日志服务器上不能接收到防火墙的IPS信息日志
4. 【check4】防火墙上不能收到任何s6000_ips日志
5. 【check5】防火墙上不能收到不发送s6000_ips日志，可以接收到要发送的s6000_ips日志。
6.</t>
  </si>
  <si>
    <t>1. 
2. 
3. 
4. 
5. 
6.</t>
  </si>
  <si>
    <t>2024-07-19 14:49:24</t>
  </si>
  <si>
    <t>验证日志格式为标准格式下大量的日志往外发功能</t>
  </si>
  <si>
    <t>1. 后台命令配置网元的日志模式为标准格式。
2. 配置防火墙日志过滤，选择所有日志为要发送。
3. 打入流量产生大量的安全日志和策略阻断日志，同时进行挂脚本进行安全策略修改，使每s钟产生的日志接近200条左右。
4. 观察防火墙状态。【check1】【check2】
5. 在日志服务器观察接收到的日志。【check3】</t>
  </si>
  <si>
    <t>侯佳林</t>
  </si>
  <si>
    <t>2024-07-16 15:04:20</t>
  </si>
  <si>
    <t>验证日志格式为s6000_fw格式下大量的日志往外发功能</t>
  </si>
  <si>
    <t>1. 后台命令配置网元的日志模式为s6000_fw格式。
2. 配置防火墙日志过滤，选择所有日志为要发送。
3. 打入流量产生大量的安全日志和策略阻断日志，同时进行挂脚本进行安全策略修改，使每s钟产生的日志接近200条左右。
4. 观察防火墙状态。【check1】【check2】
5. 在日志服务器观察接收到的日志。【check3】</t>
  </si>
  <si>
    <t>2024-07-19 14:48:51</t>
  </si>
  <si>
    <t>验证日志格式为s6000_ips格式下大量的日志往外发功能</t>
  </si>
  <si>
    <t>1. 后台命令配置网元的日志模式为s6000_ips格式。
2. 配置防火墙日志过滤，选择所有日志为要发送。
3. 打入流量产生大量的安全日志和策略阻断日志，同时进行挂脚本进行安全策略修改，使每s钟产生的日志接近200条左右。
4. 观察防火墙状态。【check1】【check2】
5. 在日志服务器观察接收到的日志。【check3】</t>
  </si>
  <si>
    <t>2024-07-19 14:48:37</t>
  </si>
  <si>
    <t>/管理维护/监控统计/日志中心/设备日志管理/调试日志管理(#19387)</t>
  </si>
  <si>
    <t>验证/trace目录每分钟清理功能</t>
  </si>
  <si>
    <t>1、网元正常启动
2、在/trace目录下创建至少两个.log结尾的文件，并在/trace/coredump目录下创建至少两个文件，并保证/trace目录占用率低于90%</t>
  </si>
  <si>
    <t>1. 静置观察/trace和/trace/coredump目录超过1分钟【check1】
2. 使用dd命令在/trace/目录下构造文件使得构造/trace目录占用率大于90%，命令参考dd if=[任意源文件] of=/trace/test.log count=任意数量 bs=xxxM
3. 观察/trace目录和/trace/coredump目录【check2】【check3】
4. 使用dd命令在/trace/coredump目录下构造文件使得构造/trace目录占用率大于90%，命令参考dd if=[任意源文件] of=/trace/coredump count=任意数量 bs=xxxM
5. 在/trace目录下创建质量两个.log结尾的文件
6. 观察/trace目录和/trace/coredump目录【check2】【check3】</t>
  </si>
  <si>
    <t>1. 【check1】/trace/coredump目录不会被清空
2. 【check2】/trace/coredump在1分钟内被清空
3. 【check3】/trace目录下所有以.log结尾的文件全部被轮转。
4. 
5. 
6.</t>
  </si>
  <si>
    <t>邱宇</t>
  </si>
  <si>
    <t>2024-10-17 17:04:38</t>
  </si>
  <si>
    <t>2024-10-11 19:41:18</t>
  </si>
  <si>
    <t>2024-10-12 14:15:16</t>
  </si>
  <si>
    <t>验证/var/log目录每分钟清理功能</t>
  </si>
  <si>
    <t>1、网元正常启动
2、保证/var/log目录中存在文件，且/var/log占用率低于90%</t>
  </si>
  <si>
    <t>1. 静置观察/var/log目录超过1分钟【check1】
2. 使用dd命令在/var/log目录下构造文件使得构造/var/log目录占用率大于90%，命令参考dd if=[任意源文件] of=/var/log/test.log count=任意数量 bs=xxxM
3. 观察/var/log目录【check2】</t>
  </si>
  <si>
    <t>1. 【check1】/var/log目录不会被清空
2. 【check1】/var/log在1分钟内被清空
3.</t>
  </si>
  <si>
    <t>2024-10-17 13:49:35</t>
  </si>
  <si>
    <t>验证secure日志每小时轮转功能</t>
  </si>
  <si>
    <t>1、网元正常启动</t>
  </si>
  <si>
    <t>1. 构造/trace/log/目录下secure小于10M
2. 在整点或者修改防火墙系统时间到整点,观察/trace/log/目录下的secure文件【check1】
3. 构造/trace/log/目录下secure大于10M，重复步骤2.【check2】
4. 再次构造/trace/log/目录下secure大于10M，重复步骤2。【check3】
5. 重复步骤3和步骤2大于2次，观察/var/log目录下的secure文件和对应的压缩文件【check4】</t>
  </si>
  <si>
    <t>1. 【check1】/trace/log/目录下secure不会被压缩，并保持不变
2. 【check2】/trace/log/目录下secure被压缩生成压缩文件
3. 【check3】/trace/log/目录下secure被压缩生成第二个压缩文件
4. 【check4】/trace/log/目录下secure最大生成2个压缩文件，超过2轮转时仅保留最新的2个压缩文件，更早的压缩文件被删除。
5.</t>
  </si>
  <si>
    <t>2024-10-17 15:35:41</t>
  </si>
  <si>
    <t>2024-10-17 15:33:55</t>
  </si>
  <si>
    <t>验证syslog日志每小时轮转功能</t>
  </si>
  <si>
    <t>1. 构造/var/log目录下syslog小于30M
2. 在整点或者修改防火墙系统时间到整点,观察/var/log目录下的syslog文件【check1】
3. 构造/var/log目录下syslog大于30M，重复步骤2.【check2】
4. 再次构造/var/log目录下syslog大于30M，重复步骤2。【check3】
5. 重复步骤3和步骤2大于4次，观察/var/log目录下的syslog文件和对应的压缩文件【check4】</t>
  </si>
  <si>
    <t>1. 【check1】/var/log目录下syslog不会被压缩，并保持不变
2. 【check2】/var/log目录下syslog被压缩生成压缩文件
3. 【check3】/var/log目录下syslog被压缩生成第二个压缩文件
4. 【check4】/var/log目录下syslog最大生成4个压缩文件，超过4轮转时仅保留最新的4个压缩文件，更早的压缩文件被删除。
5.</t>
  </si>
  <si>
    <t>2024-10-17 17:00:38</t>
  </si>
  <si>
    <t>2024-10-17 17:00:22</t>
  </si>
  <si>
    <t>验证messages日志每小时轮转功能</t>
  </si>
  <si>
    <t>1. 构造/var/log目录下messages小于30M
2. 在整点或者修改防火墙系统时间到整点,观察/var/log目录下的messages文件【check1】
3. 构造/var/log目录下messages大于30M，重复步骤2.【check2】
4. 再次构造/var/log目录下messages大于30M，重复步骤2。【check3】
5. 重复步骤3和步骤2大于4次，观察/var/log目录下的messages文件和对应的压缩文件【check4】</t>
  </si>
  <si>
    <t>1. 【check1】/var/log目录下messages不会被压缩，并保持不变
2. 【check2】/var/log目录下messages被压缩生成压缩文件
3. 【check3】/var/log目录下messages被压缩生成第二个压缩文件
4. 【check4】/var/log目录下messages最大生成4个压缩文件，超过4轮转时仅保留最新的4个压缩文件，更早的压缩文件被删除。
5.</t>
  </si>
  <si>
    <t>2024-10-17 13:40:06</t>
  </si>
  <si>
    <t>验证auth.log日志每小时轮转功能</t>
  </si>
  <si>
    <t>1. 构造/var/log目录下auth.log小于30M
2. 在整点或者修改防火墙系统时间到整点,观察/var/log目录下的auth.log文件【check1】
3. 构造/var/log目录下auth.log大于30M，重复步骤2.【check2】
4. 再次构造/var/log目录下auth.log大于30M，重复步骤2。【check3】
5. 重复步骤3和步骤2大于4次，观察/var/log目录下的auth.log文件和对应的压缩文件【check4】</t>
  </si>
  <si>
    <t>1. 【check1】/var/log目录下auth.log不会被压缩，并保持不变
2. 【check2】/var/log目录下auth.log被压缩生成压缩文件
3. 【check3】/var/log目录下auth.log被压缩生成第二个压缩文件
4. 【check4】/var/log目录下auth.log最大生成4个压缩文件，超过4轮转时仅保留最新的4个压缩文件，更早的压缩文件被删除。
5.</t>
  </si>
  <si>
    <t>2024-10-16 21:09:40</t>
  </si>
  <si>
    <t>验证vpp异常重启记录die日志功能</t>
  </si>
  <si>
    <t>1. 通过kill组件vpp的进程模拟异常重启
2. 观察/trace/log目录【check1】
3. 30分钟内再次kill组件vpp的进程模拟异常重启，观察/trace/log目录【check2】
4. 超过30分钟以上再次kill组件vpp的进程模拟异常重启，观察/trace/log目录【check1】</t>
  </si>
  <si>
    <t>1. 
2. 
3. 
4. 【check1】生成vpp对应的die日志
【check2】不会生成对应的die日志</t>
  </si>
  <si>
    <t>2024-10-17 16:52:48</t>
  </si>
  <si>
    <t>2024-10-12 14:12:28</t>
  </si>
  <si>
    <t>验证agent异常重启记录die日志功能</t>
  </si>
  <si>
    <t>1. 通过kill组件agent的进程模拟异常重启
2. 观察/trace/log目录【check1】
3. 30分钟内再次kill组件agent的进程模拟异常重启，观察/trace/log目录【check2】
4. 超过30分钟以上再次kill组件agent的进程模拟异常重启，观察/trace/log目录【check1】</t>
  </si>
  <si>
    <t>1. 
2. 
3. 
4. 【check1】生成agent对应的die日志
【check2】不会生成对应的die日志</t>
  </si>
  <si>
    <t>2024-10-17 16:35:07</t>
  </si>
  <si>
    <t>验证influxdb异常重启记录die日志功能</t>
  </si>
  <si>
    <t>1. 通过kill组件influxdb的进程模拟异常重启
2. 观察/trace/log目录【check1】
3. 30分钟内再次kill组件influxdb的进程模拟异常重启，观察/trace/log目录【check2】
4. 超过30分钟以上再次kill组件influxdb的进程模拟异常重启，观察/trace/log目录【check1】</t>
  </si>
  <si>
    <t>1. 
2. 
3. 
4. 【check1】生成influxdb对应的die日志
【check2】不会生成对应的die日志</t>
  </si>
  <si>
    <t>2024-10-17 11:11:08</t>
  </si>
  <si>
    <t>验证瀚高异常重启记录die日志功能</t>
  </si>
  <si>
    <t>1. 通过kill组件瀚高的进程模拟异常重启
2. 观察/trace/log目录【check1】
3. 30分钟内再次kill组件瀚高的进程模拟异常重启，观察/trace/log目录【check2】
4. 超过30分钟以上再次kill组件瀚高的进程模拟异常重启，观察/trace/log目录【check1】</t>
  </si>
  <si>
    <t>1. 
2. 
3. 
4. 【check1】生成瀚高对应的die日志
【check2】不会生成对应的die日志</t>
  </si>
  <si>
    <t>2024-10-16 14:45:08</t>
  </si>
  <si>
    <t>2024-10-17 09:06:51</t>
  </si>
  <si>
    <t>验证sslvpn异常重启记录die日志功能</t>
  </si>
  <si>
    <t>1. 通过kill组件sslvpn的进程模拟异常重启
2. 观察/trace/log目录【check1】
3. 30分钟内再次kill组件sslvpn的进程模拟异常重启，观察/trace/log目录【check2】
4. 超过30分钟以上再次kill组件sslvpn的进程模拟异常重启，观察/trace/log目录【check1】</t>
  </si>
  <si>
    <t>1. 
2. 
3. 
4. 【check1】生成sslvpn对应的die日志
【check2】不会生成对应的die日志</t>
  </si>
  <si>
    <t>2024-10-16 20:36:14</t>
  </si>
  <si>
    <t>验证frr异常重启记录die日志功能</t>
  </si>
  <si>
    <t>1. 通过kill组件frr的进程模拟异常重启
2. 观察/trace/log目录【check1】
3. 30分钟内再次kill组件frr的进程模拟异常重启，观察/trace/log目录【check2】
4. 超过30分钟以上再次kill组件frr的进程模拟异常重启，观察/trace/log目录【check1】</t>
  </si>
  <si>
    <t>1. 
2. 
3. 
4. 【check1】生成frr对应的die日志
【check2】不会生成对应的die日志</t>
  </si>
  <si>
    <t>2024-10-17 14:45:10</t>
  </si>
  <si>
    <t>验证nginx异常重启记录die日志功能</t>
  </si>
  <si>
    <t>1. 通过kill组件nginx的进程模拟异常重启
2. 观察/trace/log目录【check1】
3. 30分钟内再次kill组件nginx的进程模拟异常重启，观察/trace/log目录【check2】
4. 超过30分钟以上再次kill组件nginx的进程模拟异常重启，观察/trace/log目录【check1】</t>
  </si>
  <si>
    <t>1. 
2. 
3. 
4. 【check1】生成nginx对应的die日志
【check2】不会生成对应的die日志</t>
  </si>
  <si>
    <t>2024-10-17 11:10:50</t>
  </si>
  <si>
    <t>验证调试日志开关默认值和重启恢复</t>
  </si>
  <si>
    <t>1. 观察调试日志开关和调试日志记录情况。【check1】【check2】
2. 开启调试日志，观察调试日志记录情况。【check3】
3. 重启防火墙
4. 防火墙启动后观察调试日志开关和调试日志记录情况。【check1】【check2】</t>
  </si>
  <si>
    <t>1. 【check1】调试日志开关为关闭
2. 【check2】防火墙后台目录中/appdata/etc/agentcfg/supervisor.conf描述所有进程不会记录调试日志
3. 【check2】防火墙后台目录中/appdata/etc/agentcfg/supervisor.conf描述所有进程开始记录调试日志
4.</t>
  </si>
  <si>
    <t>2024-10-16 21:07:38</t>
  </si>
  <si>
    <t>验证调试日志开启和关闭功能</t>
  </si>
  <si>
    <t>1、网元正常启动
2、调试日志开关为关闭</t>
  </si>
  <si>
    <t>1. 观察/trace/log目录。【check1】
2. 开启调试日志【check2】
3. 关闭调试日志【check1】【check3】</t>
  </si>
  <si>
    <t>1. 【check1】防火墙后台目录中/appdata/etc/agentcfg/supervisor.conf描述所有进程不会记录调试日志
2. 【check2】防火墙后台目录中/appdata/etc/agentcfg/supervisor.conf描述所有进程开始记录调试日志
3. 【check3】防火墙后台目录中/userdata/userfile/gatherinfo，会生成collection_当前时间戳.zip的文件</t>
  </si>
  <si>
    <t>2024-10-16 21:07:23</t>
  </si>
  <si>
    <t>/管理维护/监控统计/日志中心/设备日志管理/信息收集(#19388)</t>
  </si>
  <si>
    <t>信息收集重启测试</t>
  </si>
  <si>
    <t>网元正常启动
组网图：http://10.113.53.155:2223/images/topo/node1_dut1.png</t>
  </si>
  <si>
    <t>1. 开启调试日志开关
2. 进行系统重启操作
3. 重启完成后，查看信息收集信息【check2】【check3】</t>
  </si>
  <si>
    <t>1. 【check1】配置正确下发，开关开启
2. 
3. 【check2】信息收集开关关闭，信息收集列表包含一条信息内容【check3】日志系统记录对应操作</t>
  </si>
  <si>
    <t>1. 
2. 
3. 禅道2463-已知问题</t>
  </si>
  <si>
    <t>王杰(TGFW测试组)</t>
  </si>
  <si>
    <t>2023-10-13 09:18:06</t>
  </si>
  <si>
    <t>2023-07-12 14:53:04</t>
  </si>
  <si>
    <t>2024-04-18 17:02:31</t>
  </si>
  <si>
    <t>Diatools.Http.08</t>
  </si>
  <si>
    <t>node1_dut1</t>
  </si>
  <si>
    <t>验证防火墙异常信息收集功能</t>
  </si>
  <si>
    <t>1. 使用dd命令在/trace/coredump目录下构造11个core文件，使得/trace分区使用率在85%到90%之间
2. 打开异常信息收集【check1】
3. 下载最大和最小的core文件【check2】
4. 删除最大和最小的core文件【check3】</t>
  </si>
  <si>
    <t>1. 【check1】页面可以查看到所有的core文件
2. 【check2】下载成功，下载的文件与构造的文件完全一致
3. 【check3】删除成功，在linux后台产看core文件被删除
4.</t>
  </si>
  <si>
    <t>2024-10-17 17:32:07</t>
  </si>
  <si>
    <t>验证防火墙手动收集信息功能</t>
  </si>
  <si>
    <t>1、网元正常启动
2、在防火墙上开启调试日志</t>
  </si>
  <si>
    <t>1. 在防火墙发起手动收集信息，查看防火墙的信息文件列表。【check1】【check2】
2. 重复发起超过3次信息收集【check1】【check2】
3. 下载第一个和最后一个信息收集文件。【check3】
4. 删除任意信息收集文件。【check4】
5. 再次下载任意信息收集文件。【check3】</t>
  </si>
  <si>
    <t>1. 【check1】防火墙的上能够查当前时刻信息收集文件
2. 【check2】防火墙后台目录中/userdata/userfile/gatherinfo，会生成collection_当前时间戳.zip的文件
3. 【check3】下载成功
4. 【check4】删除成功
5.</t>
  </si>
  <si>
    <t>2024-10-17 16:11:27</t>
  </si>
  <si>
    <t>验证防火墙自动收集信息功能</t>
  </si>
  <si>
    <t>1. 配置信息收集方式为自动化，时间为60-720s任意值x，不启用自动化收集，在超过x秒周期观察信息收集文件。【check1】
2. 配置防火墙自动化收集信息周期为x，状态为启用。
3. 在超过11*x秒周期观察日志收集文件。【check2】
4. 删除任意信息收集文件，在下一周期观察信息收集文件。【check3】</t>
  </si>
  <si>
    <t>1. 【check1】防火墙前端和后台（/userdata/userfile/gatherinfo）均不会自动生成信息收集文件
2. 【check2】防火墙的前台和后台会查询到10个信息收集文件。且第11个周期的文件会覆盖第一个（时间最早的）收集的文件。文件的时间戳间隔与配置的x秒相同。
3. 【check3】信息收集文件在前端和后台会达到10个，不会删除任何信息收集文件。
4.</t>
  </si>
  <si>
    <t>2024-10-17 11:34:12</t>
  </si>
  <si>
    <t>防火墙自动收集信息功能长期测试</t>
  </si>
  <si>
    <t>1. 配置信息收集方式为自动化，时间为60-720s任意值x，不启用自动化收集，在超过x秒周期观察信息收集文件。【check1】【check3】
2. 配置防火墙自动化收集信息周期为x，状态为启用。
3. 保持防护墙开启自动化信息收集超过12小时。【check2】【check3】</t>
  </si>
  <si>
    <t>1. 【check1】防火墙前端和后台（/userdata/userfile/gatherinfo）均不会自动生成信息收集文件
2. 【check2】防火墙的前台和后台会查询到10个信息收集文件。文件的时间戳间隔与配置的x秒相同。
3. 【check3】收集内存和cpu信息，设别无cpu和内存泄漏</t>
  </si>
  <si>
    <t>2024-10-17 17:32:22</t>
  </si>
  <si>
    <t>验证防火墙信息收集内容正确性</t>
  </si>
  <si>
    <t>1、网元正常启动
2、构造etcd中的配置总量低于2000
3、在防火墙上开启调试日志</t>
  </si>
  <si>
    <t>1. 在防火墙发起手动收集信息
2. 下载手动收集到的信息文件，解压观察收集到的信息。【check1】【check2】
3. 配置防火墙为自动化收集信息，且等待期完成至少1次自动化信息收。
4. 下载自动收集的信息，解压观察收集到的信息。【check1】【check2】</t>
  </si>
  <si>
    <t xml:space="preserve">1. 【check1】文件解压需要密码，密码为ngfw123!@#
2. 【check2】收集信息包含/appdata/etc/version,/appdata/etc/ngfwfeatureinfo,/apdata/etc/license/cliclienseinfo.txt,系统时间,CPU使用率,uptime,free -lh,df -lh,ps -aux | grep /opt,top -n 3,cat /appdata/etc/agentcfg/*,etcd配置(少于2k配置),操作日志（最少1个月）,系统日志（最少1个月）,dmesg,/var/log/messages,vpp下的show logging,最近一周的CPU、内存、磁盘使用率,设备流量大小（收集当时）,每个接口的pps（收集当时）会话总数（收集当时）
3. 
4. 
</t>
  </si>
  <si>
    <t>1. 
2. 141744
3. 
4.</t>
  </si>
  <si>
    <t>2024-10-17 11:25:18</t>
  </si>
  <si>
    <t>验证防火墙信息收集配置限制功能</t>
  </si>
  <si>
    <t xml:space="preserve">1. 在防火墙发起手动或者自动收集信息
2. 下载手动收集到的信息文件，解压观察收集到的信息。【check1】【check2】
3. 在防火墙配置任意配置使防火墙的etcd配置超过2000个（etcdctl get --prefix / --keys-only | grep -v &amp;#039;^$&amp;#039; | wc -l ）返回值大于2000
4. 在防火墙发起手动或者自动收集信息【check1】【check3】
</t>
  </si>
  <si>
    <t xml:space="preserve">1. 【check1】文件解压需要密码，密码为ngfw123!@#
2. 【check2】收集信息包含/appdata/etc/version,/appdata/etc/ngfwfeatureinfo,/apdata/etc/license/cliclienseinfo.txt,系统时间,CPU使用率,uptime,free -lh,df -lh,ps -aux | grep /opt,top -n 3,cat /appdata/etc/agentcfg/*,etcd配置(少于2k配置),操作日志（最少1个月）,系统日志（最少1个月）,dmesg,/var/log/messages,vpp下的show logging,最近一周的CPU、内存、磁盘使用率,设备流量大小（收集当时）,每个接口的pps（收集当时）会话总数（收集当时），且信息正确
3. 【check3】信息收集中check2中少了etcd配置，其他信息相同且信息正确
4. 
</t>
  </si>
  <si>
    <t>2024-10-17 17:29:08</t>
  </si>
  <si>
    <t>2024-10-16 13:42:29</t>
  </si>
  <si>
    <t>/管理维护/监控统计/日志中心/管理维护/DFX(#19389)</t>
  </si>
  <si>
    <t>验证防火墙整机日志容量</t>
  </si>
  <si>
    <t>1. 向日志侦听端口写入系统日志,操作日志,入侵防御日志,防病毒日志,内容过滤日志,文件过滤日志,URL过滤日志,WEB防护日志,防暴力破解日志,弱密码日志,控制策略阻断日志,本地控制策略日志,单包防护日志,Flood攻击日志,黑白名单日志,EDR推广日志,IPSecVPN日志中任意一种日志，使其达到该种日志的最大数量-1，使用接口查询日志。【check1】
2. 再向日志端口写入另外一种日志，使其达到最大规格的30%，并使用接口查询日志。【check1】
3. 遍历所有日志日类型，均写入最大数量的30%，并使用接口查询日志。【check1】【check2】</t>
  </si>
  <si>
    <t>1. 【check1】日志写入成功，查询日志与写入的数量和内容一致。
2. 【check2】日志响应时间无明显降低
3.</t>
  </si>
  <si>
    <t>验证防火墙日志写入速率</t>
  </si>
  <si>
    <t>1. 选取系统日志,操作日志,入侵防御日志,防病毒日志,内容过滤日志,文件过滤日志,URL过滤日志,WEB防护日志,防暴力破解日志,弱密码日志,控制策略阻断日志,本地控制策略日志,单包防护日志,Flood攻击日志,黑白名单日志,EDR推广日志,IPSecVPN日志中任意两种以上日志。
2. 持续以200条/s的速率向日志侦听端口写入步骤1中选取的日志，使用接口观察日志。【check1】
3. 持续以超过1000条/s的速率向日志侦听端口写入步骤1中选取的日志，使用接口观察日志。【check2】【check3】
4. 持续以超过1000条/s的速率写入日志，同时没过10s查询一次日志，持续2小时以上。【check2】【chekc3】</t>
  </si>
  <si>
    <t>1. 【check1】日志写入成功，查询日志与写入的数量和内容一致。
2. 【check2】部分日志会被丢弃，但是写入的日志数据正确
3. 【check3】设备CPU、内容、磁盘无异常
4.</t>
  </si>
  <si>
    <t>性能测试</t>
  </si>
  <si>
    <t>验证防火墙日志外发速率</t>
  </si>
  <si>
    <t>1、网元正常启动
2、开启日志服务器并配置三个日志服务器，分别以syslog tcp，syslog udp和restapi方式发送日志
3、配置日志服务器路由可达</t>
  </si>
  <si>
    <t>1. 选取系统日志,操作日志,入侵防御日志,防病毒日志,内容过滤日志,文件过滤日志,URL过滤日志,WEB防护日志,防暴力破解日志,弱密码日志,控制策略阻断日志,本地控制策略日志,单包防护日志,Flood攻击日志,黑白名单日志,EDR推广日志,IPSecVPN日志中任意两种以上需要外发的日志。
2. 持续以200条/s的速率向日志侦听端口写入步骤1中选取的日志，使用接口观察日志，观察日志服务器。【check1】
3. 持续以超过1000条/s的速率向日志侦听端口写入步骤1中选取的日志，观察日志服务。【check2】【check3】
4. 持续以超过1000条/s的速率写入日志，持续2小时以上。【check2】【chekc3】</t>
  </si>
  <si>
    <t>1. 【check1】日志写入成功，查询日志与写入的数量和内容一致。
2. 【check2】日志服务器只能收到部分写入的日志，接收到的部分日志内容正确
3. 【check3】设备CPU、内容、磁盘无异常
4.</t>
  </si>
  <si>
    <t>验证反复修改日志格式的日志功能</t>
  </si>
  <si>
    <t>1. 选取系统日志,操作日志,入侵防御日志,防病毒日志,内容过滤日志,文件过滤日志,URL过滤日志,WEB防护日志,防暴力破解日志,弱密码日志,控制策略阻断日志,本地控制策略日志,单包防护日志,Flood攻击日志,黑白名单日志,EDR推广日志,IPSecVPN日志中任意两种以上日志。
2. 持续以200条/s的速率向日志侦听端口写入步骤1中选取的日志，使用接口观察日志。【check1】
3. 反复修改日志格式持续时间2小时以上，修改次数超过200次
4. 观察设备和使用接口观察日志【check1】【chekc2】</t>
  </si>
  <si>
    <t>1. 【check1】日志写入成功，查询日志与写入的数量和内容一致。
2. 【check2】设备CPU、内容、磁盘无异常
3. 
4.</t>
  </si>
  <si>
    <t>验证反复修改日志过滤的日志功能</t>
  </si>
  <si>
    <t>1. 选取系统日志,操作日志,入侵防御日志,防病毒日志,内容过滤日志,文件过滤日志,URL过滤日志,WEB防护日志,防暴力破解日志,弱密码日志,控制策略阻断日志,本地控制策略日志,单包防护日志,Flood攻击日志,黑白名单日志,EDR推广日志,IPSecVPN日志中任意两种以上日志。
2. 持续以200条/s的速率向日志侦听端口写入步骤1中选取的日志，使用接口观察日志。【check1】
3. 反复修改日志过滤持续时间2小时以上，修改次数超过200次
4. 观察设备和使用接口观察日志【check1】【chekc2】</t>
  </si>
  <si>
    <t>验证反复修改日志导出的日志功能</t>
  </si>
  <si>
    <t>1. 选取系统日志,操作日志,入侵防御日志,防病毒日志,内容过滤日志,文件过滤日志,URL过滤日志,WEB防护日志,防暴力破解日志,弱密码日志,控制策略阻断日志,本地控制策略日志,单包防护日志,Flood攻击日志,黑白名单日志,EDR推广日志,IPSecVPN日志中任意两种以上日志。
2. 持续以200条/s的速率向日志侦听端口写入步骤1中选取的日志，使用接口观察日志。【check1】
3. 反复$修改{操作}持续时间2小时以上，修改次数超过200次
4. 观察日志导出【check2】【chekc3】</t>
  </si>
  <si>
    <t>1. 【check1】日志写入成功，查询日志与写入的数量和内容一致。
2. 【check2】日志导出功能正常
3. 【check3】设备CPU、内容、磁盘无异常
4.</t>
  </si>
  <si>
    <t>验证反复修改日志归并的日志功能</t>
  </si>
  <si>
    <t>1. 选取系统日志,操作日志,入侵防御日志,防病毒日志,内容过滤日志,文件过滤日志,URL过滤日志,WEB防护日志,防暴力破解日志,弱密码日志,控制策略阻断日志,本地控制策略日志,单包防护日志,Flood攻击日志,黑白名单日志,EDR推广日志,IPSecVPN日志中任意两种以上日志。
2. 持续以200条/s的速率向日志侦听端口写入步骤1中选取的日志，使用接口观察日志。【check1】
3. 反复$修改{操作}持续时间2小时以上，修改次数超过200次
4. 观察日志归并【check2】【chekc3】</t>
  </si>
  <si>
    <t>1. 【check1】日志写入成功，查询日志与写入的数量和内容一致。
2. 【check2】日志归并功能正常
3. 【check3】设备CPU、内容、磁盘无异常
4.</t>
  </si>
  <si>
    <t>验证反复修改日志备份的日志功能</t>
  </si>
  <si>
    <t>1. 选取系统日志,操作日志,入侵防御日志,防病毒日志,内容过滤日志,文件过滤日志,URL过滤日志,WEB防护日志,防暴力破解日志,弱密码日志,控制策略阻断日志,本地控制策略日志,单包防护日志,Flood攻击日志,黑白名单日志,EDR推广日志,IPSecVPN日志中任意两种以上日志。
2. 持续以200条/s的速率向日志侦听端口写入步骤1中选取的日志，使用接口观察日志。【check1】
3. 反复$修改{操作}持续时间2小时以上，修改次数超过200次
4. 观察日志备份【check2】【chekc3】</t>
  </si>
  <si>
    <t>1. 【check1】日志写入成功，查询日志与写入的数量和内容一致。
2. 【check2】日志备份功能正常
3. 【check3】设备CPU、内容、磁盘无异常
4.</t>
  </si>
  <si>
    <t>验证反复修改的日志功能</t>
  </si>
  <si>
    <t>1. 选取系统日志,操作日志,入侵防御日志,防病毒日志,内容过滤日志,文件过滤日志,URL过滤日志,WEB防护日志,防暴力破解日志,弱密码日志,控制策略阻断日志,本地控制策略日志,单包防护日志,Flood攻击日志,黑白名单日志,EDR推广日志,IPSecVPN日志中任意两种以上日志。
2. 持续以200条/s的速率向日志侦听端口写入步骤1中选取的日志，使用接口观察日志。【check1】
3. 反复$修改{操作}持续时间2小时以上，修改次数超过200次
4. 观察【check2】【chekc3】</t>
  </si>
  <si>
    <t>1. 【check1】日志写入成功，查询日志与写入的数量和内容一致。
2. 【check2】功能正常
3. 【check3】设备CPU、内容、磁盘无异常
4.</t>
  </si>
  <si>
    <t>验证反复日志查询的日志功能</t>
  </si>
  <si>
    <t>1. 选取系统日志,操作日志,入侵防御日志,防病毒日志,内容过滤日志,文件过滤日志,URL过滤日志,WEB防护日志,防暴力破解日志,弱密码日志,控制策略阻断日志,本地控制策略日志,单包防护日志,Flood攻击日志,黑白名单日志,EDR推广日志,IPSecVPN日志中任意两种以上日志。
2. 持续以200条/s的速率向日志侦听端口写入步骤1中选取的日志，使用接口观察日志。【check1】
3. 反复日志查询持续时间2小时以上，查询次数超过200次。【check1】【check2】</t>
  </si>
  <si>
    <t>1. 【check1】日志写入成功，查询日志与写入的数量和内容一致。
2. 【check2】设备CPU、内容、磁盘无异常
3.</t>
  </si>
  <si>
    <t>验证反复修改修改信息收集的调试日志功能</t>
  </si>
  <si>
    <t>1、网元正常启动
2、开启调试日志</t>
  </si>
  <si>
    <t>1. 检查设备调试日志和信息收集功能。【check1】
2. 反复修改信息收集，持续2小时以上，次数超过200次
3. 验证调试日志记录和信息收集功能【check1】【chekc2】</t>
  </si>
  <si>
    <t>1. 【check1】调试信息记录和信息收集功能正常
2. 【check2】设备CPU、内容、磁盘无异常
3.</t>
  </si>
  <si>
    <t>验证反复修改开启关闭调试日志的调试日志功能</t>
  </si>
  <si>
    <t>1. 检查设备调试日志和信息收集功能。【check1】
2. 反复开启关闭调试日志，持续2小时以上，次数超过200次
3. 验证调试日志记录和信息收集功能【check1】【chekc2】</t>
  </si>
  <si>
    <t>验证反复修改手动信息收集的调试日志功能</t>
  </si>
  <si>
    <t>1. 检查设备调试日志和信息收集功能。【check1】
2. 反复手动信息收集，持续2小时以上，次数超过200次
3. 验证调试日志记录和信息收集功能【check1】【chekc2】</t>
  </si>
  <si>
    <t>验证防火墙命令重启后的日志功能</t>
  </si>
  <si>
    <t>1. 配置日志服务器、日志过滤、日志备份（无盘系统不支持不需要配置），日志归并，信息收集方式、日志格式（CLI配置）与默认值不一样
2. 验证反复命令重启10次以上。
3. 防火墙启动后观察配置【check1】
4. 验证日志查询、日志外发、日志备份、日志归并功能【chekc2】
5. 验证信息收集功能【check3】</t>
  </si>
  <si>
    <t>1. 【check1】日志服务器、日志过滤、日志备份（无盘系统不支持不需要配置），日志归并，信息收集方式、日志格式（CLI配置）的配置与重启前相同。
2. 【check2】日志查询、日志外发、日志备份、日志归并功能正常
3. 【check3】信息收集功能正常
4. 
5.</t>
  </si>
  <si>
    <t>验证防火墙掉电重启后的日志功能</t>
  </si>
  <si>
    <t>1. 配置日志服务器、日志过滤、日志备份（无盘系统不支持不需要配置），日志归并，信息收集方式、日志格式（CLI配置）与默认值不一样
2. 验证反复掉电重启10次以上。
3. 防火墙启动后观察配置【check1】
4. 验证日志查询、日志外发、日志备份、日志归并功能【chekc2】
5. 验证信息收集功能【check3】</t>
  </si>
  <si>
    <t>验证防火墙配置导入导出后的日志功能</t>
  </si>
  <si>
    <t>1. 配置日志服务器、日志过滤、日志备份（无盘系统不支持不需要配置），日志归并，信息收集方式、日志格式（CLI配置）与默认值不一样，导出配置。【check1】
2. 验证日志查询、日志外发、日志备份、日志归并功能【chekc2】
3. 修改日志服务器、日志过滤、日志备份、日志归并、日志信息收集方式、日志格式配置与步骤1中的配置不一样。
4. 将步骤1中导出的配置文件导入防火墙。
5. 防火墙重启动后观察防火墙配置配置【check3】
6. 验证日志查询、日志外发、日志备份、日志归并功能【chekc2】
7. 验证信息收集功能【check4】</t>
  </si>
  <si>
    <t>1. 【check1】配置导出功能正常
2. 【check2】日志查询、日志外发、日志备份、日志归并功能正常
3. 【check3】日志服务器、日志过滤、日志备份（无盘系统不支持不需要配置），日志归并，信息收集方式、日志格式（CLI配置）的配置与步骤1中导出的配置相同。
4. 【check4】信息收集功能正常
5. 
6. 
7.</t>
  </si>
  <si>
    <t>验证防火墙升级后的日志功能</t>
  </si>
  <si>
    <t>1. 配置日志服务器、日志过滤、日志备份（无盘系统不支持不需要配置），日志归并，信息收集方式、日志格式（CLI配置）与默认值不一样
2. 升级防火墙
3. 防火墙升级后观察配置【check1】
4. 验证日志查询、日志外发、日志备份、日志归并功能【chekc2】
5. 验证信息收集功能【check3】</t>
  </si>
  <si>
    <t>验证防火墙重置配置后的日志功能</t>
  </si>
  <si>
    <t>1. 配置日志服务器、日志过滤、日志备份（无盘系统不支持不需要配置），日志归并，信息收集方式、日志格式（CLI配置）与默认值不一样
2. 重置防火墙配置
3. 防火墙启动后观察配置【check1】</t>
  </si>
  <si>
    <t>1. 【check1】日志服务器、日志过滤、日志备份（无盘系统不支持不需要配置），日志归并，信息收集方式、日志格式（CLI配置）的配置还原默认值
2. 
3.</t>
  </si>
  <si>
    <t>验证防火墙主备场景下的日志功能</t>
  </si>
  <si>
    <t>1、网元正常启动
2、双机主备关系正常建立</t>
  </si>
  <si>
    <t>1. 在配置主机上配置日志服务器、日志过滤、日志备份（无盘系统不支持不需要配置），日志归并，信息收集方式、日志格式（CLI配置）与默认值不一样。【check1】
2. 在配置备机上观察日志配置，并发起配置修改。【check2】【check3】
3. 在双机上观察日志查询、日志外发、日志备份、日志归并功能【check4】
4. 在双机上观察调试日志和信息收集功能【check5】
5. 发起主备切换，重复步骤3和步骤4。【check4】【check5】
6. 发起主备回切，，重复步骤3和步骤4。【check4】【check5】</t>
  </si>
  <si>
    <t>1. 【check1】日志服务器、日志过滤、日志备份（无盘系统不支持不需要配置），日志归并，信息收集方式、日志格式（CLI配置）的配置成功
2. 【check2】日志服务器、日志过滤、日志备份（无盘系统不支持不需要配置），日志归并，信息收集方式、日志格式（CLI配置）的配置同步到备机
3. 【check3】备机不允许修改日志服务器、日志过滤、日志备份（无盘系统不支持不需要配置），日志归并，信息收集方式、日志格式（CLI配置）配置，提示信息正确。
4. 【check4】双机的日志查询、日志外发（双机都外发）、日志备份、日志归并功能均正常
5. 【check5】双机调试日志和信息收集功能正常。调试日志开关双机不同步且备机可以开始调试日志记录功能。
6.</t>
  </si>
  <si>
    <t>验证防火墙主主场景下的日志功能</t>
  </si>
  <si>
    <t>1、网元正常启动
2、双机主主关系正常建立</t>
  </si>
  <si>
    <t>/管理维护/监控统计/日志中心/管理维护/日志进程管理(#19390)</t>
  </si>
  <si>
    <t>kill -STOP模拟数据库进程卡住，验证心跳检查机制自动重启数据库进程</t>
  </si>
  <si>
    <t>1.设备启动
2.存在背景流</t>
  </si>
  <si>
    <t>1. 后台执行kill -STOP 数据库进程pid
2. 查看supervisor日志
3. 持续观察数据库进程情况
4. 进程重启后观察日志入库</t>
  </si>
  <si>
    <t>1. 【check1】执行成功
2. 【check2】持续产生数据库进程异常日志
3. 【check3】1分钟内自动重启数据库进程，过程中背景流正常转发
4. 【check4】正常新增日志</t>
  </si>
  <si>
    <t>2024-09-12 17:35:00</t>
  </si>
  <si>
    <t>2024-09-12 11:48:23</t>
  </si>
  <si>
    <t>2024-09-12 11:48:44</t>
  </si>
  <si>
    <t>验证influxdb进程守护功能</t>
  </si>
  <si>
    <t>1. linux后台查看进程启动情况【check1】
2. kill -9 influxdb进程对应的进程号，linux后台查看进程【check2】
3. 构造产生任意操作日志，观察日志记录情况。【check3】
4. 频繁kill influxdb200次以上，重复步骤2和步骤3。【check2】【check3】</t>
  </si>
  <si>
    <t>1. 【check1】influxdb进程正常启动
2. 【check2】influxdb进程在5s内正常启动
3. 【check3】操作日志正常记录
4.</t>
  </si>
  <si>
    <t>2024-10-17 11:12:07</t>
  </si>
  <si>
    <t>验证dbtask进程守护功能</t>
  </si>
  <si>
    <t>1. linux后台查看进程启动情况【check1】
2. kill -9 dbtask进程对应的进程号，linux后台查看进程【check2】
3. 构造产生任意操作日志，观察日志记录情况。【check3】
4. 频繁kill dbtask200次以上，重复步骤2和步骤3。【check2】【check3】</t>
  </si>
  <si>
    <t>1. 【check1】dbtask进程正常启动
2. 【check2】dbtask进程在5s内正常启动
3. 【check3】操作日志正常记录
4.</t>
  </si>
  <si>
    <t>2024-10-17 14:46:00</t>
  </si>
  <si>
    <t>验证logservr进程守护功能</t>
  </si>
  <si>
    <t>1. linux后台查看进程启动情况【check1】
2. kill -9 logservr进程对应的进程号，linux后台查看进程【check2】
3. 构造产生任意操作日志，观察日志记录情况。【check3】
4. 频繁kill logservr200次以上，重复步骤2和步骤3。【check2】【check3】</t>
  </si>
  <si>
    <t>1. 【check1】logservr进程正常启动
2. 【check2】logservr进程在5s内正常启动
3. 【check3】操作日志正常记录
4.</t>
  </si>
  <si>
    <t>2024-10-16 20:34:16</t>
  </si>
  <si>
    <t>验证influxdb组件在有存储设备上的启动参数</t>
  </si>
  <si>
    <t>1. 使用ps进程观察influxdb的启动参数【check1】
2. 在/appdata/etc/agentcfg/supervisor.conf中观察influxdb的启动参数【check1】
3. 使用ll观察/userdata/influxdbdata和/userdata/userfile/influxTask目录【check3】</t>
  </si>
  <si>
    <t>1. 【check1】启动参数为"--bolt-path /appdata/etc/influxd.bolt --engine-path /userdata/influxdbdata/ --http-bind-address 127.0.0.1:8086 --http-idle-timeout 3m0s --http-read-timeout 10s --http-write-timeout 10s --query-memory-bytes 7730941132 --influxql-max-select-point 0"
2. 【check2】存在软件链接/userdata/userfile/influxTask -&gt; /exdisk/userfile/influxTask和/userdata/influxdbdata -&gt; /exdisk/influxdbdata
3.</t>
  </si>
  <si>
    <t>2024-10-15 09:47:18</t>
  </si>
  <si>
    <t>TGFW-160，TGFW-A100-FU</t>
  </si>
  <si>
    <t>验证influxdb组件在无存储设备上的启动参数</t>
  </si>
  <si>
    <t>1. 【check1】启动参数为"--bolt-path /appdata/etc/influxd.bolt --engine-path /userdata/influxdbdata/ --http-bind-address 127.0.0.1:8086 --http-idle-timeout 3m0s --http-read-timeout 10s --http-write-timeout 10s --query-memory-bytes 966367641 --storage-cache-max-memory-size 5242880 --storage-cache-snapshot-write-cold-duration 1m --storage-max-index-log-file-size 524288 --storage-cache-snapshot-memory-size 5242880 --inluxql-max-select-point 0"
2. 【check2】两个文件不存在软链接
3.</t>
  </si>
  <si>
    <t>2024-10-16 20:27:45</t>
  </si>
  <si>
    <t>2024-10-15 09:59:50</t>
  </si>
  <si>
    <t>TGFW-EX-STORAGE</t>
  </si>
  <si>
    <t>/管理维护/监控统计/日志中心/日志管理/防火墙日志(#22641)</t>
  </si>
  <si>
    <t>验证系统日志的写入和查询功能</t>
  </si>
  <si>
    <t>网元正常启动</t>
  </si>
  <si>
    <t>1. 向防火墙的日志侦听端口写入系统日志，日志中的所有字段均不相同，写入方法参考wiki中的总结文档。
2. 在日志中心查询系统日志
3. 对比查询到日志的时间与步骤1中写入日志内容【check1】
4. 对比查询到日志的日志级别与步骤1中写入日志内容【check1】
5. 对比查询到日志的日志描述与步骤1中写入日志内容【check1】</t>
  </si>
  <si>
    <t>1. 【check1】查询到的数据与写入的数据完全相同
2. 
3. 
4. 
5.</t>
  </si>
  <si>
    <t>2024-10-22 18:59:58</t>
  </si>
  <si>
    <t>验证操作日志的写入和查询功能</t>
  </si>
  <si>
    <t>1. 向防火墙的日志侦听端口写入操作日志，日志中的所有字段均不相同，写入方法参考wiki中的总结文档。
2. 在日志中心查询操作日志
3. 对比查询到日志的时间与步骤1中写入日志内容【check1】
4. 对比查询到日志的日志级别与步骤1中写入日志内容【check1】
5. 对比查询到日志的管理员与步骤1中写入日志内容【check1】
6. 对比查询到日志的管理员IP与步骤1中写入日志内容【check1】
7. 对比查询到日志的日志描述与步骤1中写入日志内容【check1】</t>
  </si>
  <si>
    <t>1. 【check1】查询到的数据与写入的数据完全相同
2. 
3. 
4. 
5. 
6. 
7.</t>
  </si>
  <si>
    <t>验证入侵防御日志的写入和查询功能</t>
  </si>
  <si>
    <t>1. 向防火墙的日志侦听端口写入入侵防御日志，日志中的所有字段均不相同，写入方法参考wiki中的总结文档。
2. 在日志中心查询入侵防御日志
3. 对比查询到日志的时间与步骤1中写入日志内容【check1】
4. 对比查询到日志的日志级别与步骤1中写入日志内容【check1】
5. 对比查询到日志的源地址与步骤1中写入日志内容【check1】
6. 对比查询到日志的源端口与步骤1中写入日志内容【check1】
7. 对比查询到日志的目的地址与步骤1中写入日志内容【check1】
8. 对比查询到日志的目的端口与步骤1中写入日志内容【check1】
9. 对比查询到日志的协议与步骤1中写入日志内容【check1】
10. 对比查询到日志的策略ID与步骤1中写入日志内容【check1】
11. 对比查询到日志的规则名称与步骤1中写入日志内容【check1】
12. 对比查询到日志的命中配置与步骤1中写入日志内容【check1】
13. 对比查询到日志的动作与步骤1中写入日志内容【check1】</t>
  </si>
  <si>
    <t>1. 【check1】查询到的数据与写入的数据完全相同
2. 
3. 
4. 
5. 
6. 
7. 
8. 
9. 
10. 
11. 
12. 
13.</t>
  </si>
  <si>
    <t>1. 
2. 
3. 
4. 
5. 
6. 
7. 
8. 
9. 
10. 
11. 
12. 
13.</t>
  </si>
  <si>
    <t>验证防病毒日志的写入和查询功能</t>
  </si>
  <si>
    <t>1. 向防火墙的日志侦听端口写入防病毒日志，日志中的所有字段均不相同，写入方法参考wiki中的总结文档。
2. 在日志中心查询防病毒日志
3. 对比查询到日志的时间与步骤1中写入日志内容【check1】
4. 对比查询到日志的日志级别与步骤1中写入日志内容【check1】
5. 对比查询到日志的源地址与步骤1中写入日志内容【check1】
6. 对比查询到日志的源端口与步骤1中写入日志内容【check1】
7. 对比查询到日志的目的地址与步骤1中写入日志内容【check1】
8. 对比查询到日志的目的端口与步骤1中写入日志内容【check1】
9. 对比查询到日志的协议与步骤1中写入日志内容【check1】
10. 对比查询到日志的策略ID与步骤1中写入日志内容【check1】
11. 对比查询到日志的应用类型与步骤1中写入日志内容【check1】
12. 对比查询到日志的文件名与步骤1中写入日志内容【check1】
13. 对比查询到日志的病毒类型与步骤1中写入日志内容【check1】
14. 对比查询到日志的动作与步骤1中写入日志内容【check1】</t>
  </si>
  <si>
    <t>1. 【check1】查询到的数据与写入的数据完全相同
2. 
3. 
4. 
5. 
6. 
7. 
8. 
9. 
10. 
11. 
12. 
13. 
14.</t>
  </si>
  <si>
    <t>1. 
2. 
3. 
4. 
5. 
6. 
7. 
8. 
9. 
10. 
11. 
12. 
13. 
14.</t>
  </si>
  <si>
    <t>验证内容过滤日志的写入和查询功能</t>
  </si>
  <si>
    <t>1. 向防火墙的日志侦听端口写入内容过滤日志，日志中的所有字段均不相同，写入方法参考wiki中的总结文档。
2. 在日志中心查询内容过滤日志
3. 对比查询到日志的时间与步骤1中写入日志内容【check1】
4. 对比查询到日志的日志级别与步骤1中写入日志内容【check1】
5. 对比查询到日志的源地址与步骤1中写入日志内容【check1】
6. 对比查询到日志的源端口与步骤1中写入日志内容【check1】
7. 对比查询到日志的目的地址与步骤1中写入日志内容【check1】
8. 对比查询到日志的目的端口与步骤1中写入日志内容【check1】
9. 对比查询到日志的协议与步骤1中写入日志内容【check1】
10. 对比查询到日志的策略ID与步骤1中写入日志内容【check1】
11. 对比查询到日志的动作与步骤1中写入日志内容【check1】</t>
  </si>
  <si>
    <t>1. 【check1】查询到的数据与写入的数据完全相同
2. 
3. 
4. 
5. 
6. 
7. 
8. 
9. 
10. 
11.</t>
  </si>
  <si>
    <t>1. 
2. 
3. 
4. 
5. 
6. 
7. 
8. 
9. 
10. 
11.</t>
  </si>
  <si>
    <t>验证文件过滤日志的写入和查询功能</t>
  </si>
  <si>
    <t>1. 向防火墙的日志侦听端口写入文件过滤日志，日志中的所有字段均不相同，写入方法参考wiki中的总结文档。
2. 在日志中心查询文件过滤日志
3. 对比查询到日志的时间与步骤1中写入日志内容【check1】
4. 对比查询到日志的日志级别与步骤1中写入日志内容【check1】
5. 对比查询到日志的源地址与步骤1中写入日志内容【check1】
6. 对比查询到日志的源端口与步骤1中写入日志内容【check1】
7. 对比查询到日志的目的地址与步骤1中写入日志内容【check1】
8. 对比查询到日志的目的端口与步骤1中写入日志内容【check1】
9. 对比查询到日志的策略ID与步骤1中写入日志内容【check1】
10. 对比查询到日志的应用类型与步骤1中写入日志内容【check1】
11. 对比查询到日志的文件名与步骤1中写入日志内容【check1】
12. 对比查询到日志的动作与步骤1中写入日志内容【check1】</t>
  </si>
  <si>
    <t>1. 【check1】查询到的数据与写入的数据完全相同
2. 
3. 
4. 
5. 
6. 
7. 
8. 
9. 
10. 
11. 
12.</t>
  </si>
  <si>
    <t>1. 
2. 
3. 
4. 
5. 
6. 
7. 
8. 
9. 
10. 
11. 
12.</t>
  </si>
  <si>
    <t>验证URL过滤日志的写入和查询功能</t>
  </si>
  <si>
    <t>1. 向防火墙的日志侦听端口写入URL过滤日志，日志中的所有字段均不相同，写入方法参考wiki中的总结文档。
2. 在日志中心查询URL过滤日志
3. 对比查询到日志的时间与步骤1中写入日志内容【check1】
4. 对比查询到日志的日志级别与步骤1中写入日志内容【check1】
5. 对比查询到日志的源地址与步骤1中写入日志内容【check1】
6. 对比查询到日志的源端口与步骤1中写入日志内容【check1】
7. 对比查询到日志的目的地址与步骤1中写入日志内容【check1】
8. 对比查询到日志的目的端口与步骤1中写入日志内容【check1】
9. 对比查询到日志的协议与步骤1中写入日志内容【check1】
10. 对比查询到日志的策略ID与步骤1中写入日志内容【check1】
11. 对比查询到日志的动作与步骤1中写入日志内容【check1】
12. 对比查询到日志的过滤类型与步骤1中写入日志内容【check1】</t>
  </si>
  <si>
    <t>验证WEB防护日志的写入和查询功能</t>
  </si>
  <si>
    <t>1. 向防火墙的日志侦听端口写入WEB防护日志，日志中的所有字段均不相同，写入方法参考wiki中的总结文档。
2. 在日志中心查询WEB防护日志
3. 对比查询到日志的时间与步骤1中写入日志内容【check1】
4. 对比查询到日志的日志级别与步骤1中写入日志内容【check1】
5. 对比查询到日志的源地址与步骤1中写入日志内容【check1】
6. 对比查询到日志的源端口与步骤1中写入日志内容【check1】
7. 对比查询到日志的目的地址与步骤1中写入日志内容【check1】
8. 对比查询到日志的目的端口与步骤1中写入日志内容【check1】
9. 对比查询到日志的协议与步骤1中写入日志内容【check1】
10. 对比查询到日志的防护类型与步骤1中写入日志内容【check1】
11. 对比查询到日志的攻击次数与步骤1中写入日志内容【check1】
12. 对比查询到日志的动作与步骤1中写入日志内容【check1】</t>
  </si>
  <si>
    <t>验证防暴力破解日志的写入和查询功能</t>
  </si>
  <si>
    <t>1. 向防火墙的日志侦听端口写入防暴力破解日志，日志中的所有字段均不相同，写入方法参考wiki中的总结文档。
2. 在日志中心查询防暴力破解日志
3. 对比查询到日志的时间与步骤1中写入日志内容【check1】
4. 对比查询到日志的日志级别与步骤1中写入日志内容【check1】
5. 对比查询到日志的源地址与步骤1中写入日志内容【check1】
6. 对比查询到日志的源端口与步骤1中写入日志内容【check1】
7. 对比查询到日志的目的地址与步骤1中写入日志内容【check1】
8. 对比查询到日志的目的端口与步骤1中写入日志内容【check1】
9. 对比查询到日志的协议与步骤1中写入日志内容【check1】
10. 对比查询到日志的动作与步骤1中写入日志内容【check1】</t>
  </si>
  <si>
    <t>1. 【check1】查询到的数据与写入的数据完全相同
2. 
3. 
4. 
5. 
6. 
7. 
8. 
9. 
10.</t>
  </si>
  <si>
    <t>1. 
2. 
3. 
4. 
5. 
6. 
7. 
8. 
9. 
10.</t>
  </si>
  <si>
    <t>验证弱密码日志的写入和查询功能</t>
  </si>
  <si>
    <t>1. 向防火墙的日志侦听端口写入弱密码日志，日志中的所有字段均不相同，写入方法参考wiki中的总结文档。
2. 在日志中心查询弱密码日志
3. 对比查询到日志的时间与步骤1中写入日志内容【check1】
4. 对比查询到日志的日志级别与步骤1中写入日志内容【check1】
5. 对比查询到日志的源地址与步骤1中写入日志内容【check1】
6. 对比查询到日志的源端口与步骤1中写入日志内容【check1】
7. 对比查询到日志的目的地址与步骤1中写入日志内容【check1】
8. 对比查询到日志的目的端口与步骤1中写入日志内容【check1】
9. 对比查询到日志的协议与步骤1中写入日志内容【check1】
10. 对比查询到日志的策略ID与步骤1中写入日志内容【check1】
11. 对比查询到日志的配置名称与步骤1中写入日志内容【check1】
12. 对比查询到日志的动作与步骤1中写入日志内容【check1】</t>
  </si>
  <si>
    <t>验证控制策略阻断日志的写入和查询功能</t>
  </si>
  <si>
    <t>1. 向防火墙的日志侦听端口写入控制策略阻断日志，日志中的所有字段均不相同，写入方法参考wiki中的总结文档。
2. 在日志中心查询控制策略阻断日志
3. 对比查询到日志的时间与步骤1中写入日志内容【check1】
4. 对比查询到日志的日志级别与步骤1中写入日志内容【check1】
5. 对比查询到日志的源地址与步骤1中写入日志内容【check1】
6. 对比查询到日志的源端口与步骤1中写入日志内容【check1】
7. 对比查询到日志的目的地址与步骤1中写入日志内容【check1】
8. 对比查询到日志的目的端口与步骤1中写入日志内容【check1】
9. 对比查询到日志的源安全域与步骤1中写入日志内容【check1】
10. 对比查询到日志的目的安全域与步骤1中写入日志内容【check1】
11. 对比查询到日志的源地区与步骤1中写入日志内容【check1】
12. 对比查询到日志的目的与步骤1中写入日志内容【check1】
13. 对比查询到日志的应用与步骤1中写入日志内容【check1】
14. 对比查询到日志的协议号与步骤1中写入日志内容【check1】
15. 对比查询到日志的策略名称与步骤1中写入日志内容【check1】
16. 对比查询到日志的动作与步骤1中写入日志内容【check1】</t>
  </si>
  <si>
    <t>1. 【check1】查询到的数据与写入的数据完全相同
2. 
3. 
4. 
5. 
6. 
7. 
8. 
9. 
10. 
11. 
12. 
13. 
14. 
15. 
16.</t>
  </si>
  <si>
    <t>1. 
2. 
3. 
4. 
5. 
6. 
7. 
8. 
9. 
10. 
11. 
12. 
13. 
14. 
15. 
16.</t>
  </si>
  <si>
    <t>验证本地控制策略日志的写入和查询功能</t>
  </si>
  <si>
    <t>1. 向防火墙的日志侦听端口写入本地控制策略日志，日志中的所有字段均不相同，写入方法参考wiki中的总结文档。
2. 在日志中心查询本地控制策略日志
3. 对比查询到日志的时间与步骤1中写入日志内容【check1】
4. 对比查询到日志的日志级别与步骤1中写入日志内容【check1】
5. 对比查询到日志的源地址与步骤1中写入日志内容【check1】
6. 对比查询到日志的源端口与步骤1中写入日志内容【check1】
7. 对比查询到日志的目的地址与步骤1中写入日志内容【check1】
8. 对比查询到日志的目的端口与步骤1中写入日志内容【check1】
9. 对比查询到日志的源安全域与步骤1中写入日志内容【check1】
10. 对比查询到日志的目的安全域与步骤1中写入日志内容【check1】
11. 对比查询到日志的源地区与步骤1中写入日志内容【check1】
12. 对比查询到日志的目的与步骤1中写入日志内容【check1】
13. 对比查询到日志的应用与步骤1中写入日志内容【check1】
14. 对比查询到日志的协议号与步骤1中写入日志内容【check1】
15. 对比查询到日志的策略名称与步骤1中写入日志内容【check1】
16. 对比查询到日志的动作与步骤1中写入日志内容【check1】</t>
  </si>
  <si>
    <t>验证单包防护日志的写入和查询功能</t>
  </si>
  <si>
    <t>1. 向防火墙的日志侦听端口写入单包防护日志，日志中的所有字段均不相同，写入方法参考wiki中的总结文档。
2. 在日志中心查询单包防护日志
3. 对比查询到日志的时间与步骤1中写入日志内容【check1】
4. 对比查询到日志的攻击类型与步骤1中写入日志内容【check1】
5. 对比查询到日志的源IP与步骤1中写入日志内容【check1】
6. 对比查询到日志的目的IP与步骤1中写入日志内容【check1】
7. 对比查询到日志的日志级别与步骤1中写入日志内容【check1】</t>
  </si>
  <si>
    <t>验证Flood攻击日志的写入和查询功能</t>
  </si>
  <si>
    <t>1. 向防火墙的日志侦听端口写入Flood攻击日志，日志中的所有字段均不相同，写入方法参考wiki中的总结文档。
2. 在日志中心查询Flood攻击日志
3. 对比查询到日志的时间与步骤1中写入日志内容【check1】
4. 对比查询到日志的攻击类型与步骤1中写入日志内容【check1】
5. 对比查询到日志的源IP与步骤1中写入日志内容【check1】
6. 对比查询到日志的目的IP与步骤1中写入日志内容【check1】
7. 对比查询到日志的源端口与步骤1中写入日志内容【check1】
8. 对比查询到日志的目的端口与步骤1中写入日志内容【check1】
9. 对比查询到日志的Ddos防护策略与步骤1中写入日志内容【check1】
10. 对比查询到日志的协议号与步骤1中写入日志内容【check1】
11. 对比查询到日志的防护算法与步骤1中写入日志内容【check1】</t>
  </si>
  <si>
    <t>验证黑白名单日志的写入和查询功能</t>
  </si>
  <si>
    <t>1. 向防火墙的日志侦听端口写入黑白名单日志，日志中的所有字段均不相同，写入方法参考wiki中的总结文档。
2. 在日志中心查询黑白名单日志
3. 对比查询到日志的时间与步骤1中写入日志内容【check1】
4. 对比查询到日志的日志类型与步骤1中写入日志内容【check1】</t>
  </si>
  <si>
    <t>1. 【check1】查询到的数据与写入的数据完全相同
2. 
3. 
4.</t>
  </si>
  <si>
    <t>验证EDR推广日志的写入和查询功能</t>
  </si>
  <si>
    <t>1. 向防火墙的日志侦听端口写入EDR推广日志，日志中的所有字段均不相同，写入方法参考wiki中的总结文档。
2. 在日志中心查询EDR推广日志
3. 对比查询到日志的时间与步骤1中写入日志内容【check1】
4. 对比查询到日志的源IP与步骤1中写入日志内容【check1】
5. 对比查询到日志的目的IP与步骤1中写入日志内容【check1】
6. 对比查询到日志的源端口与步骤1中写入日志内容【check1】
7. 对比查询到日志的目的端口与步骤1中写入日志内容【check1】
8. 对比查询到日志的协议号与步骤1中写入日志内容【check1】
9. 对比查询到日志的策略ID与步骤1中写入日志内容【check1】</t>
  </si>
  <si>
    <t>1. 【check1】查询到的数据与写入的数据完全相同
2. 
3. 
4. 
5. 
6. 
7. 
8. 
9.</t>
  </si>
  <si>
    <t>1. 
2. 
3. 
4. 
5. 
6. 
7. 
8. 
9.</t>
  </si>
  <si>
    <t>验证IPSecVPN日志的写入和查询功能</t>
  </si>
  <si>
    <t>1. 向防火墙的日志侦听端口写入IPSecVPN日志，日志中的所有字段均不相同，写入方法参考wiki中的总结文档。
2. 在日志中心查询IPSecVPN日志
3. 对比查询到日志的时间与步骤1中写入日志内容【check1】
4. 对比查询到日志的攻击类型与步骤1中写入日志内容【check1】
5. 对比查询到日志的名称与步骤1中写入日志内容【check1】
6. 对比查询到日志的本地网关与步骤1中写入日志内容【check1】
7. 对比查询到日志的本地端口与步骤1中写入日志内容【check1】
8. 对比查询到日志的对端网关与步骤1中写入日志内容【check1】
9. 对比查询到日志的对端端口与步骤1中写入日志内容【check1】
10. 对比查询到日志的源网络与步骤1中写入日志内容【check1】
11. 对比查询到日志的目的网络与步骤1中写入日志内容【check1】</t>
  </si>
  <si>
    <t>验证系统日志的精确过滤功能</t>
  </si>
  <si>
    <t>1. 向防火墙的日志侦听端口写入一条系统日志，该日志的时间为任意有效时间time1~time2内，其他非时间为任意字符串str1。遍历系统日志的所有字段，每个字段对应一到两条日志，日志的时间部分在time1~time2内部分在time2~time3内（time3大于time2），日志中只有一个字段存为str1，其他字段不为str1。
2. 使用高级查询功能查询系统日志，过滤时间范围在time1~time3【check1】
3. 使用高级查询功能查询系统日志，过滤时间范围为time1~time2【check2】【check4】
4. 使用高级查询功能查询系统日志，仅日志级别过滤str1【check3】【check4】</t>
  </si>
  <si>
    <t>1. 【check1】查询不到任何日志
2. 【check2】可以查询到所有写入时间为time1~time2的日志。
3. 【check3】仅能查到过滤字段为str1的日志，其他字段为str1的日志不会被查询到。
4. 【check4】查询到的日志数量正确，选取首尾和随机条的所有字段正确。</t>
  </si>
  <si>
    <t>验证操作日志的精确过滤功能</t>
  </si>
  <si>
    <t>1. 向防火墙的日志侦听端口写入一条操作日志，该日志的时间为任意有效时间time1~time2内，其他非时间为任意字符串str1。遍历操作日志的所有字段，每个字段对应一到两条日志，日志的时间部分在time1~time2内部分在time2~time3内（time3大于time2），日志中只有一个字段存为str1，其他字段不为str1。
2. 使用高级查询功能查询操作日志，过滤时间范围在time1~time3【check1】
3. 使用高级查询功能查询操作日志，过滤时间范围为time1~time2【check2】【check4】
4. 使用高级查询功能查询操作日志，仅日志级别过滤str1【check3】【check4】
5. 使用高级查询功能查询操作日志，仅管理员过滤str1【check3】【check4】
6. 使用高级查询功能查询操作日志，仅管理员IP过滤str1【check3】【check4】</t>
  </si>
  <si>
    <t>1. 【check1】查询不到任何日志
2. 【check2】可以查询到所有写入时间为time1~time2的日志。
3. 【check3】仅能查到过滤字段为str1的日志，其他字段为str1的日志不会被查询到。
4. 【check4】查询到的日志数量正确，选取首尾和随机条的所有字段正确。
5. 
6.</t>
  </si>
  <si>
    <t>验证入侵防御日志的精确过滤功能</t>
  </si>
  <si>
    <t>1. 向防火墙的日志侦听端口写入一条入侵防御日志，该日志的时间为任意有效时间time1~time2内，其他非时间为任意字符串str1。遍历入侵防御日志的所有字段，每个字段对应一到两条日志，日志的时间部分在time1~time2内部分在time2~time3内（time3大于time2），日志中只有一个字段存为str1，其他字段不为str1。
2. 使用高级查询功能查询入侵防御日志，过滤时间范围在time1~time3【check1】
3. 使用高级查询功能查询入侵防御日志，过滤时间范围为time1~time2【check2】【check4】
4. 使用高级查询功能查询入侵防御日志，仅日志级别过滤str1【check3】【check4】
5. 使用高级查询功能查询入侵防御日志，仅源地址过滤str1【check3】【check4】
6. 使用高级查询功能查询入侵防御日志，仅源端口过滤str1【check3】【check4】
7. 使用高级查询功能查询入侵防御日志，仅目的地址过滤str1【check3】【check4】
8. 使用高级查询功能查询入侵防御日志，仅目的端口过滤str1【check3】【check4】
9. 使用高级查询功能查询入侵防御日志，仅协议过滤str1【check3】【check4】
10. 使用高级查询功能查询入侵防御日志，仅策略ID过滤str1【check3】【check4】
11. 使用高级查询功能查询入侵防御日志，仅规则名称过滤str1【check3】【check4】
12. 使用高级查询功能查询入侵防御日志，仅命中配置过滤str1【check3】【check4】
13. 使用高级查询功能查询入侵防御日志，仅动作过滤str1【check3】【check4】</t>
  </si>
  <si>
    <t>1. 【check1】查询不到任何日志
2. 【check2】可以查询到所有写入时间为time1~time2的日志。
3. 【check3】仅能查到过滤字段为str1的日志，其他字段为str1的日志不会被查询到。
4. 【check4】查询到的日志数量正确，选取首尾和随机条的所有字段正确。
5. 
6. 
7. 
8. 
9. 
10. 
11. 
12. 
13.</t>
  </si>
  <si>
    <t>验证防病毒日志的精确过滤功能</t>
  </si>
  <si>
    <t>1. 向防火墙的日志侦听端口写入一条防病毒日志，该日志的时间为任意有效时间time1~time2内，其他非时间为任意字符串str1。遍历防病毒日志的所有字段，每个字段对应一到两条日志，日志的时间部分在time1~time2内部分在time2~time3内（time3大于time2），日志中只有一个字段存为str1，其他字段不为str1。
2. 使用高级查询功能查询防病毒日志，过滤时间范围在time1~time3【check1】
3. 使用高级查询功能查询防病毒日志，过滤时间范围为time1~time2【check2】【check4】
4. 使用高级查询功能查询防病毒日志，仅日志级别过滤str1【check3】【check4】
5. 使用高级查询功能查询防病毒日志，仅源地址过滤str1【check3】【check4】
6. 使用高级查询功能查询防病毒日志，仅源端口过滤str1【check3】【check4】
7. 使用高级查询功能查询防病毒日志，仅目的地址过滤str1【check3】【check4】
8. 使用高级查询功能查询防病毒日志，仅目的端口过滤str1【check3】【check4】
9. 使用高级查询功能查询防病毒日志，仅协议过滤str1【check3】【check4】
10. 使用高级查询功能查询防病毒日志，仅策略ID过滤str1【check3】【check4】
11. 使用高级查询功能查询防病毒日志，仅应用类型过滤str1【check3】【check4】
12. 使用高级查询功能查询防病毒日志，仅文件名过滤str1【check3】【check4】
13. 使用高级查询功能查询防病毒日志，仅病毒类型过滤str1【check3】【check4】
14. 使用高级查询功能查询防病毒日志，仅动作过滤str1【check3】【check4】</t>
  </si>
  <si>
    <t>1. 【check1】查询不到任何日志
2. 【check2】可以查询到所有写入时间为time1~time2的日志。
3. 【check3】仅能查到过滤字段为str1的日志，其他字段为str1的日志不会被查询到。
4. 【check4】查询到的日志数量正确，选取首尾和随机条的所有字段正确。
5. 
6. 
7. 
8. 
9. 
10. 
11. 
12. 
13. 
14.</t>
  </si>
  <si>
    <t>验证内容过滤日志的精确过滤功能</t>
  </si>
  <si>
    <t>1. 向防火墙的日志侦听端口写入一条内容过滤日志，该日志的时间为任意有效时间time1~time2内，其他非时间为任意字符串str1。遍历内容过滤日志的所有字段，每个字段对应一到两条日志，日志的时间部分在time1~time2内部分在time2~time3内（time3大于time2），日志中只有一个字段存为str1，其他字段不为str1。
2. 使用高级查询功能查询内容过滤日志，过滤时间范围在time1~time3【check1】
3. 使用高级查询功能查询内容过滤日志，过滤时间范围为time1~time2【check2】【check4】
4. 使用高级查询功能查询内容过滤日志，仅日志级别过滤str1【check3】【check4】
5. 使用高级查询功能查询内容过滤日志，仅源地址过滤str1【check3】【check4】
6. 使用高级查询功能查询内容过滤日志，仅源端口过滤str1【check3】【check4】
7. 使用高级查询功能查询内容过滤日志，仅目的地址过滤str1【check3】【check4】
8. 使用高级查询功能查询内容过滤日志，仅目的端口过滤str1【check3】【check4】
9. 使用高级查询功能查询内容过滤日志，仅协议过滤str1【check3】【check4】
10. 使用高级查询功能查询内容过滤日志，仅策略ID过滤str1【check3】【check4】
11. 使用高级查询功能查询内容过滤日志，仅动作过滤str1【check3】【check4】</t>
  </si>
  <si>
    <t>1. 【check1】查询不到任何日志
2. 【check2】可以查询到所有写入时间为time1~time2的日志。
3. 【check3】仅能查到过滤字段为str1的日志，其他字段为str1的日志不会被查询到。
4. 【check4】查询到的日志数量正确，选取首尾和随机条的所有字段正确。
5. 
6. 
7. 
8. 
9. 
10. 
11.</t>
  </si>
  <si>
    <t>验证文件过滤日志的精确过滤功能</t>
  </si>
  <si>
    <t>1. 向防火墙的日志侦听端口写入一条文件过滤日志，该日志的时间为任意有效时间time1~time2内，其他非时间为任意字符串str1。遍历文件过滤日志的所有字段，每个字段对应一到两条日志，日志的时间部分在time1~time2内部分在time2~time3内（time3大于time2），日志中只有一个字段存为str1，其他字段不为str1。
2. 使用高级查询功能查询文件过滤日志，过滤时间范围在time1~time3【check1】
3. 使用高级查询功能查询文件过滤日志，过滤时间范围为time1~time2【check2】【check4】
4. 使用高级查询功能查询文件过滤日志，仅日志级别过滤str1【check3】【check4】
5. 使用高级查询功能查询文件过滤日志，仅源地址过滤str1【check3】【check4】
6. 使用高级查询功能查询文件过滤日志，仅源端口过滤str1【check3】【check4】
7. 使用高级查询功能查询文件过滤日志，仅目的地址过滤str1【check3】【check4】
8. 使用高级查询功能查询文件过滤日志，仅目的端口过滤str1【check3】【check4】
9. 使用高级查询功能查询文件过滤日志，仅策略ID过滤str1【check3】【check4】
10. 使用高级查询功能查询文件过滤日志，仅应用类型过滤str1【check3】【check4】
11. 使用高级查询功能查询文件过滤日志，仅文件名过滤str1【check3】【check4】
12. 使用高级查询功能查询文件过滤日志，仅动作过滤str1【check3】【check4】</t>
  </si>
  <si>
    <t>1. 【check1】查询不到任何日志
2. 【check2】可以查询到所有写入时间为time1~time2的日志。
3. 【check3】仅能查到过滤字段为str1的日志，其他字段为str1的日志不会被查询到。
4. 【check4】查询到的日志数量正确，选取首尾和随机条的所有字段正确。
5. 
6. 
7. 
8. 
9. 
10. 
11. 
12.</t>
  </si>
  <si>
    <t>验证URL过滤日志的精确过滤功能</t>
  </si>
  <si>
    <t>1. 向防火墙的日志侦听端口写入一条URL过滤日志，该日志的时间为任意有效时间time1~time2内，其他非时间为任意字符串str1。遍历URL过滤日志的所有字段，每个字段对应一到两条日志，日志的时间部分在time1~time2内部分在time2~time3内（time3大于time2），日志中只有一个字段存为str1，其他字段不为str1。
2. 使用高级查询功能查询URL过滤日志，过滤时间范围在time1~time3【check1】
3. 使用高级查询功能查询URL过滤日志，过滤时间范围为time1~time2【check2】【check4】
4. 使用高级查询功能查询URL过滤日志，仅日志级别过滤str1【check3】【check4】
5. 使用高级查询功能查询URL过滤日志，仅源地址过滤str1【check3】【check4】
6. 使用高级查询功能查询URL过滤日志，仅源端口过滤str1【check3】【check4】
7. 使用高级查询功能查询URL过滤日志，仅目的地址过滤str1【check3】【check4】
8. 使用高级查询功能查询URL过滤日志，仅目的端口过滤str1【check3】【check4】
9. 使用高级查询功能查询URL过滤日志，仅协议过滤str1【check3】【check4】
10. 使用高级查询功能查询URL过滤日志，仅策略ID过滤str1【check3】【check4】
11. 使用高级查询功能查询URL过滤日志，仅动作过滤str1【check3】【check4】
12. 使用高级查询功能查询URL过滤日志，仅过滤类型过滤str1【check3】【check4】</t>
  </si>
  <si>
    <t>验证WEB防护日志的精确过滤功能</t>
  </si>
  <si>
    <t>1. 向防火墙的日志侦听端口写入一条WEB防护日志，该日志的时间为任意有效时间time1~time2内，其他非时间为任意字符串str1。遍历WEB防护日志的所有字段，每个字段对应一到两条日志，日志的时间部分在time1~time2内部分在time2~time3内（time3大于time2），日志中只有一个字段存为str1，其他字段不为str1。
2. 使用高级查询功能查询WEB防护日志，过滤时间范围在time1~time3【check1】
3. 使用高级查询功能查询WEB防护日志，过滤时间范围为time1~time2【check2】【check4】
4. 使用高级查询功能查询WEB防护日志，仅日志级别过滤str1【check3】【check4】
5. 使用高级查询功能查询WEB防护日志，仅源地址过滤str1【check3】【check4】
6. 使用高级查询功能查询WEB防护日志，仅源端口过滤str1【check3】【check4】
7. 使用高级查询功能查询WEB防护日志，仅目的地址过滤str1【check3】【check4】
8. 使用高级查询功能查询WEB防护日志，仅目的端口过滤str1【check3】【check4】
9. 使用高级查询功能查询WEB防护日志，仅协议过滤str1【check3】【check4】
10. 使用高级查询功能查询WEB防护日志，仅防护类型过滤str1【check3】【check4】
11. 使用高级查询功能查询WEB防护日志，仅攻击次数过滤str1【check3】【check4】
12. 使用高级查询功能查询WEB防护日志，仅动作过滤str1【check3】【check4】</t>
  </si>
  <si>
    <t>验证防暴力破解日志的精确过滤功能</t>
  </si>
  <si>
    <t>1. 向防火墙的日志侦听端口写入一条防暴力破解日志，该日志的时间为任意有效时间time1~time2内，其他非时间为任意字符串str1。遍历防暴力破解日志的所有字段，每个字段对应一到两条日志，日志的时间部分在time1~time2内部分在time2~time3内（time3大于time2），日志中只有一个字段存为str1，其他字段不为str1。
2. 使用高级查询功能查询防暴力破解日志，过滤时间范围在time1~time3【check1】
3. 使用高级查询功能查询防暴力破解日志，过滤时间范围为time1~time2【check2】【check4】
4. 使用高级查询功能查询防暴力破解日志，仅日志级别过滤str1【check3】【check4】
5. 使用高级查询功能查询防暴力破解日志，仅源地址过滤str1【check3】【check4】
6. 使用高级查询功能查询防暴力破解日志，仅源端口过滤str1【check3】【check4】
7. 使用高级查询功能查询防暴力破解日志，仅目的地址过滤str1【check3】【check4】
8. 使用高级查询功能查询防暴力破解日志，仅目的端口过滤str1【check3】【check4】
9. 使用高级查询功能查询防暴力破解日志，仅协议过滤str1【check3】【check4】
10. 使用高级查询功能查询防暴力破解日志，仅动作过滤str1【check3】【check4】</t>
  </si>
  <si>
    <t>1. 【check1】查询不到任何日志
2. 【check2】可以查询到所有写入时间为time1~time2的日志。
3. 【check3】仅能查到过滤字段为str1的日志，其他字段为str1的日志不会被查询到。
4. 【check4】查询到的日志数量正确，选取首尾和随机条的所有字段正确。
5. 
6. 
7. 
8. 
9. 
10.</t>
  </si>
  <si>
    <t>验证弱密码日志的精确过滤功能</t>
  </si>
  <si>
    <t>1. 向防火墙的日志侦听端口写入一条弱密码日志，该日志的时间为任意有效时间time1~time2内，其他非时间为任意字符串str1。遍历弱密码日志的所有字段，每个字段对应一到两条日志，日志的时间部分在time1~time2内部分在time2~time3内（time3大于time2），日志中只有一个字段存为str1，其他字段不为str1。
2. 使用高级查询功能查询弱密码日志，过滤时间范围在time1~time3【check1】
3. 使用高级查询功能查询弱密码日志，过滤时间范围为time1~time2【check2】【check4】
4. 使用高级查询功能查询弱密码日志，仅日志级别过滤str1【check3】【check4】
5. 使用高级查询功能查询弱密码日志，仅源地址过滤str1【check3】【check4】
6. 使用高级查询功能查询弱密码日志，仅源端口过滤str1【check3】【check4】
7. 使用高级查询功能查询弱密码日志，仅目的地址过滤str1【check3】【check4】
8. 使用高级查询功能查询弱密码日志，仅目的端口过滤str1【check3】【check4】
9. 使用高级查询功能查询弱密码日志，仅协议过滤str1【check3】【check4】
10. 使用高级查询功能查询弱密码日志，仅策略ID过滤str1【check3】【check4】
11. 使用高级查询功能查询弱密码日志，仅配置名称过滤str1【check3】【check4】
12. 使用高级查询功能查询弱密码日志，仅动作过滤str1【check3】【check4】</t>
  </si>
  <si>
    <t>验证控制策略阻断日志的精确过滤功能</t>
  </si>
  <si>
    <t>1. 向防火墙的日志侦听端口写入一条控制策略阻断日志，该日志的时间为任意有效时间time1~time2内，其他非时间为任意字符串str1。遍历控制策略阻断日志的所有字段，每个字段对应一到两条日志，日志的时间部分在time1~time2内部分在time2~time3内（time3大于time2），日志中只有一个字段存为str1，其他字段不为str1。
2. 使用高级查询功能查询控制策略阻断日志，过滤时间范围在time1~time3【check1】
3. 使用高级查询功能查询控制策略阻断日志，过滤时间范围为time1~time2【check2】【check4】
4. 使用高级查询功能查询控制策略阻断日志，仅日志级别过滤str1【check3】【check4】
5. 使用高级查询功能查询控制策略阻断日志，仅源地址过滤str1【check3】【check4】
6. 使用高级查询功能查询控制策略阻断日志，仅源端口过滤str1【check3】【check4】
7. 使用高级查询功能查询控制策略阻断日志，仅目的地址过滤str1【check3】【check4】
8. 使用高级查询功能查询控制策略阻断日志，仅目的端口过滤str1【check3】【check4】
9. 使用高级查询功能查询控制策略阻断日志，仅源安全域过滤str1【check3】【check4】
10. 使用高级查询功能查询控制策略阻断日志，仅目的安全域过滤str1【check3】【check4】
11. 使用高级查询功能查询控制策略阻断日志，仅源地区过滤str1【check3】【check4】
12. 使用高级查询功能查询控制策略阻断日志，仅目的过滤str1【check3】【check4】
13. 使用高级查询功能查询控制策略阻断日志，仅应用过滤str1【check3】【check4】
14. 使用高级查询功能查询控制策略阻断日志，仅协议号过滤str1【check3】【check4】
15. 使用高级查询功能查询控制策略阻断日志，仅策略名称过滤str1【check3】【check4】
16. 使用高级查询功能查询控制策略阻断日志，仅动作过滤str1【check3】【check4】</t>
  </si>
  <si>
    <t>1. 【check1】查询不到任何日志
2. 【check2】可以查询到所有写入时间为time1~time2的日志。
3. 【check3】仅能查到过滤字段为str1的日志，其他字段为str1的日志不会被查询到。
4. 【check4】查询到的日志数量正确，选取首尾和随机条的所有字段正确。
5. 
6. 
7. 
8. 
9. 
10. 
11. 
12. 
13. 
14. 
15. 
16.</t>
  </si>
  <si>
    <t>验证本地控制策略日志的精确过滤功能</t>
  </si>
  <si>
    <t>1. 向防火墙的日志侦听端口写入一条本地控制策略日志，该日志的时间为任意有效时间time1~time2内，其他非时间为任意字符串str1。遍历本地控制策略日志的所有字段，每个字段对应一到两条日志，日志的时间部分在time1~time2内部分在time2~time3内（time3大于time2），日志中只有一个字段存为str1，其他字段不为str1。
2. 使用高级查询功能查询本地控制策略日志，过滤时间范围在time1~time3【check1】
3. 使用高级查询功能查询本地控制策略日志，过滤时间范围为time1~time2【check2】【check4】
4. 使用高级查询功能查询本地控制策略日志，仅日志级别过滤str1【check3】【check4】
5. 使用高级查询功能查询本地控制策略日志，仅源地址过滤str1【check3】【check4】
6. 使用高级查询功能查询本地控制策略日志，仅源端口过滤str1【check3】【check4】
7. 使用高级查询功能查询本地控制策略日志，仅目的地址过滤str1【check3】【check4】
8. 使用高级查询功能查询本地控制策略日志，仅目的端口过滤str1【check3】【check4】
9. 使用高级查询功能查询本地控制策略日志，仅源安全域过滤str1【check3】【check4】
10. 使用高级查询功能查询本地控制策略日志，仅目的安全域过滤str1【check3】【check4】
11. 使用高级查询功能查询本地控制策略日志，仅源地区过滤str1【check3】【check4】
12. 使用高级查询功能查询本地控制策略日志，仅目的过滤str1【check3】【check4】
13. 使用高级查询功能查询本地控制策略日志，仅应用过滤str1【check3】【check4】
14. 使用高级查询功能查询本地控制策略日志，仅协议号过滤str1【check3】【check4】
15. 使用高级查询功能查询本地控制策略日志，仅策略名称过滤str1【check3】【check4】
16. 使用高级查询功能查询本地控制策略日志，仅动作过滤str1【check3】【check4】</t>
  </si>
  <si>
    <t>验证单包防护日志的精确过滤功能</t>
  </si>
  <si>
    <t>1. 向防火墙的日志侦听端口写入一条单包防护日志，该日志的时间为任意有效时间time1~time2内，其他非时间为任意字符串str1。遍历单包防护日志的所有字段，每个字段对应一到两条日志，日志的时间部分在time1~time2内部分在time2~time3内（time3大于time2），日志中只有一个字段存为str1，其他字段不为str1。
2. 使用高级查询功能查询单包防护日志，过滤时间范围在time1~time3【check1】
3. 使用高级查询功能查询单包防护日志，过滤时间范围为time1~time2【check2】【check4】
4. 使用高级查询功能查询单包防护日志，仅攻击类型过滤str1【check3】【check4】
5. 使用高级查询功能查询单包防护日志，仅源IP过滤str1【check3】【check4】
6. 使用高级查询功能查询单包防护日志，仅目的IP过滤str1【check3】【check4】
7. 使用高级查询功能查询单包防护日志，仅日志级别过滤str1【check3】【check4】</t>
  </si>
  <si>
    <t>1. 【check1】查询不到任何日志
2. 【check2】可以查询到所有写入时间为time1~time2的日志。
3. 【check3】仅能查到过滤字段为str1的日志，其他字段为str1的日志不会被查询到。
4. 【check4】查询到的日志数量正确，选取首尾和随机条的所有字段正确。
5. 
6. 
7.</t>
  </si>
  <si>
    <t>验证Flood攻击日志的精确过滤功能</t>
  </si>
  <si>
    <t>1. 向防火墙的日志侦听端口写入一条Flood攻击日志，该日志的时间为任意有效时间time1~time2内，其他非时间为任意字符串str1。遍历Flood攻击日志的所有字段，每个字段对应一到两条日志，日志的时间部分在time1~time2内部分在time2~time3内（time3大于time2），日志中只有一个字段存为str1，其他字段不为str1。
2. 使用高级查询功能查询Flood攻击日志，过滤时间范围在time1~time3【check1】
3. 使用高级查询功能查询Flood攻击日志，过滤时间范围为time1~time2【check2】【check4】
4. 使用高级查询功能查询Flood攻击日志，仅攻击类型过滤str1【check3】【check4】
5. 使用高级查询功能查询Flood攻击日志，仅源IP过滤str1【check3】【check4】
6. 使用高级查询功能查询Flood攻击日志，仅目的IP过滤str1【check3】【check4】
7. 使用高级查询功能查询Flood攻击日志，仅源端口过滤str1【check3】【check4】
8. 使用高级查询功能查询Flood攻击日志，仅目的端口过滤str1【check3】【check4】
9. 使用高级查询功能查询Flood攻击日志，仅Ddos防护策略过滤str1【check3】【check4】
10. 使用高级查询功能查询Flood攻击日志，仅协议号过滤str1【check3】【check4】
11. 使用高级查询功能查询Flood攻击日志，仅防护算法过滤str1【check3】【check4】</t>
  </si>
  <si>
    <t>验证黑白名单日志的精确过滤功能</t>
  </si>
  <si>
    <t>1. 向防火墙的日志侦听端口写入一条黑白名单日志，该日志的时间为任意有效时间time1~time2内，其他非时间为任意字符串str1。遍历黑白名单日志的所有字段，每个字段对应一到两条日志，日志的时间部分在time1~time2内部分在time2~time3内（time3大于time2），日志中只有一个字段存为str1，其他字段不为str1。
2. 使用高级查询功能查询黑白名单日志，过滤时间范围在time1~time3【check1】
3. 使用高级查询功能查询黑白名单日志，过滤时间范围为time1~time2【check2】【check4】
4. 使用高级查询功能查询黑白名单日志，仅日志类型过滤str1【check3】【check4】</t>
  </si>
  <si>
    <t>验证EDR推广日志的精确过滤功能</t>
  </si>
  <si>
    <t>1. 向防火墙的日志侦听端口写入一条EDR推广日志，该日志的时间为任意有效时间time1~time2内，其他非时间为任意字符串str1。遍历EDR推广日志的所有字段，每个字段对应一到两条日志，日志的时间部分在time1~time2内部分在time2~time3内（time3大于time2），日志中只有一个字段存为str1，其他字段不为str1。
2. 使用高级查询功能查询EDR推广日志，过滤时间范围在time1~time3【check1】
3. 使用高级查询功能查询EDR推广日志，过滤时间范围为time1~time2【check2】【check4】
4. 使用高级查询功能查询EDR推广日志，仅源IP过滤str1【check3】【check4】
5. 使用高级查询功能查询EDR推广日志，仅目的IP过滤str1【check3】【check4】
6. 使用高级查询功能查询EDR推广日志，仅源端口过滤str1【check3】【check4】
7. 使用高级查询功能查询EDR推广日志，仅目的端口过滤str1【check3】【check4】
8. 使用高级查询功能查询EDR推广日志，仅协议号过滤str1【check3】【check4】
9. 使用高级查询功能查询EDR推广日志，仅策略ID过滤str1【check3】【check4】</t>
  </si>
  <si>
    <t>1. 【check1】查询不到任何日志
2. 【check2】可以查询到所有写入时间为time1~time2的日志。
3. 【check3】仅能查到过滤字段为str1的日志，其他字段为str1的日志不会被查询到。
4. 【check4】查询到的日志数量正确，选取首尾和随机条的所有字段正确。
5. 
6. 
7. 
8. 
9.</t>
  </si>
  <si>
    <t>验证IPSecVPN日志的精确过滤功能</t>
  </si>
  <si>
    <t>1. 向防火墙的日志侦听端口写入一条IPSecVPN日志，该日志的时间为任意有效时间time1~time2内，其他非时间为任意字符串str1。遍历IPSecVPN日志的所有字段，每个字段对应一到两条日志，日志的时间部分在time1~time2内部分在time2~time3内（time3大于time2），日志中只有一个字段存为str1，其他字段不为str1。
2. 使用高级查询功能查询IPSecVPN日志，过滤时间范围在time1~time3【check1】
3. 使用高级查询功能查询IPSecVPN日志，过滤时间范围为time1~time2【check2】【check4】
4. 使用高级查询功能查询IPSecVPN日志，仅攻击类型过滤str1【check3】【check4】
5. 使用高级查询功能查询IPSecVPN日志，仅名称过滤str1【check3】【check4】
6. 使用高级查询功能查询IPSecVPN日志，仅本地网关过滤str1【check3】【check4】
7. 使用高级查询功能查询IPSecVPN日志，仅本地端口过滤str1【check3】【check4】
8. 使用高级查询功能查询IPSecVPN日志，仅对端网关过滤str1【check3】【check4】
9. 使用高级查询功能查询IPSecVPN日志，仅对端端口过滤str1【check3】【check4】
10. 使用高级查询功能查询IPSecVPN日志，仅源网络过滤str1【check3】【check4】
11. 使用高级查询功能查询IPSecVPN日志，仅目的网络过滤str1【check3】【check4】</t>
  </si>
  <si>
    <t>验证系统日志的精确过滤时组合条件过滤功能</t>
  </si>
  <si>
    <t>1. 向防火墙的日志侦听端口写入一条系统日志，该日志的时间为任意有效时间time1~time2内，其他非时间为任意字符串str1。
2. 遍历系统日志的所有字段，每个字段对应写入一到两条日志，日志的时间部分在time1~time2内部分在time2~time3内（time3大于time2），日志中只有一个字段存为str1，其他字段不为str1。
3. 写入至少3条，时间在time2~time3之间，日志级别全部为str1的日志
4. 使用高级查询功能查询系统日志，过滤时间范围在time2~time3，过滤日志级别字段都为str1。【check1】【check2】</t>
  </si>
  <si>
    <t>1. 【check1】仅能查到过3条所有字段都是str1的日志。
2. 【check2】查询到的日志数量正确，选取首尾和随机条的所有字段正确。
3. 
4.</t>
  </si>
  <si>
    <t>验证操作日志的精确过滤时组合条件过滤功能</t>
  </si>
  <si>
    <t>1. 向防火墙的日志侦听端口写入一条操作日志，该日志的时间为任意有效时间time1~time2内，其他非时间为任意字符串str1。
2. 遍历操作日志的所有字段，每个字段对应写入一到两条日志，日志的时间部分在time1~time2内部分在time2~time3内（time3大于time2），日志中只有一个字段存为str1，其他字段不为str1。
3. 写入至少3条，时间在time2~time3之间，日志级别，管理员，管理员IP全部为str1的日志
4. 使用高级查询功能查询操作日志，过滤时间范围在time2~time3，过滤日志级别，管理员，管理员IP字段都为str1。【check1】【check2】</t>
  </si>
  <si>
    <t>验证入侵防御日志的精确过滤时组合条件过滤功能</t>
  </si>
  <si>
    <t>1. 向防火墙的日志侦听端口写入一条入侵防御日志，该日志的时间为任意有效时间time1~time2内，其他非时间为任意字符串str1。
2. 遍历入侵防御日志的所有字段，每个字段对应写入一到两条日志，日志的时间部分在time1~time2内部分在time2~time3内（time3大于time2），日志中只有一个字段存为str1，其他字段不为str1。
3. 写入至少3条，时间在time2~time3之间，日志级别，源地址，源端口，目的地址，目的端口，协议，策略ID，规则名称，命中配置，动作全部为str1的日志
4. 使用高级查询功能查询入侵防御日志，过滤时间范围在time2~time3，过滤日志级别，源地址，源端口，目的地址，目的端口，协议，策略ID，规则名称，命中配置，动作字段都为str1。【check1】【check2】</t>
  </si>
  <si>
    <t>验证防病毒日志的精确过滤时组合条件过滤功能</t>
  </si>
  <si>
    <t>1. 向防火墙的日志侦听端口写入一条防病毒日志，该日志的时间为任意有效时间time1~time2内，其他非时间为任意字符串str1。
2. 遍历防病毒日志的所有字段，每个字段对应写入一到两条日志，日志的时间部分在time1~time2内部分在time2~time3内（time3大于time2），日志中只有一个字段存为str1，其他字段不为str1。
3. 写入至少3条，时间在time2~time3之间，日志级别，源地址，源端口，目的地址，目的端口，协议，策略ID，应用类型，文件名，病毒类型，动作全部为str1的日志
4. 使用高级查询功能查询防病毒日志，过滤时间范围在time2~time3，过滤日志级别，源地址，源端口，目的地址，目的端口，协议，策略ID，应用类型，文件名，病毒类型，动作字段都为str1。【check1】【check2】</t>
  </si>
  <si>
    <t>验证内容过滤日志的精确过滤时组合条件过滤功能</t>
  </si>
  <si>
    <t>1. 向防火墙的日志侦听端口写入一条内容过滤日志，该日志的时间为任意有效时间time1~time2内，其他非时间为任意字符串str1。
2. 遍历内容过滤日志的所有字段，每个字段对应写入一到两条日志，日志的时间部分在time1~time2内部分在time2~time3内（time3大于time2），日志中只有一个字段存为str1，其他字段不为str1。
3. 写入至少3条，时间在time2~time3之间，日志级别，源地址，源端口，目的地址，目的端口，协议，策略ID，动作全部为str1的日志
4. 使用高级查询功能查询内容过滤日志，过滤时间范围在time2~time3，过滤日志级别，源地址，源端口，目的地址，目的端口，协议，策略ID，动作字段都为str1。【check1】【check2】</t>
  </si>
  <si>
    <t>验证文件过滤日志的精确过滤时组合条件过滤功能</t>
  </si>
  <si>
    <t>1. 向防火墙的日志侦听端口写入一条文件过滤日志，该日志的时间为任意有效时间time1~time2内，其他非时间为任意字符串str1。
2. 遍历文件过滤日志的所有字段，每个字段对应写入一到两条日志，日志的时间部分在time1~time2内部分在time2~time3内（time3大于time2），日志中只有一个字段存为str1，其他字段不为str1。
3. 写入至少3条，时间在time2~time3之间，日志级别，源地址，源端口，目的地址，目的端口，策略ID，应用类型，文件名，动作全部为str1的日志
4. 使用高级查询功能查询文件过滤日志，过滤时间范围在time2~time3，过滤日志级别，源地址，源端口，目的地址，目的端口，策略ID，应用类型，文件名，动作字段都为str1。【check1】【check2】</t>
  </si>
  <si>
    <t>验证URL过滤日志的精确过滤时组合条件过滤功能</t>
  </si>
  <si>
    <t>1. 向防火墙的日志侦听端口写入一条URL过滤日志，该日志的时间为任意有效时间time1~time2内，其他非时间为任意字符串str1。
2. 遍历URL过滤日志的所有字段，每个字段对应写入一到两条日志，日志的时间部分在time1~time2内部分在time2~time3内（time3大于time2），日志中只有一个字段存为str1，其他字段不为str1。
3. 写入至少3条，时间在time2~time3之间，日志级别，源地址，源端口，目的地址，目的端口，协议，策略ID，动作，过滤类型全部为str1的日志
4. 使用高级查询功能查询URL过滤日志，过滤时间范围在time2~time3，过滤日志级别，源地址，源端口，目的地址，目的端口，协议，策略ID，动作，过滤类型字段都为str1。【check1】【check2】</t>
  </si>
  <si>
    <t>验证WEB防护日志的精确过滤时组合条件过滤功能</t>
  </si>
  <si>
    <t>1. 向防火墙的日志侦听端口写入一条WEB防护日志，该日志的时间为任意有效时间time1~time2内，其他非时间为任意字符串str1。
2. 遍历WEB防护日志的所有字段，每个字段对应写入一到两条日志，日志的时间部分在time1~time2内部分在time2~time3内（time3大于time2），日志中只有一个字段存为str1，其他字段不为str1。
3. 写入至少3条，时间在time2~time3之间，日志级别，源地址，源端口，目的地址，目的端口，协议，防护类型，攻击次数，动作全部为str1的日志
4. 使用高级查询功能查询WEB防护日志，过滤时间范围在time2~time3，过滤日志级别，源地址，源端口，目的地址，目的端口，协议，防护类型，攻击次数，动作字段都为str1。【check1】【check2】</t>
  </si>
  <si>
    <t>验证防暴力破解日志的精确过滤时组合条件过滤功能</t>
  </si>
  <si>
    <t>1. 向防火墙的日志侦听端口写入一条防暴力破解日志，该日志的时间为任意有效时间time1~time2内，其他非时间为任意字符串str1。
2. 遍历防暴力破解日志的所有字段，每个字段对应写入一到两条日志，日志的时间部分在time1~time2内部分在time2~time3内（time3大于time2），日志中只有一个字段存为str1，其他字段不为str1。
3. 写入至少3条，时间在time2~time3之间，日志级别，源地址，源端口，目的地址，目的端口，协议，动作全部为str1的日志
4. 使用高级查询功能查询防暴力破解日志，过滤时间范围在time2~time3，过滤日志级别，源地址，源端口，目的地址，目的端口，协议，动作字段都为str1。【check1】【check2】</t>
  </si>
  <si>
    <t>验证弱密码日志的精确过滤时组合条件过滤功能</t>
  </si>
  <si>
    <t>1. 向防火墙的日志侦听端口写入一条弱密码日志，该日志的时间为任意有效时间time1~time2内，其他非时间为任意字符串str1。
2. 遍历弱密码日志的所有字段，每个字段对应写入一到两条日志，日志的时间部分在time1~time2内部分在time2~time3内（time3大于time2），日志中只有一个字段存为str1，其他字段不为str1。
3. 写入至少3条，时间在time2~time3之间，日志级别，源地址，源端口，目的地址，目的端口，协议，策略ID，配置名称，动作全部为str1的日志
4. 使用高级查询功能查询弱密码日志，过滤时间范围在time2~time3，过滤日志级别，源地址，源端口，目的地址，目的端口，协议，策略ID，配置名称，动作字段都为str1。【check1】【check2】</t>
  </si>
  <si>
    <t>验证控制策略阻断日志的精确过滤时组合条件过滤功能</t>
  </si>
  <si>
    <t>1. 向防火墙的日志侦听端口写入一条控制策略阻断日志，该日志的时间为任意有效时间time1~time2内，其他非时间为任意字符串str1。
2. 遍历控制策略阻断日志的所有字段，每个字段对应写入一到两条日志，日志的时间部分在time1~time2内部分在time2~time3内（time3大于time2），日志中只有一个字段存为str1，其他字段不为str1。
3. 写入至少3条，时间在time2~time3之间，日志级别，源地址，源端口，目的地址，目的端口，源安全域，目的安全域，源地区，目的，应用，协议号，策略名称，动作全部为str1的日志
4. 使用高级查询功能查询控制策略阻断日志，过滤时间范围在time2~time3，过滤日志级别，源地址，源端口，目的地址，目的端口，源安全域，目的安全域，源地区，目的，应用，协议号，策略名称，动作字段都为str1。【check1】【check2】</t>
  </si>
  <si>
    <t>验证本地控制策略日志的精确过滤时组合条件过滤功能</t>
  </si>
  <si>
    <t>1. 向防火墙的日志侦听端口写入一条本地控制策略日志，该日志的时间为任意有效时间time1~time2内，其他非时间为任意字符串str1。
2. 遍历本地控制策略日志的所有字段，每个字段对应写入一到两条日志，日志的时间部分在time1~time2内部分在time2~time3内（time3大于time2），日志中只有一个字段存为str1，其他字段不为str1。
3. 写入至少3条，时间在time2~time3之间，日志级别，源地址，源端口，目的地址，目的端口，源安全域，目的安全域，源地区，目的，应用，协议号，策略名称，动作全部为str1的日志
4. 使用高级查询功能查询本地控制策略日志，过滤时间范围在time2~time3，过滤日志级别，源地址，源端口，目的地址，目的端口，源安全域，目的安全域，源地区，目的，应用，协议号，策略名称，动作字段都为str1。【check1】【check2】</t>
  </si>
  <si>
    <t>验证单包防护日志的精确过滤时组合条件过滤功能</t>
  </si>
  <si>
    <t>1. 向防火墙的日志侦听端口写入一条单包防护日志，该日志的时间为任意有效时间time1~time2内，其他非时间为任意字符串str1。
2. 遍历单包防护日志的所有字段，每个字段对应写入一到两条日志，日志的时间部分在time1~time2内部分在time2~time3内（time3大于time2），日志中只有一个字段存为str1，其他字段不为str1。
3. 写入至少3条，时间在time2~time3之间，攻击类型，源IP，目的IP，日志级别全部为str1的日志
4. 使用高级查询功能查询单包防护日志，过滤时间范围在time2~time3，过滤攻击类型，源IP，目的IP，日志级别字段都为str1。【check1】【check2】</t>
  </si>
  <si>
    <t>验证Flood攻击日志的精确过滤时组合条件过滤功能</t>
  </si>
  <si>
    <t>1. 向防火墙的日志侦听端口写入一条Flood攻击日志，该日志的时间为任意有效时间time1~time2内，其他非时间为任意字符串str1。
2. 遍历Flood攻击日志的所有字段，每个字段对应写入一到两条日志，日志的时间部分在time1~time2内部分在time2~time3内（time3大于time2），日志中只有一个字段存为str1，其他字段不为str1。
3. 写入至少3条，时间在time2~time3之间，攻击类型，源IP，目的IP，源端口，目的端口，Ddos防护策略，协议号，防护算法全部为str1的日志
4. 使用高级查询功能查询Flood攻击日志，过滤时间范围在time2~time3，过滤攻击类型，源IP，目的IP，源端口，目的端口，Ddos防护策略，协议号，防护算法字段都为str1。【check1】【check2】</t>
  </si>
  <si>
    <t>验证黑白名单日志的精确过滤时组合条件过滤功能</t>
  </si>
  <si>
    <t>1. 向防火墙的日志侦听端口写入一条黑白名单日志，该日志的时间为任意有效时间time1~time2内，其他非时间为任意字符串str1。
2. 遍历黑白名单日志的所有字段，每个字段对应写入一到两条日志，日志的时间部分在time1~time2内部分在time2~time3内（time3大于time2），日志中只有一个字段存为str1，其他字段不为str1。
3. 写入至少3条，时间在time2~time3之间，日志类型全部为str1的日志
4. 使用高级查询功能查询黑白名单日志，过滤时间范围在time2~time3，过滤日志类型字段都为str1。【check1】【check2】</t>
  </si>
  <si>
    <t>验证EDR推广日志的精确过滤时组合条件过滤功能</t>
  </si>
  <si>
    <t>1. 向防火墙的日志侦听端口写入一条EDR推广日志，该日志的时间为任意有效时间time1~time2内，其他非时间为任意字符串str1。
2. 遍历EDR推广日志的所有字段，每个字段对应写入一到两条日志，日志的时间部分在time1~time2内部分在time2~time3内（time3大于time2），日志中只有一个字段存为str1，其他字段不为str1。
3. 写入至少3条，时间在time2~time3之间，源IP，目的IP，源端口，目的端口，协议号，策略ID全部为str1的日志
4. 使用高级查询功能查询EDR推广日志，过滤时间范围在time2~time3，过滤源IP，目的IP，源端口，目的端口，协议号，策略ID字段都为str1。【check1】【check2】</t>
  </si>
  <si>
    <t>验证IPSecVPN日志的精确过滤时组合条件过滤功能</t>
  </si>
  <si>
    <t>1. 向防火墙的日志侦听端口写入一条IPSecVPN日志，该日志的时间为任意有效时间time1~time2内，其他非时间为任意字符串str1。
2. 遍历IPSecVPN日志的所有字段，每个字段对应写入一到两条日志，日志的时间部分在time1~time2内部分在time2~time3内（time3大于time2），日志中只有一个字段存为str1，其他字段不为str1。
3. 写入至少3条，时间在time2~time3之间，攻击类型，名称，本地网关，本地端口，对端网关，对端端口，源网络，目的网络全部为str1的日志
4. 使用高级查询功能查询IPSecVPN日志，过滤时间范围在time2~time3，过滤攻击类型，名称，本地网关，本地端口，对端网关，对端端口，源网络，目的网络字段都为str1。【check1】【check2】</t>
  </si>
  <si>
    <t>验证系统日志的模糊过滤功能</t>
  </si>
  <si>
    <t>1. 向防火墙的日志侦听端口写入一条系统日志，该日志的时间为任意有效时间time1~time2内，其他非时间为任意字符串str1。
2. 遍历系统日志的所有字段，每个字段对应写入一到两条日志，日志的时间部分在time1~time2内部分在time2~time3内（time3大于time2），日志中只有一个字段存为str1，其他字段不为且不包含str1。
3. 遍历系统日志的所有字段，每个字段对应写入一到两条日志，日志的时间部分在time1~time2内、部分在time2~time3内（time3大于time2），日志中只有一个字段存包含str1，其他字段不为且不包含str1。
4. 使用模糊查询功能查询系统日志，过滤时间范围在time2~time3，日志内容为过滤条件为str1。【check1】【check2】【check3】</t>
  </si>
  <si>
    <t>1. 【check1】查询到的日志数量正确，选取首尾和随机条的所有字段正确。
2. 【check2】可以查到时间范围在time2~time3内，日志描述字段包含str1的日志。
3. 【check3】不能查到时间范围在time2~time3内，非日志描述字段包含为str1的日志
4.</t>
  </si>
  <si>
    <t>验证操作日志的模糊过滤功能</t>
  </si>
  <si>
    <t>1. 向防火墙的日志侦听端口写入一条操作日志，该日志的时间为任意有效时间time1~time2内，其他非时间为任意字符串str1。
2. 遍历操作日志的所有字段，每个字段对应写入一到两条日志，日志的时间部分在time1~time2内部分在time2~time3内（time3大于time2），日志中只有一个字段存为str1，其他字段不为且不包含str1。
3. 遍历操作日志的所有字段，每个字段对应写入一到两条日志，日志的时间部分在time1~time2内、部分在time2~time3内（time3大于time2），日志中只有一个字段存包含str1，其他字段不为且不包含str1。
4. 使用模糊查询功能查询操作日志，过滤时间范围在time2~time3，日志内容为过滤条件为str1。【check1】【check2】【check3】</t>
  </si>
  <si>
    <t>验证入侵防御日志的模糊过滤功能</t>
  </si>
  <si>
    <t>1. 向防火墙的日志侦听端口写入一条入侵防御日志，该日志的时间为任意有效时间time1~time2内，其他非时间为任意字符串str1。
2. 遍历入侵防御日志的所有字段，每个字段对应写入一到两条日志，日志的时间部分在time1~time2内部分在time2~time3内（time3大于time2），日志中只有一个字段存为str1，其他字段不为且不包含str1。
3. 遍历入侵防御日志的所有字段，每个字段对应写入一到两条日志，日志的时间部分在time1~time2内、部分在time2~time3内（time3大于time2），日志中只有一个字段存包含str1，其他字段不为且不包含str1。
4. 使用模糊查询功能查询入侵防御日志，过滤时间范围在time2~time3，日志内容为过滤条件为str1。【check1】【check2】【check3】</t>
  </si>
  <si>
    <t>1. 【check1】查询到的日志数量正确，选取首尾和随机条的所有字段正确。
2. 【check2】可以查到时间范围在time2~time3内，源地址，源端口，目的地址，目的端口，协议，日志描述字段包含str1的日志。
3. 【check3】不能查到时间范围在time2~time3内，非源地址，源端口，目的地址，目的端口，协议，日志描述字段包含为str1的日志
4.</t>
  </si>
  <si>
    <t>验证防病毒日志的模糊过滤功能</t>
  </si>
  <si>
    <t>1. 向防火墙的日志侦听端口写入一条防病毒日志，该日志的时间为任意有效时间time1~time2内，其他非时间为任意字符串str1。
2. 遍历防病毒日志的所有字段，每个字段对应写入一到两条日志，日志的时间部分在time1~time2内部分在time2~time3内（time3大于time2），日志中只有一个字段存为str1，其他字段不为且不包含str1。
3. 遍历防病毒日志的所有字段，每个字段对应写入一到两条日志，日志的时间部分在time1~time2内、部分在time2~time3内（time3大于time2），日志中只有一个字段存包含str1，其他字段不为且不包含str1。
4. 使用模糊查询功能查询防病毒日志，过滤时间范围在time2~time3，日志内容为过滤条件为str1。【check1】【check2】【check3】</t>
  </si>
  <si>
    <t>1. 【check1】查询到的日志数量正确，选取首尾和随机条的所有字段正确。
2. 【check2】可以查到时间范围在time2~time3内，源地址，源端口，目的地址，目的端口，协议，应用类型，文件名，病毒类型字段包含str1的日志。
3. 【check3】不能查到时间范围在time2~time3内，非源地址，源端口，目的地址，目的端口，协议，应用类型，文件名，病毒类型字段包含为str1的日志
4.</t>
  </si>
  <si>
    <t>验证内容过滤日志的模糊过滤功能</t>
  </si>
  <si>
    <t>1. 向防火墙的日志侦听端口写入一条内容过滤日志，该日志的时间为任意有效时间time1~time2内，其他非时间为任意字符串str1。
2. 遍历内容过滤日志的所有字段，每个字段对应写入一到两条日志，日志的时间部分在time1~time2内部分在time2~time3内（time3大于time2），日志中只有一个字段存为str1，其他字段不为且不包含str1。
3. 遍历内容过滤日志的所有字段，每个字段对应写入一到两条日志，日志的时间部分在time1~time2内、部分在time2~time3内（time3大于time2），日志中只有一个字段存包含str1，其他字段不为且不包含str1。
4. 使用模糊查询功能查询内容过滤日志，过滤时间范围在time2~time3，日志内容为过滤条件为str1。【check1】【check2】【check3】</t>
  </si>
  <si>
    <t>1. 【check1】查询到的日志数量正确，选取首尾和随机条的所有字段正确。
2. 【check2】可以查到时间范围在time2~time3内，源地址，源端口，目的地址，目的端口，协议，过滤类型，关键字字段包含str1的日志。
3. 【check3】不能查到时间范围在time2~time3内，非源地址，源端口，目的地址，目的端口，协议，过滤类型，关键字字段包含为str1的日志
4.</t>
  </si>
  <si>
    <t>验证文件过滤日志的模糊过滤功能</t>
  </si>
  <si>
    <t>1. 向防火墙的日志侦听端口写入一条文件过滤日志，该日志的时间为任意有效时间time1~time2内，其他非时间为任意字符串str1。
2. 遍历文件过滤日志的所有字段，每个字段对应写入一到两条日志，日志的时间部分在time1~time2内部分在time2~time3内（time3大于time2），日志中只有一个字段存为str1，其他字段不为且不包含str1。
3. 遍历文件过滤日志的所有字段，每个字段对应写入一到两条日志，日志的时间部分在time1~time2内、部分在time2~time3内（time3大于time2），日志中只有一个字段存包含str1，其他字段不为且不包含str1。
4. 使用模糊查询功能查询文件过滤日志，过滤时间范围在time2~time3，日志内容为过滤条件为str1。【check1】【check2】【check3】</t>
  </si>
  <si>
    <t>1. 【check1】查询到的日志数量正确，选取首尾和随机条的所有字段正确。
2. 【check2】可以查到时间范围在time2~time3内，源地址，源端口，目的地址，目的端口，应用类型，文件名，日志描述字段包含str1的日志。
3. 【check3】不能查到时间范围在time2~time3内，非源地址，源端口，目的地址，目的端口，应用类型，文件名，日志描述字段包含为str1的日志
4.</t>
  </si>
  <si>
    <t>验证URL过滤日志的模糊过滤功能</t>
  </si>
  <si>
    <t>1. 向防火墙的日志侦听端口写入一条URL过滤日志，该日志的时间为任意有效时间time1~time2内，其他非时间为任意字符串str1。
2. 遍历URL过滤日志的所有字段，每个字段对应写入一到两条日志，日志的时间部分在time1~time2内部分在time2~time3内（time3大于time2），日志中只有一个字段存为str1，其他字段不为且不包含str1。
3. 遍历URL过滤日志的所有字段，每个字段对应写入一到两条日志，日志的时间部分在time1~time2内、部分在time2~time3内（time3大于time2），日志中只有一个字段存包含str1，其他字段不为且不包含str1。
4. 使用模糊查询功能查询URL过滤日志，过滤时间范围在time2~time3，日志内容为过滤条件为str1。【check1】【check2】【check3】</t>
  </si>
  <si>
    <t>1. 【check1】查询到的日志数量正确，选取首尾和随机条的所有字段正确。
2. 【check2】可以查到时间范围在time2~time3内，源地址，源端口，目的地址，目的端口，协议，配置名称，匹配对象，URL字段包含str1的日志。
3. 【check3】不能查到时间范围在time2~time3内，非源地址，源端口，目的地址，目的端口，协议，配置名称，匹配对象，URL字段包含为str1的日志
4.</t>
  </si>
  <si>
    <t>验证WEB防护日志的模糊过滤功能</t>
  </si>
  <si>
    <t>1. 向防火墙的日志侦听端口写入一条WEB防护日志，该日志的时间为任意有效时间time1~time2内，其他非时间为任意字符串str1。
2. 遍历WEB防护日志的所有字段，每个字段对应写入一到两条日志，日志的时间部分在time1~time2内部分在time2~time3内（time3大于time2），日志中只有一个字段存为str1，其他字段不为且不包含str1。
3. 遍历WEB防护日志的所有字段，每个字段对应写入一到两条日志，日志的时间部分在time1~time2内、部分在time2~time3内（time3大于time2），日志中只有一个字段存包含str1，其他字段不为且不包含str1。
4. 使用模糊查询功能查询WEB防护日志，过滤时间范围在time2~time3，日志内容为过滤条件为str1。【check1】【check2】【check3】</t>
  </si>
  <si>
    <t>1. 【check1】查询到的日志数量正确，选取首尾和随机条的所有字段正确。
2. 【check2】可以查到时间范围在time2~time3内，源地址，源端口，目的地址，目的端口，协议，命中配置字段包含str1的日志。
3. 【check3】不能查到时间范围在time2~time3内，非源地址，源端口，目的地址，目的端口，协议，命中配置字段包含为str1的日志
4.</t>
  </si>
  <si>
    <t>验证防暴力破解日志的模糊过滤功能</t>
  </si>
  <si>
    <t>1. 向防火墙的日志侦听端口写入一条防暴力破解日志，该日志的时间为任意有效时间time1~time2内，其他非时间为任意字符串str1。
2. 遍历防暴力破解日志的所有字段，每个字段对应写入一到两条日志，日志的时间部分在time1~time2内部分在time2~time3内（time3大于time2），日志中只有一个字段存为str1，其他字段不为且不包含str1。
3. 遍历防暴力破解日志的所有字段，每个字段对应写入一到两条日志，日志的时间部分在time1~time2内、部分在time2~time3内（time3大于time2），日志中只有一个字段存包含str1，其他字段不为且不包含str1。
4. 使用模糊查询功能查询防暴力破解日志，过滤时间范围在time2~time3，日志内容为过滤条件为str1。【check1】【check2】【check3】</t>
  </si>
  <si>
    <t>1. 【check1】查询到的日志数量正确，选取首尾和随机条的所有字段正确。
2. 【check2】可以查到时间范围在time2~time3内，源地址，源端口，目的地址，目的端口，协议，配置名称，服务字段包含str1的日志。
3. 【check3】不能查到时间范围在time2~time3内，非源地址，源端口，目的地址，目的端口，协议，配置名称，服务字段包含为str1的日志
4.</t>
  </si>
  <si>
    <t>验证弱密码日志的模糊过滤功能</t>
  </si>
  <si>
    <t>1. 向防火墙的日志侦听端口写入一条弱密码日志，该日志的时间为任意有效时间time1~time2内，其他非时间为任意字符串str1。
2. 遍历弱密码日志的所有字段，每个字段对应写入一到两条日志，日志的时间部分在time1~time2内部分在time2~time3内（time3大于time2），日志中只有一个字段存为str1，其他字段不为且不包含str1。
3. 遍历弱密码日志的所有字段，每个字段对应写入一到两条日志，日志的时间部分在time1~time2内、部分在time2~time3内（time3大于time2），日志中只有一个字段存包含str1，其他字段不为且不包含str1。
4. 使用模糊查询功能查询弱密码日志，过滤时间范围在time2~time3，日志内容为过滤条件为str1。【check1】【check2】【check3】</t>
  </si>
  <si>
    <t>1. 【check1】查询到的日志数量正确，选取首尾和随机条的所有字段正确。
2. 【check2】可以查到时间范围在time2~time3内，源地址，源端口，目的地址，目的端口，协议，配置名称字段包含str1的日志。
3. 【check3】不能查到时间范围在time2~time3内，非源地址，源端口，目的地址，目的端口，协议，配置名称字段包含为str1的日志
4.</t>
  </si>
  <si>
    <t>验证控制策略阻断日志的模糊过滤功能</t>
  </si>
  <si>
    <t>1. 向防火墙的日志侦听端口写入一条控制策略阻断日志，该日志的时间为任意有效时间time1~time2内，其他非时间为任意字符串str1。
2. 遍历控制策略阻断日志的所有字段，每个字段对应写入一到两条日志，日志的时间部分在time1~time2内部分在time2~time3内（time3大于time2），日志中只有一个字段存为str1，其他字段不为且不包含str1。
3. 遍历控制策略阻断日志的所有字段，每个字段对应写入一到两条日志，日志的时间部分在time1~time2内、部分在time2~time3内（time3大于time2），日志中只有一个字段存包含str1，其他字段不为且不包含str1。
4. 使用模糊查询功能查询控制策略阻断日志，过滤时间范围在time2~time3，日志内容为过滤条件为str1。【check1】【check2】【check3】</t>
  </si>
  <si>
    <t>1. 【check1】查询到的日志数量正确，选取首尾和随机条的所有字段正确。
2. 【check2】可以查到时间范围在time2~time3内，源地址，源端口，目的地址，目的端口，协议，应用字段包含str1的日志。
3. 【check3】不能查到时间范围在time2~time3内，非源地址，源端口，目的地址，目的端口，协议，应用字段包含为str1的日志
4.</t>
  </si>
  <si>
    <t>验证本地控制策略日志的模糊过滤功能</t>
  </si>
  <si>
    <t>1. 向防火墙的日志侦听端口写入一条本地控制策略日志，该日志的时间为任意有效时间time1~time2内，其他非时间为任意字符串str1。
2. 遍历本地控制策略日志的所有字段，每个字段对应写入一到两条日志，日志的时间部分在time1~time2内部分在time2~time3内（time3大于time2），日志中只有一个字段存为str1，其他字段不为且不包含str1。
3. 遍历本地控制策略日志的所有字段，每个字段对应写入一到两条日志，日志的时间部分在time1~time2内、部分在time2~time3内（time3大于time2），日志中只有一个字段存包含str1，其他字段不为且不包含str1。
4. 使用模糊查询功能查询本地控制策略日志，过滤时间范围在time2~time3，日志内容为过滤条件为str1。【check1】【check2】【check3】</t>
  </si>
  <si>
    <t>1. 【check1】查询到的日志数量正确，选取首尾和随机条的所有字段正确。
2. 【check2】可以查到时间范围在time2~time3内，源地址，源端口，目的地址，目的端口，协议字段包含str1的日志。
3. 【check3】不能查到时间范围在time2~time3内，非源地址，源端口，目的地址，目的端口，协议字段包含为str1的日志
4.</t>
  </si>
  <si>
    <t>验证单包防护日志的模糊过滤功能</t>
  </si>
  <si>
    <t>1. 向防火墙的日志侦听端口写入一条单包防护日志，该日志的时间为任意有效时间time1~time2内，其他非时间为任意字符串str1。
2. 遍历单包防护日志的所有字段，每个字段对应写入一到两条日志，日志的时间部分在time1~time2内部分在time2~time3内（time3大于time2），日志中只有一个字段存为str1，其他字段不为且不包含str1。
3. 遍历单包防护日志的所有字段，每个字段对应写入一到两条日志，日志的时间部分在time1~time2内、部分在time2~time3内（time3大于time2），日志中只有一个字段存包含str1，其他字段不为且不包含str1。
4. 使用模糊查询功能查询单包防护日志，过滤时间范围在time2~time3，日志内容为过滤条件为str1。【check1】【check2】【check3】</t>
  </si>
  <si>
    <t>1. 【check1】查询到的日志数量正确，选取首尾和随机条的所有字段正确。
2. 【check2】可以查到时间范围在time2~time3内，源地址，源端口，目的地址，目的端口，协议，攻击类型字段包含str1的日志。
3. 【check3】不能查到时间范围在time2~time3内，非源地址，源端口，目的地址，目的端口，协议，攻击类型字段包含为str1的日志
4.</t>
  </si>
  <si>
    <t>验证Flood攻击日志的模糊过滤功能</t>
  </si>
  <si>
    <t>1. 向防火墙的日志侦听端口写入一条Flood攻击日志，该日志的时间为任意有效时间time1~time2内，其他非时间为任意字符串str1。
2. 遍历Flood攻击日志的所有字段，每个字段对应写入一到两条日志，日志的时间部分在time1~time2内部分在time2~time3内（time3大于time2），日志中只有一个字段存为str1，其他字段不为且不包含str1。
3. 遍历Flood攻击日志的所有字段，每个字段对应写入一到两条日志，日志的时间部分在time1~time2内、部分在time2~time3内（time3大于time2），日志中只有一个字段存包含str1，其他字段不为且不包含str1。
4. 使用模糊查询功能查询Flood攻击日志，过滤时间范围在time2~time3，日志内容为过滤条件为str1。【check1】【check2】【check3】</t>
  </si>
  <si>
    <t>验证黑白名单日志的模糊过滤功能</t>
  </si>
  <si>
    <t>1. 向防火墙的日志侦听端口写入一条黑白名单日志，该日志的时间为任意有效时间time1~time2内，其他非时间为任意字符串str1。
2. 遍历黑白名单日志的所有字段，每个字段对应写入一到两条日志，日志的时间部分在time1~time2内部分在time2~time3内（time3大于time2），日志中只有一个字段存为str1，其他字段不为且不包含str1。
3. 遍历黑白名单日志的所有字段，每个字段对应写入一到两条日志，日志的时间部分在time1~time2内、部分在time2~time3内（time3大于time2），日志中只有一个字段存包含str1，其他字段不为且不包含str1。
4. 使用模糊查询功能查询黑白名单日志，过滤时间范围在time2~time3，日志内容为过滤条件为str1。【check1】【check2】【check3】</t>
  </si>
  <si>
    <t>1. 【check1】查询到的日志数量正确，选取首尾和随机条的所有字段正确。
2. 【check2】可以查到时间范围在time2~time3内，IP，日志描述字段包含str1的日志。
3. 【check3】不能查到时间范围在time2~time3内，非IP，日志描述字段包含为str1的日志
4.</t>
  </si>
  <si>
    <t>验证EDR推广日志的模糊过滤功能</t>
  </si>
  <si>
    <t>1. 向防火墙的日志侦听端口写入一条EDR推广日志，该日志的时间为任意有效时间time1~time2内，其他非时间为任意字符串str1。
2. 遍历EDR推广日志的所有字段，每个字段对应写入一到两条日志，日志的时间部分在time1~time2内部分在time2~time3内（time3大于time2），日志中只有一个字段存为str1，其他字段不为且不包含str1。
3. 遍历EDR推广日志的所有字段，每个字段对应写入一到两条日志，日志的时间部分在time1~time2内、部分在time2~time3内（time3大于time2），日志中只有一个字段存包含str1，其他字段不为且不包含str1。
4. 使用模糊查询功能查询EDR推广日志，过滤时间范围在time2~time3，日志内容为过滤条件为str1。【check1】【check2】【check3】</t>
  </si>
  <si>
    <t>验证IPSecVPN日志的模糊过滤功能</t>
  </si>
  <si>
    <t>1. 向防火墙的日志侦听端口写入一条IPSecVPN日志，该日志的时间为任意有效时间time1~time2内，其他非时间为任意字符串str1。
2. 遍历IPSecVPN日志的所有字段，每个字段对应写入一到两条日志，日志的时间部分在time1~time2内部分在time2~time3内（time3大于time2），日志中只有一个字段存为str1，其他字段不为且不包含str1。
3. 遍历IPSecVPN日志的所有字段，每个字段对应写入一到两条日志，日志的时间部分在time1~time2内、部分在time2~time3内（time3大于time2），日志中只有一个字段存包含str1，其他字段不为且不包含str1。
4. 使用模糊查询功能查询IPSecVPN日志，过滤时间范围在time2~time3，日志内容为过滤条件为str1。【check1】【check2】【check3】</t>
  </si>
  <si>
    <t>1. 【check1】查询到的日志数量正确，选取首尾和随机条的所有字段正确。
2. 【check2】可以查到时间范围在time2~time3内，时间，攻击类型，名称，本地网关，本地端口，对端网关，对端端口，源网络，目的网络，名称，日志描述字段包含str1的日志。
3. 【check3】不能查到时间范围在time2~time3内，非时间，攻击类型，名称，本地网关，本地端口，对端网关，对端端口，源网络，目的网络，名称，日志描述字段包含为str1的日志
4.</t>
  </si>
  <si>
    <t>验证系统日志查询时间范围为1h计算正确</t>
  </si>
  <si>
    <t>1. 向防火墙日志侦听端口写入至少3条系统日志，日志的时间在1h内
2. 向防火墙日志侦听端口写入至少3条系统日志，日志的时间早于1h开始时间，至少3条晚于1h结束时间（可以晚于当前防火墙的系统时间）。
3. 使用接口查询系统日志，过滤时间范围为1h内。【check1】【check3】
4. 使用接口查询系统日志，过滤时间范围为all。【check1】【check3】</t>
  </si>
  <si>
    <t>1. 【check1】仅能查询到1h内的日志
2. 【check2】可以查询到所有日志
3. 【check3】查询到的日志数量正确，选取首尾和随机条的所有字段正确。
4.</t>
  </si>
  <si>
    <t>验证安全日志查询时间范围为24h计算正确</t>
  </si>
  <si>
    <t>1. 向防火墙日志侦听端口写入至少3条安全日志，日志的时间在24h内
2. 向防火墙日志侦听端口写入至少3条安全日志，日志的时间早于24h开始时间，至少3条晚于24h结束时间（可以晚于当前防火墙的系统时间）。
3. 使用接口查询安全日志，过滤时间范围为24h内。【check1】【check3】
4. 使用接口查询安全日志，过滤时间范围为all。【check1】【check3】</t>
  </si>
  <si>
    <t>1. 【check1】仅能查询到24h内的日志
2. 【check2】可以查询到所有日志
3. 【check3】查询到的日志数量正确，选取首尾和随机条的所有字段正确。
4.</t>
  </si>
  <si>
    <t>验证控制策略阻断日志查询时间范围为7d计算正确</t>
  </si>
  <si>
    <t>1. 向防火墙日志侦听端口写入至少3条控制策略阻断日志，日志的时间在7d内
2. 向防火墙日志侦听端口写入至少3条控制策略阻断日志，日志的时间早于7d开始时间，至少3条晚于7d结束时间（可以晚于当前防火墙的系统时间）。
3. 使用接口查询控制策略阻断日志，过滤时间范围为7d内。【check1】【check3】
4. 使用接口查询控制策略阻断日志，过滤时间范围为all。【check1】【check3】</t>
  </si>
  <si>
    <t>1. 【check1】仅能查询到7d内的日志
2. 【check2】可以查询到所有日志
3. 【check3】查询到的日志数量正确，选取首尾和随机条的所有字段正确。
4.</t>
  </si>
  <si>
    <t>验证黑白名单日志查询时间范围为1m(月)计算正确</t>
  </si>
  <si>
    <t>1. 向防火墙日志侦听端口写入至少3条黑白名单日志，日志的时间在1m(月)内
2. 向防火墙日志侦听端口写入至少3条黑白名单日志，日志的时间早于1m(月)开始时间，至少3条晚于1m(月)结束时间（可以晚于当前防火墙的系统时间）。
3. 使用接口查询黑白名单日志，过滤时间范围为1m(月)内。【check1】【check3】
4. 使用接口查询黑白名单日志，过滤时间范围为all。【check1】【check3】</t>
  </si>
  <si>
    <t>1. 【check1】仅能查询到1m(月)内的日志
2. 【check2】可以查询到所有日志
3. 【check3】查询到的日志数量正确，选取首尾和随机条的所有字段正确。
4.</t>
  </si>
  <si>
    <t>验证IPSecVPN日志查询时间范围为自定义计算正确</t>
  </si>
  <si>
    <t>1. 向防火墙日志侦听端口写入至少3条IPSecVPN日志，日志的时间在自定义内
2. 向防火墙日志侦听端口写入至少3条IPSecVPN日志，日志的时间早于自定义开始时间，至少3条晚于自定义结束时间（可以晚于当前防火墙的系统时间）。
3. 使用接口查询IPSecVPN日志，过滤时间范围为自定义内。【check1】【check3】
4. 使用接口查询IPSecVPN日志，过滤时间范围为all。【check1】【check3】</t>
  </si>
  <si>
    <t>1. 【check1】仅能查询到自定义内的日志
2. 【check2】可以查询到所有日志
3. 【check3】查询到的日志数量正确，选取首尾和随机条的所有字段正确。
4.</t>
  </si>
  <si>
    <t>验证修改系统时间后的日志查询功能</t>
  </si>
  <si>
    <t>1. 防火墙当前时间记为t，向防火墙日志侦听端口写入至少9条系统日志。至少3条日志在防火墙当前时间的前1小时内记为t0~1日志，至少3条仔防火墙当前时间前1~2小时内记为t1~2日志，至少3条仔防火墙当前时间前2~3小时内记为t2~3日志。
2. 查询防火墙系统日志，过滤时间为1小时内【check1】【check4】
3. 将防火墙的系统时间向后调整1个小时(即为t+1),查询防火墙系统日志，过滤时间为1小时内【check2】【check4】
4. 将防火墙的时间向前调整2小时（防火墙时间为t-1），查询防火墙系统日志，过滤时间为1小时内【check3】【check4】</t>
  </si>
  <si>
    <t>1. 【check1】防火墙只能查询到t0~1时间段的日志（1小时内的日志）
2. 【check2】防火墙查询不到任何日志
3. 【check3】防火墙只能查询到t1~2时间段的日志
4. 【check4】查询到的日志数量正确，选取首尾和随机条的所有字段正确。</t>
  </si>
  <si>
    <t>/管理维护/监控统计/日志中心/日志管理/日志归并(#22642)</t>
  </si>
  <si>
    <t>验证入侵防御日志写入时的日志归并功能</t>
  </si>
  <si>
    <t>1. 开启日志归并，配置日志归并时间为10~60之间的随机值t秒
2. 清空入侵防御日志，并查询日志。【check1】
3. 在t秒时间内向防火墙的日志侦听端口写入2~200之间任意值n条入侵防御日志，日志除了时间其他内容完全相同
4. 使用接口查询入侵防御日志【check2】</t>
  </si>
  <si>
    <t>1. 【check1】查询到的日志为空
2. 【check2】仅查询到1条入侵防御日志，该日志的攻击次数或者出现次数为n
3. 
4.</t>
  </si>
  <si>
    <t>验证防病毒日志写入时的日志归并功能</t>
  </si>
  <si>
    <t>1. 开启日志归并，配置日志归并时间为10~60之间的随机值t秒
2. 清空防病毒日志，并查询日志。【check1】
3. 在t秒时间内向防火墙的日志侦听端口写入2~200之间任意值n条防病毒日志，日志除了时间其他内容完全相同
4. 使用接口查询防病毒日志【check2】</t>
  </si>
  <si>
    <t>1. 【check1】查询到的日志为空
2. 【check2】仅查询到1条防病毒日志，该日志的攻击次数或者出现次数为n
3. 
4.</t>
  </si>
  <si>
    <t>验证内容过滤日志写入时的日志归并功能</t>
  </si>
  <si>
    <t>1. 开启日志归并，配置日志归并时间为10~60之间的随机值t秒
2. 清空内容过滤日志，并查询日志。【check1】
3. 在t秒时间内向防火墙的日志侦听端口写入2~200之间任意值n条内容过滤日志，日志除了时间其他内容完全相同
4. 使用接口查询内容过滤日志【check2】</t>
  </si>
  <si>
    <t>1. 【check1】查询到的日志为空
2. 【check2】仅查询到1条内容过滤日志，该日志的攻击次数或者出现次数为n
3. 
4.</t>
  </si>
  <si>
    <t>验证URL过滤日志写入时的日志归并功能</t>
  </si>
  <si>
    <t>1. 开启日志归并，配置日志归并时间为10~60之间的随机值t秒
2. 清空URL过滤日志，并查询日志。【check1】
3. 在t秒时间内向防火墙的日志侦听端口写入2~200之间任意值n条URL过滤日志，日志除了时间其他内容完全相同
4. 使用接口查询URL过滤日志【check2】</t>
  </si>
  <si>
    <t>1. 【check1】查询到的日志为空
2. 【check2】仅查询到1条URL过滤日志，该日志的攻击次数或者出现次数为n
3. 
4.</t>
  </si>
  <si>
    <t>验证文件过滤日志写入时的日志归并功能</t>
  </si>
  <si>
    <t>1. 开启日志归并，配置日志归并时间为10~60之间的随机值t秒
2. 清空文件过滤日志，并查询日志。【check1】
3. 在t秒时间内向防火墙的日志侦听端口写入2~200之间任意值n条文件过滤日志，日志除了时间其他内容完全相同
4. 使用接口查询文件过滤日志【check2】</t>
  </si>
  <si>
    <t>1. 【check1】查询到的日志为空
2. 【check2】仅查询到1条文件过滤日志，该日志的攻击次数或者出现次数为n
3. 
4.</t>
  </si>
  <si>
    <t>验证WEB防护日志写入时的日志归并功能</t>
  </si>
  <si>
    <t>1. 开启日志归并，配置日志归并时间为10~60之间的随机值t秒
2. 清空WEB防护日志，并查询日志。【check1】
3. 在t秒时间内向防火墙的日志侦听端口写入2~200之间任意值n条WEB防护日志，日志除了时间其他内容完全相同
4. 使用接口查询WEB防护日志【check2】</t>
  </si>
  <si>
    <t>1. 【check1】查询到的日志为空
2. 【check2】仅查询到1条WEB防护日志，该日志的攻击次数或者出现次数为n
3. 
4.</t>
  </si>
  <si>
    <t>验证弱密码日志写入时的日志归并功能</t>
  </si>
  <si>
    <t>1. 开启日志归并，配置日志归并时间为10~60之间的随机值t秒
2. 清空弱密码日志，并查询日志。【check1】
3. 在t秒时间内向防火墙的日志侦听端口写入2~200之间任意值n条弱密码日志，日志除了时间其他内容完全相同
4. 使用接口查询弱密码日志【check2】</t>
  </si>
  <si>
    <t>1. 【check1】查询到的日志为空
2. 【check2】仅查询到1条弱密码日志，该日志的攻击次数或者出现次数为n
3. 
4.</t>
  </si>
  <si>
    <t>验证防暴力破解日志写入时的日志归并功能</t>
  </si>
  <si>
    <t>1. 开启日志归并，配置日志归并时间为10~60之间的随机值t秒
2. 清空防暴力破解日志，并查询日志。【check1】
3. 在t秒时间内向防火墙的日志侦听端口写入2~200之间任意值n条防暴力破解日志，日志除了时间其他内容完全相同
4. 使用接口查询防暴力破解日志【check2】</t>
  </si>
  <si>
    <t>1. 【check1】查询到的日志为空
2. 【check2】仅查询到1条防暴力破解日志，该日志的攻击次数或者出现次数为n
3. 
4.</t>
  </si>
  <si>
    <t>验证单包防护日志写入时的日志归并功能</t>
  </si>
  <si>
    <t>1. 开启日志归并，配置日志归并时间为10~60之间的随机值t秒
2. 清空单包防护日志，并查询日志。【check1】
3. 在t秒时间内向防火墙的日志侦听端口写入2~200之间任意值n条单包防护日志，日志除了时间其他内容完全相同
4. 使用接口查询单包防护日志【check2】</t>
  </si>
  <si>
    <t>1. 【check1】查询到的日志为空
2. 【check2】仅查询到1条单包防护日志，该日志的攻击次数或者出现次数为n
3. 
4.</t>
  </si>
  <si>
    <t>验证Flood攻击日志写入时的日志归并功能</t>
  </si>
  <si>
    <t>1. 开启日志归并，配置日志归并时间为10~60之间的随机值t秒
2. 清空Flood攻击日志，并查询日志。【check1】
3. 在t秒时间内向防火墙的日志侦听端口写入2~200之间任意值n条Flood攻击日志，日志除了时间其他内容完全相同
4. 使用接口查询Flood攻击日志【check2】</t>
  </si>
  <si>
    <t>1. 【check1】查询到的日志为空
2. 【check2】仅查询到1条Flood攻击日志，该日志的攻击次数或者出现次数为n
3. 
4.</t>
  </si>
  <si>
    <t>验证入侵防御日志归并周期为最小值（10s）时的日志归并功能</t>
  </si>
  <si>
    <t>1. 开启日志归并，配置日志归并时间为最小值（10s）
2. 清空${有效日志类型}，并查询日志。【check1】
3. 在最小值（10s）内向防火墙的日志侦听端口写入2~200之间任意值n1条入侵防御日志，日志的除了时间，其他内容完全相同。
4. 使用接口查询入侵防御日志【check2】
5. 等待1~3之间非整数倍的归并周期，后再最小值（10s）内向向防火墙的日志侦听端口写入2~200之间任意值n2条入侵防御日志，日志的除了时间，其他内容完全相同。【check3】</t>
  </si>
  <si>
    <t>1. 【check1】查询到的日志为空
2. 【check2】仅查询到1条${有效日志类型}，该日志的攻击次数或者出现次数为n1
3. 【check3】仅查询到2条${有效日志类型}，第二条日志的攻击次数或者出现次数为n2
4. 
5.</t>
  </si>
  <si>
    <t>验证防病毒日志归并周期为默认值（60s）时的日志归并功能</t>
  </si>
  <si>
    <t>1. 开启日志归并，配置日志归并时间为默认值（60s）
2. 清空${有效日志类型}，并查询日志。【check1】
3. 在默认值（60s）内向防火墙的日志侦听端口写入2~200之间任意值n1条防病毒日志，日志的除了时间，其他内容完全相同。
4. 使用接口查询防病毒日志【check2】
5. 等待1~3之间非整数倍的归并周期，后再默认值（60s）内向向防火墙的日志侦听端口写入2~200之间任意值n2条防病毒日志，日志的除了时间，其他内容完全相同。【check3】</t>
  </si>
  <si>
    <t>验证单包防护日志归并周期为最大值（300s）时的日志归并功能</t>
  </si>
  <si>
    <t>1. 开启日志归并，配置日志归并时间为最大值（300s）
2. 清空${有效日志类型}，并查询日志。【check1】
3. 在最大值（300s）内向防火墙的日志侦听端口写入2~200之间任意值n1条单包防护日志，日志的除了时间，其他内容完全相同。
4. 使用接口查询单包防护日志【check2】
5. 等待1~3之间非整数倍的归并周期，后再最大值（300s）内向向防火墙的日志侦听端口写入2~200之间任意值n2条单包防护日志，日志的除了时间，其他内容完全相同。【check3】</t>
  </si>
  <si>
    <t>验证WEB防护日志归并周期为随机值（11~299s）时的日志归并功能</t>
  </si>
  <si>
    <t>1. 开启日志归并，配置日志归并时间为随机值（11~299s）
2. 清空${有效日志类型}，并查询日志。【check1】
3. 在随机值（11~299s）内向防火墙的日志侦听端口写入2~200之间任意值n1条WEB防护日志，日志的除了时间，其他内容完全相同。
4. 使用接口查询WEB防护日志【check2】
5. 等待1~3之间非整数倍的归并周期，后再随机值（11~299s）内向向防火墙的日志侦听端口写入2~200之间任意值n2条WEB防护日志，日志的除了时间，其他内容完全相同。【check3】</t>
  </si>
  <si>
    <t>1. 开启日志归并，配置日志归并周期为120~300之间任意值t
2. 选择入侵防御日志中任意日志，向日志侦听端口写入选择的日志，时间为当前系统时间，日志条数1~100之间任意值n1，除了时间其他字段全部相同。
3. 在日志归并周期到期前修改系统时间
4. 向日志侦听端口写入步骤2的日志，除了系统时间为修改系统时间后的当前时间之外，其他内容都相同，日志条数为1~100之间任意值n2。
5. 等待日志归并周期后，使用接口查询所有的该日志。【check1】</t>
  </si>
  <si>
    <t>1. 【check1】产生两条日志，其中条产生时间为修改前的系统时间，攻击次数或者出现次数为n1。其中一条为修改后的系统时间，攻击次数为n2
2. 
3. 
4. 
5.</t>
  </si>
  <si>
    <t>1. 开启日志归并，配置日志归并周期为10~15s任意值t
2. 选择入侵防御日志中任意日志，除了时间和攻击次数（出现次数）以外，为每个字段构造一条日志，该日志仅该字段不相同以外，其他字段均相同。
3. 在t秒内，向防火墙日志侦听端口同时写入选出的日志类型和日志种类，每种日志类型的条数为1~100的随机值且都不相同。
4. 在t秒之后查询选取的日志类型【check2】</t>
  </si>
  <si>
    <t>1. 【check1】所的在t秒内只有一条日志，每种日志只生成了一条日志。日志的内容全部正确
2. 【check2】每种日志的攻击次数或者出现次数与写入的该种日志的数量相同
3. 
4.</t>
  </si>
  <si>
    <t>验证多种日志归并相互不影响</t>
  </si>
  <si>
    <t>1. 开启日志归并，配置日志归并周期为10~15s任意值t
2. 清空入侵防御日志，并查询日志。【check1】
3. 在t秒内，向防火墙日志侦听端口同时写入入侵防御日志，每种日志类型的条数为1~100的随机值且都不相同，同一日志的内容除了时间，其他内容完全相同。
4. 在t秒之后查询入侵防御日志【check2】</t>
  </si>
  <si>
    <t>1. 【check1】查询到的日志为空
2. 【check2】入侵防御日志的在t秒内只有一条日志，日志的攻击或者出现次数与写入日志条数相同
3. 
4.</t>
  </si>
  <si>
    <t>1. 关闭日志归并
2. 向防火墙日志侦听端口写入入侵防御日志，每种日志1~100条，除了时间其他内容完全相同。
3. 使用接口查看入侵防御日志。【check1】【check2】</t>
  </si>
  <si>
    <t>1. 【check1】所有写入的日志都记录正确，日志数量正确。首尾和随机条日志的内容完全正确
2. 【check2】所有日志的攻击次数或者出现次数都为1
3.</t>
  </si>
  <si>
    <t>1. 向防火墙日志侦听端口持续写入入侵防御日志
2. 不修改日志归并周期，反复修改开启关闭日志归并 200次以上，
3. 停止持续写入日志，等待日志归并周期时间，后查看入侵防御日志【check1】
4. 在日志归并周期内向防火墙日志侦听端口同时写入入侵防御日志，日志数量为1~10的随机值。
5. 等待日志归并周期后，查看入侵防御日志。【check2】</t>
  </si>
  <si>
    <t>1. 【check1】所有日志正确记录
2. 【check2】入侵防御日志的在日志归并周期内只有一条日志，日志的攻击或者出现次数与写入日志条数相同
3. 
4. 
5.</t>
  </si>
  <si>
    <t>1. 向防火墙日志侦听端口持续写入入侵防御日志
2. 保持日志归并开启，反复修改日志归并周期200次以上，
3. 停止持续写入日志，等待日志归并周期时间，后查看入侵防御日志【check1】
4. 在日志归并周期内向防火墙日志侦听端口同时写入入侵防御日志，日志数量为1~10的随机值。
5. 等待日志归并周期后，查看入侵防御日志。【check2】</t>
  </si>
  <si>
    <t>/管理维护/监控统计/日志中心/日志管理/日志备份(#22644)</t>
  </si>
  <si>
    <t>验证系统日志每日备份时追加功能</t>
  </si>
  <si>
    <t>1. 构造系统日志备份日志文件中，时戳为当前日期的日志文件存在（在当天日志大于80%时触发超规格备份或者当前已触发自动备份或者手工创建）【check3】
2. 下载当前日期的日志备份文件
3. 向防火墙的日志侦听端口写入系统日志，日志的产生时间为当前日期的前一天0点到24点的日志，日志条数大100条。
4. 向防火墙的日志侦听端口写入系统日志，日志的产生时间为当前日期的日志，日志条数大10条。
5. 确认或者修改系统时间为凌晨3:29:59分，并且后台持续ll查看系统日志当天的日志备份文件大小有变化后
6. 下载系统日志当天的日志备份文件，并与步骤2下载的文件对比。【check1】【check2】</t>
  </si>
  <si>
    <t>1. 【check1】当前日志前一天产生的日志全部追加到日志备份文件中，所有字段填写正确。原备份文件中的日志记录仍然存在且不被篡改
2. 【check2】日志备份文件中不添加在其他日志和其他类型的日志。
3. 【check3】检查日志备份文件的名称正确，不存在词义错误和拼写错误
4. 
5. 
6.</t>
  </si>
  <si>
    <t>验证入侵防御日志每日备份时追加功能</t>
  </si>
  <si>
    <t>1. 构造入侵防御日志备份日志文件中，时戳为当前日期的日志文件存在（在当天日志大于80%时触发超规格备份或者当前已触发自动备份或者手工创建）【check3】
2. 下载当前日期的日志备份文件
3. 向防火墙的日志侦听端口写入入侵防御日志，日志的产生时间为当前日期的前一天0点到24点的日志，日志条数大100条。
4. 向防火墙的日志侦听端口写入入侵防御日志，日志的产生时间为当前日期的日志，日志条数大10条。
5. 确认或者修改系统时间为凌晨3:29:59分，并且后台持续ll查看入侵防御日志当天的日志备份文件大小有变化后
6. 下载入侵防御日志当天的日志备份文件，并与步骤2下载的文件对比。【check1】【check2】</t>
  </si>
  <si>
    <t>验证内容过滤日志每日备份时追加功能</t>
  </si>
  <si>
    <t>1. 构造内容过滤日志备份日志文件中，时戳为当前日期的日志文件存在（在当天日志大于80%时触发超规格备份或者当前已触发自动备份或者手工创建）【check3】
2. 下载当前日期的日志备份文件
3. 向防火墙的日志侦听端口写入内容过滤日志，日志的产生时间为当前日期的前一天0点到24点的日志，日志条数大100条。
4. 向防火墙的日志侦听端口写入内容过滤日志，日志的产生时间为当前日期的日志，日志条数大10条。
5. 确认或者修改系统时间为凌晨3:29:59分，并且后台持续ll查看内容过滤日志当天的日志备份文件大小有变化后
6. 下载内容过滤日志当天的日志备份文件，并与步骤2下载的文件对比。【check1】【check2】</t>
  </si>
  <si>
    <t>验证URL过滤日志每日备份时追加功能</t>
  </si>
  <si>
    <t>1. 构造URL过滤日志备份日志文件中，时戳为当前日期的日志文件存在（在当天日志大于80%时触发超规格备份或者当前已触发自动备份或者手工创建）【check3】
2. 下载当前日期的日志备份文件
3. 向防火墙的日志侦听端口写入URL过滤日志，日志的产生时间为当前日期的前一天0点到24点的日志，日志条数大100条。
4. 向防火墙的日志侦听端口写入URL过滤日志，日志的产生时间为当前日期的日志，日志条数大10条。
5. 确认或者修改系统时间为凌晨3:29:59分，并且后台持续ll查看URL过滤日志当天的日志备份文件大小有变化后
6. 下载URL过滤日志当天的日志备份文件，并与步骤2下载的文件对比。【check1】【check2】</t>
  </si>
  <si>
    <t>验证防暴力破解日志每日备份时追加功能</t>
  </si>
  <si>
    <t>1. 构造防暴力破解日志备份日志文件中，时戳为当前日期的日志文件存在（在当天日志大于80%时触发超规格备份或者当前已触发自动备份或者手工创建）【check3】
2. 下载当前日期的日志备份文件
3. 向防火墙的日志侦听端口写入防暴力破解日志，日志的产生时间为当前日期的前一天0点到24点的日志，日志条数大100条。
4. 向防火墙的日志侦听端口写入防暴力破解日志，日志的产生时间为当前日期的日志，日志条数大10条。
5. 确认或者修改系统时间为凌晨3:29:59分，并且后台持续ll查看防暴力破解日志当天的日志备份文件大小有变化后
6. 下载防暴力破解日志当天的日志备份文件，并与步骤2下载的文件对比。【check1】【check2】</t>
  </si>
  <si>
    <t>验证控制策略阻断日志每日备份时追加功能</t>
  </si>
  <si>
    <t>1. 构造控制策略阻断日志备份日志文件中，时戳为当前日期的日志文件存在（在当天日志大于80%时触发超规格备份或者当前已触发自动备份或者手工创建）【check3】
2. 下载当前日期的日志备份文件
3. 向防火墙的日志侦听端口写入控制策略阻断日志，日志的产生时间为当前日期的前一天0点到24点的日志，日志条数大100条。
4. 向防火墙的日志侦听端口写入控制策略阻断日志，日志的产生时间为当前日期的日志，日志条数大10条。
5. 确认或者修改系统时间为凌晨3:29:59分，并且后台持续ll查看控制策略阻断日志当天的日志备份文件大小有变化后
6. 下载控制策略阻断日志当天的日志备份文件，并与步骤2下载的文件对比。【check1】【check2】</t>
  </si>
  <si>
    <t>验证单包防护日志每日备份时追加功能</t>
  </si>
  <si>
    <t>1. 构造单包防护日志备份日志文件中，时戳为当前日期的日志文件存在（在当天日志大于80%时触发超规格备份或者当前已触发自动备份或者手工创建）【check3】
2. 下载当前日期的日志备份文件
3. 向防火墙的日志侦听端口写入单包防护日志，日志的产生时间为当前日期的前一天0点到24点的日志，日志条数大100条。
4. 向防火墙的日志侦听端口写入单包防护日志，日志的产生时间为当前日期的日志，日志条数大10条。
5. 确认或者修改系统时间为凌晨3:29:59分，并且后台持续ll查看单包防护日志当天的日志备份文件大小有变化后
6. 下载单包防护日志当天的日志备份文件，并与步骤2下载的文件对比。【check1】【check2】</t>
  </si>
  <si>
    <t>验证黑白名单日志每日备份时追加功能</t>
  </si>
  <si>
    <t>1. 构造黑白名单日志备份日志文件中，时戳为当前日期的日志文件存在（在当天日志大于80%时触发超规格备份或者当前已触发自动备份或者手工创建）【check3】
2. 下载当前日期的日志备份文件
3. 向防火墙的日志侦听端口写入黑白名单日志，日志的产生时间为当前日期的前一天0点到24点的日志，日志条数大100条。
4. 向防火墙的日志侦听端口写入黑白名单日志，日志的产生时间为当前日期的日志，日志条数大10条。
5. 确认或者修改系统时间为凌晨3:29:59分，并且后台持续ll查看黑白名单日志当天的日志备份文件大小有变化后
6. 下载黑白名单日志当天的日志备份文件，并与步骤2下载的文件对比。【check1】【check2】</t>
  </si>
  <si>
    <t>验证IPSecVPN日志每日备份时追加功能</t>
  </si>
  <si>
    <t>1. 构造IPSecVPN日志备份日志文件中，时戳为当前日期的日志文件存在（在当天日志大于80%时触发超规格备份或者当前已触发自动备份或者手工创建）【check3】
2. 下载当前日期的日志备份文件
3. 向防火墙的日志侦听端口写入IPSecVPN日志，日志的产生时间为当前日期的前一天0点到24点的日志，日志条数大100条。
4. 向防火墙的日志侦听端口写入IPSecVPN日志，日志的产生时间为当前日期的日志，日志条数大10条。
5. 确认或者修改系统时间为凌晨3:29:59分，并且后台持续ll查看IPSecVPN日志当天的日志备份文件大小有变化后
6. 下载IPSecVPN日志当天的日志备份文件，并与步骤2下载的文件对比。【check1】【check2】</t>
  </si>
  <si>
    <t>验证操作日志每日备份时备份功能</t>
  </si>
  <si>
    <t>1. 查看日志文件备份文件中不存在操作日志当天的日志备份文件（如果存在则删除）。
2. 向防火墙的日志侦听端口写入操作日志，日志的产生时间为当前日期的前一天0点到24点的日志，日志条数大100条。
3. 向防火墙的日志侦听端口写入操作日志，日志的产生时间为当前日期的日志，日志条数大10条。
4. 修改系统时间为凌晨3:29:59分，并且后台持续ll查看操作日志当天的日志备份文件大小有变化后
5. 下载操作日志当天的日志备份文件，并与步骤2下载的文件对比。【check1】【check2】</t>
  </si>
  <si>
    <t>1. 【check1】系统系统会创建一个当前日期的日志备份文件，文件的名称正确，不存在词义错误和拼写错误。
2. 【check2】系统会创建一个当前日志前一天产生的日志全部追加到日志备份文件中。且日志文件中不会存在其他日志和其他类型的日志。
3. 
4. 
5.</t>
  </si>
  <si>
    <t>验证防病毒日志每日备份时备份功能</t>
  </si>
  <si>
    <t>1. 查看日志文件备份文件中不存在防病毒日志当天的日志备份文件（如果存在则删除）。
2. 向防火墙的日志侦听端口写入防病毒日志，日志的产生时间为当前日期的前一天0点到24点的日志，日志条数大100条。
3. 向防火墙的日志侦听端口写入防病毒日志，日志的产生时间为当前日期的日志，日志条数大10条。
4. 修改系统时间为凌晨3:29:59分，并且后台持续ll查看防病毒日志当天的日志备份文件大小有变化后
5. 下载防病毒日志当天的日志备份文件，并与步骤2下载的文件对比。【check1】【check2】</t>
  </si>
  <si>
    <t>验证文件过滤日志每日备份时备份功能</t>
  </si>
  <si>
    <t>1. 查看日志文件备份文件中不存在文件过滤日志当天的日志备份文件（如果存在则删除）。
2. 向防火墙的日志侦听端口写入文件过滤日志，日志的产生时间为当前日期的前一天0点到24点的日志，日志条数大100条。
3. 向防火墙的日志侦听端口写入文件过滤日志，日志的产生时间为当前日期的日志，日志条数大10条。
4. 修改系统时间为凌晨3:29:59分，并且后台持续ll查看文件过滤日志当天的日志备份文件大小有变化后
5. 下载文件过滤日志当天的日志备份文件，并与步骤2下载的文件对比。【check1】【check2】</t>
  </si>
  <si>
    <t>验证WEB防护日志每日备份时备份功能</t>
  </si>
  <si>
    <t>1. 查看日志文件备份文件中不存在WEB防护日志当天的日志备份文件（如果存在则删除）。
2. 向防火墙的日志侦听端口写入WEB防护日志，日志的产生时间为当前日期的前一天0点到24点的日志，日志条数大100条。
3. 向防火墙的日志侦听端口写入WEB防护日志，日志的产生时间为当前日期的日志，日志条数大10条。
4. 修改系统时间为凌晨3:29:59分，并且后台持续ll查看WEB防护日志当天的日志备份文件大小有变化后
5. 下载WEB防护日志当天的日志备份文件，并与步骤2下载的文件对比。【check1】【check2】</t>
  </si>
  <si>
    <t>验证弱密码日志每日备份时备份功能</t>
  </si>
  <si>
    <t>1. 查看日志文件备份文件中不存在弱密码日志当天的日志备份文件（如果存在则删除）。
2. 向防火墙的日志侦听端口写入弱密码日志，日志的产生时间为当前日期的前一天0点到24点的日志，日志条数大100条。
3. 向防火墙的日志侦听端口写入弱密码日志，日志的产生时间为当前日期的日志，日志条数大10条。
4. 修改系统时间为凌晨3:29:59分，并且后台持续ll查看弱密码日志当天的日志备份文件大小有变化后
5. 下载弱密码日志当天的日志备份文件，并与步骤2下载的文件对比。【check1】【check2】</t>
  </si>
  <si>
    <t>验证本地控制策略日志每日备份时备份功能</t>
  </si>
  <si>
    <t>1. 查看日志文件备份文件中不存在本地控制策略日志当天的日志备份文件（如果存在则删除）。
2. 向防火墙的日志侦听端口写入本地控制策略日志，日志的产生时间为当前日期的前一天0点到24点的日志，日志条数大100条。
3. 向防火墙的日志侦听端口写入本地控制策略日志，日志的产生时间为当前日期的日志，日志条数大10条。
4. 修改系统时间为凌晨3:29:59分，并且后台持续ll查看本地控制策略日志当天的日志备份文件大小有变化后
5. 下载本地控制策略日志当天的日志备份文件，并与步骤2下载的文件对比。【check1】【check2】</t>
  </si>
  <si>
    <t>验证Flood攻击日志每日备份时备份功能</t>
  </si>
  <si>
    <t>1. 查看日志文件备份文件中不存在Flood攻击日志当天的日志备份文件（如果存在则删除）。
2. 向防火墙的日志侦听端口写入Flood攻击日志，日志的产生时间为当前日期的前一天0点到24点的日志，日志条数大100条。
3. 向防火墙的日志侦听端口写入Flood攻击日志，日志的产生时间为当前日期的日志，日志条数大10条。
4. 修改系统时间为凌晨3:29:59分，并且后台持续ll查看Flood攻击日志当天的日志备份文件大小有变化后
5. 下载Flood攻击日志当天的日志备份文件，并与步骤2下载的文件对比。【check1】【check2】</t>
  </si>
  <si>
    <t>验证EDR推广日志每日备份时备份功能</t>
  </si>
  <si>
    <t>1. 查看日志文件备份文件中不存在EDR推广日志当天的日志备份文件（如果存在则删除）。
2. 向防火墙的日志侦听端口写入EDR推广日志，日志的产生时间为当前日期的前一天0点到24点的日志，日志条数大100条。
3. 向防火墙的日志侦听端口写入EDR推广日志，日志的产生时间为当前日期的日志，日志条数大10条。
4. 修改系统时间为凌晨3:29:59分，并且后台持续ll查看EDR推广日志当天的日志备份文件大小有变化后
5. 下载EDR推广日志当天的日志备份文件，并与步骤2下载的文件对比。【check1】【check2】</t>
  </si>
  <si>
    <t>验证日志备份文件过滤功能</t>
  </si>
  <si>
    <t>1. 后台构造多个时戳不同的如下文件antiddoslog20241016.csv,antiddospktlog20241016.csv,contentsec20241016.csv,explosionproofsec20241016.csv,filesec20241016.csv,ipssec20241016.csv,operationlog20241016.csv,systemlog20241016.csv,urlsec20241016.csv,virussec20241016.csv,vppPolicyPluginLog20241016.csv,wblistlog20241016.csv,weakpwchecksec20241016.csv,websec20241016.csv,edrlog20241016.csv,ipseclog20241016.csv和本地策略日志
2. 查看日志备份文件列表【check1】
3. 使用名称中的关键字，查询日志文件。【check2】
4. 使用日期中的关键字，查询日志文件。【check3】
5. 使用类型中的关键字，查询日志文件。【check4】</t>
  </si>
  <si>
    <t>1. 【check1】所有日志备份文件的名称为文件名，生成时间为时戳，日志类型正确日志名与日志类型对应关系如下：antiddoslog-flood攻击日志,antiddospktlog-单包防护日志,contentsec-内容过滤日志,explosionproofsec-防暴力破解日志,filesec-文件过滤日志,ipssec-入侵防御日志,operationlog-操作日志,systemlog-系统日志,urlsec-url过滤日志,virussec-防病毒日志,vppPolicyPluginLog-应用控制日志,wblistlog-黑白名单日志,weakpwchecksec-弱密码防护日志,websec-web防护日志,edrlog-EDR推广日志,ipseclog-ipsec日志,本地策略日志
2. 【check2】名称中包含关键字的日志备份文件全部在反馈列表中，其他字段包含该关键字的文件也会在列表中
3. 【check3】日期中包含关键字的日志备份文件全部在反馈列表中，其他字段包含该关键字的文件也会在列表中
4. 【check4】日志类型中包含关键字的日志备份文件全部在反馈列表中，其他字段包含该关键字的文件也会在列表中
5.</t>
  </si>
  <si>
    <t>配置相关</t>
  </si>
  <si>
    <t>验证有存储设备支持日志备份功能</t>
  </si>
  <si>
    <t>1. 查看设备为有存储设备
2. 使用/api/v1/logsetting/logtimesetting接口下发日志备份。【check1】
3. 使用/api/v1/logsetting/logbackcsv?page=1&amp;size=10&amp;keywords=GET接口查询备份文件。【check1】
4. 修改系统时间为凌晨3:29:59分，等待1分钟后为后台查询/userdata/userfile/influxTask。【cehck2】</t>
  </si>
  <si>
    <t>1. 【check1】下发成功。
2. 【check2】${检查点2}
3. 
4.</t>
  </si>
  <si>
    <t>验证无存储设备不支持日志备份功能</t>
  </si>
  <si>
    <t>1. 查看设备为无存储设备
2. 使用/api/v1/logsetting/logtimesetting接口下发日志备份。【check1】
3. 使用/api/v1/logsetting/logbackcsv?page=1&amp;size=10&amp;keywords=GET接口查询备份文件。【check1】
4. 修改系统时间为凌晨3:29:59分，等待1分钟后为后台查询/userdata/userfile/influxTask。【cehck2】</t>
  </si>
  <si>
    <t>1. 【check1】下发失败。
2. 【check2】${检查点2}
3. 
4.</t>
  </si>
  <si>
    <t>验证日志每日备份有效期为最小值(90天)时的日志备份功能</t>
  </si>
  <si>
    <t>1. 配置日志备份的有效期为最小值(90天)
2. 构造所有日志文件（包括系统日志,操作日志,入侵防御日志,防病毒日志,内容过滤日志,文件过滤日志,URL过滤日志,WEB防护日志,防暴力破解日志,弱密码日志,控制策略阻断日志,本地控制策略日志,单包防护日志,Flood攻击日志,黑白名单日志,EDR推广日志,IPSecVPN日志）存在时间戳为当前日志之前有效期和有效期前一天的日志备份文件。
3. 调整系统时间为凌晨2:59:59描述，等待1分钟
4. 持续查看后台文件
5. 使用接口查询和下载备份文件【check1】</t>
  </si>
  <si>
    <t>1. 【check1】所有时间戳为有效期内的日志备份文件保留，所有时间戳为有效期前一天的日志备份文件被删除
2. 
3. 
4. 
5.</t>
  </si>
  <si>
    <t>验证日志每日备份有效期为最大值(360天)时的日志备份功能</t>
  </si>
  <si>
    <t>1. 配置日志备份的有效期为最大值(360天)
2. 构造所有日志文件（包括系统日志,操作日志,入侵防御日志,防病毒日志,内容过滤日志,文件过滤日志,URL过滤日志,WEB防护日志,防暴力破解日志,弱密码日志,控制策略阻断日志,本地控制策略日志,单包防护日志,Flood攻击日志,黑白名单日志,EDR推广日志,IPSecVPN日志）存在时间戳为当前日志之前有效期和有效期前一天的日志备份文件。
3. 调整系统时间为凌晨2:59:59描述，等待1分钟
4. 持续查看后台文件
5. 使用接口查询和下载备份文件【check1】</t>
  </si>
  <si>
    <t>验证日志每日备份有效期为默认值(180天)时的日志备份功能</t>
  </si>
  <si>
    <t>1. 配置日志备份的有效期为默认值(180天)
2. 构造所有日志文件（包括系统日志,操作日志,入侵防御日志,防病毒日志,内容过滤日志,文件过滤日志,URL过滤日志,WEB防护日志,防暴力破解日志,弱密码日志,控制策略阻断日志,本地控制策略日志,单包防护日志,Flood攻击日志,黑白名单日志,EDR推广日志,IPSecVPN日志）存在时间戳为当前日志之前有效期和有效期前一天的日志备份文件。
3. 调整系统时间为凌晨2:59:59描述，等待1分钟
4. 持续查看后台文件
5. 使用接口查询和下载备份文件【check1】</t>
  </si>
  <si>
    <t>验证日志每日备份有效期为随机值n(91~359天)时的日志备份功能</t>
  </si>
  <si>
    <t>1. 配置日志备份的有效期为随机值n(91~359天)
2. 构造所有日志文件（包括系统日志,操作日志,入侵防御日志,防病毒日志,内容过滤日志,文件过滤日志,URL过滤日志,WEB防护日志,防暴力破解日志,弱密码日志,控制策略阻断日志,本地控制策略日志,单包防护日志,Flood攻击日志,黑白名单日志,EDR推广日志,IPSecVPN日志）存在时间戳为当前日志之前有效期和有效期前一天的日志备份文件。
3. 调整系统时间为凌晨2:59:59描述，等待1分钟
4. 持续查看后台文件
5. 使用接口查询和下载备份文件【check1】</t>
  </si>
  <si>
    <t>验证最大数量的日志备份功能</t>
  </si>
  <si>
    <t>1. 随机选取系统日志,操作日志,入侵防御日志,防病毒日志,内容过滤日志,文件过滤日志,URL过滤日志,WEB防护日志,防暴力破解日志,弱密码日志,控制策略阻断日志,本地控制策略日志,单包防护日志,Flood攻击日志,黑白名单日志,EDR推广日志,IPSecVPN日志中的两种日志
2. 向日志侦听接口写入步骤1中选取两种日志，两种日志都写到最大数量，其他所有日志写入少量即可。
3. 调整系统时间为凌晨2:59:59
4. 后台查看持续查看系统备份文件【check1】
5. 使用接口查看日志备份文件【check2】
6. 依次下载所有的当天日志备份文件【check3】</t>
  </si>
  <si>
    <t>1. 【check1】所有时戳为当天的日志备份文件在5分钟内生成，检查日志备份文件生成的数量和名称全部正确
2. 【check2】当天生成的日志备份文件可以查询到
3. 【check3】当天生成日志备份文件全部下载成功，文件内容正确（抽取收尾和中间任意条查看）
4. 
5. 
6.</t>
  </si>
  <si>
    <t>验证磁盘占用满时的日志备份功能</t>
  </si>
  <si>
    <t>1. 使用dd命令构造/userdata所在的分区磁盘占用率大于99%，接近100%是
2. 修改系统时间为凌晨3:29:59分
3. 间隔10s查询连续查询日志备份文件超过10次。【check1】【check2】
4. 像日志监听接口写入任意日志
5. 查询写入的日志。【check3】</t>
  </si>
  <si>
    <t>1. 【check1】日志备份文件中，最新备份的80%仍然存在不受影响
2. 【check2】系统正常运行
3. 【check3】新写入的日志正常被查询到
4. 
5.</t>
  </si>
  <si>
    <t>/管理维护/监控统计/日志中心/日志管理/日志导入导出(#22645)</t>
  </si>
  <si>
    <t>27187:【SM-500】导出日志需要具备保护措施 (优先级:普通,预计工时:0)(#27187)</t>
  </si>
  <si>
    <t>导出日志功能测试</t>
  </si>
  <si>
    <t>已安装SM版本</t>
  </si>
  <si>
    <t>1. sec用户登录后，导出日志（随机覆盖一种类型的日志），不输入密码【check1】
2. 用步骤1导出的日志进行导入【check2】
3. sec用户登录后，导出日志（随机覆盖一种类型的日志），密码输入1个字符（覆盖数字、小写字母、大写字母、特殊字符、中文、表情符号）【check3】
4. 用步骤3导出的日志进行导入【check4】
5. sec用户登录后，导出日志（随机覆盖一种类型的日志），密码输入31个字符（覆盖数字、小写字母、大写字母、特殊字符、中文、表情符号）【check3】
6. 用步骤5导出的日志进行导入【check4】
7. sec用户登录后，导出日志（随机覆盖一种类型的日志），密码输入32个字符（覆盖数字、小写字母、大写字母、特殊字符、中文、表情符号）【check5】</t>
  </si>
  <si>
    <t>1. 【check1】导出日志成功，日志格式、内容、数量正确；另导出日志的操作也会记录操作日志，且日志记录正确
2. 【check2】导入时不需要校验密码，导入成功，时间相同的日志被覆盖，时间不同的日志就追加；另导入日志的操作也会记录操作日志，且日志记录正确
3. 【check3】密码加密展示，导出日志成功，日志格式、内容、数量正确；另导出日志的操作也会记录操作日志，且日志记录正确
4. 【check4】导入时需要校验密码，密码输入错误导入失败，密码输入正确导入成功，时间相同的日志被覆盖，时间不同的日志就追加；另导入日志的操作也会记录操作日志，且日志记录正确
5. 【check5】提示密码长度不符合要求，给出支持的范围提示（0-31个字符）
6. 
7.</t>
  </si>
  <si>
    <t>赵燕子</t>
  </si>
  <si>
    <t>2024-09-27 10:17:35</t>
  </si>
  <si>
    <t>2024-07-10 18:08:18</t>
  </si>
  <si>
    <t>2024-10-22 20:51:30</t>
  </si>
  <si>
    <t>TGFW-SM-V6R01C00SPC500</t>
  </si>
  <si>
    <t>27188:【SM-500】导入日志需要具备完整性校验 (优先级:普通,预计工时:0)(#27188)</t>
  </si>
  <si>
    <t>导入日志完整性校验测试</t>
  </si>
  <si>
    <t>1. sec及其子用户登录后，导出日志（随机覆盖一种类型的日志）【check1】
2. auditor及其子用户用户登录后，导入步骤1的日志【check2】
3. auditor及其子用户登录后，导出日志（随机覆盖一种类型的日志）【check1】
4. sec及其子用户登录后，导入步骤3的日志【check2】
5. 用户导出日志后，对日志进行修改再导入【check3】
6. A设备导出的日志导入B设备【check4】</t>
  </si>
  <si>
    <t>1. 【check1】导出日志成功，日志格式、内容、数量正确；另导出日志的操作也会记录操作日志，且日志记录正确
2. 【check2】导入失败，提示存在当前用户不可见的数据；另导入失败的操作也会记录操作日志，且日志记录正确
3. 【check3】导入失败，提示内容非法；另导入失败的操作也会记录操作日志，且日志记录正确
4. 【check4】导入成功，时间相同的日志被覆盖，时间不同的日志就追加
5. 
6.</t>
  </si>
  <si>
    <t>2024-07-10 18:34:16</t>
  </si>
  <si>
    <t>27449:【SM-500】日志存储空间大小应可以由安全保密管理员sec配置 (优先级:普通,预计工时:0)(#27449)</t>
  </si>
  <si>
    <t>sec支持配置日志有效期</t>
  </si>
  <si>
    <t>1. sec或sec子用户进行登录，查看是否支持配置日志有效期【check1】
2. op或op子用户进行登录，查看是否支持配置日志有效期【check2】
3. auditor或auditor子用户进行登录，查看是否支持配置日志有效期【check2】</t>
  </si>
  <si>
    <t>1. 【check1】支持配置，默认值是？，支持的配置范围是？，配置后功能生效(存储在/userdata分区，过期后的日志会自动移除)，且修改日志有效期会记录操作日志，日志信息记录正确
2. 【check2】不支持配置
3. 【check2】不支持配置</t>
  </si>
  <si>
    <t>2024-07-11 11:03:02</t>
  </si>
  <si>
    <t>27450:【SM-500】日志数据存储空间将满时应有告警提示 (优先级:普通,预计工时:0)(#27450)</t>
  </si>
  <si>
    <t>日志数据存储空间超限会有告警提示</t>
  </si>
  <si>
    <t>1. 构造大量日志产生，观察/userdata分区占用达到79%，是否产生告警提示【check1】
2. 构造大量日志产生，观察/userdata分区占用达到80%，是否产生告警提示【check2】
3. 构造大量日志产生，观察/userdata分区占用达到90%，是否产生告警提示【check3】</t>
  </si>
  <si>
    <t>1. 【check1】不会有告警提示
2. 【check2】系统右下角弹出告警提示，提示日志数据存储空间将满，弹窗一直存在，用户可手动关闭弹窗，关闭弹窗后本次日志空间超限不会再提示
3. 【check3】系统右下角弹出告警提示，提示日志数据存储空间已满，需要用户手动处理，弹窗一直存在，用户可手动关闭弹窗，关闭弹窗后本次日志空间超限不会再提示</t>
  </si>
  <si>
    <t>2024-10-16 16:08:53</t>
  </si>
  <si>
    <t>2024-07-11 11:40:21</t>
  </si>
  <si>
    <t>验证系统日志导出功能</t>
  </si>
  <si>
    <t>1. 在选择任意的一个时间范围精确到秒
2. 向防火墙的日志侦听端口写入系统日志100条,时间任意的格式为"2024-10-17 02:00:00",级别字段为中文,IP地址包含ipv4和ipv6地址，tcpudp端口为0-65535随机数，其他没有明确要求的字段包含中文数字和特殊字符点(.)中横杠(-)和空格
3. 向防火墙的日志侦听端口写入至少1条系统日志，时间为步骤1中选取的开始时间前1s
4. 向防火墙的日志侦听端口写入至少1条系统日志，时间为步骤1中选取的结束时间后1s
5. 导出系统日志，时间范围为步骤1选择的时间范围。【check1】【check2】</t>
  </si>
  <si>
    <t>1. 【check1】下载的日志中包含步骤2中写入的所有日志，抽查首尾和中间任意一条日志的字段全部正确，日志的数量正确。
2. 【check2】步骤3和步骤4中写入的日志不在导出的日志中
3. 
4. 
5.</t>
  </si>
  <si>
    <t>验证操作日志导出功能</t>
  </si>
  <si>
    <t>1. 在选择任意的一个时间范围精确到秒
2. 向防火墙的日志侦听端口写入操作日志100条,时间任意的格式为"2024-10-17 02:00:00",级别字段为中文,IP地址包含ipv4和ipv6地址，tcpudp端口为0-65535随机数，其他没有明确要求的字段包含中文数字和特殊字符点(.)中横杠(-)和空格
3. 向防火墙的日志侦听端口写入至少1条操作日志，时间为步骤1中选取的开始时间前1s
4. 向防火墙的日志侦听端口写入至少1条操作日志，时间为步骤1中选取的结束时间后1s
5. 导出操作日志，时间范围为步骤1选择的时间范围。【check1】【check2】</t>
  </si>
  <si>
    <t>验证入侵防御日志导出功能</t>
  </si>
  <si>
    <t>1. 在选择任意的一个时间范围精确到秒
2. 向防火墙的日志侦听端口写入入侵防御日志100条,时间任意的格式为"2024-10-17 02:00:00",级别字段为中文,IP地址包含ipv4和ipv6地址，tcpudp端口为0-65535随机数，其他没有明确要求的字段包含中文数字和特殊字符点(.)中横杠(-)和空格
3. 向防火墙的日志侦听端口写入至少1条入侵防御日志，时间为步骤1中选取的开始时间前1s
4. 向防火墙的日志侦听端口写入至少1条入侵防御日志，时间为步骤1中选取的结束时间后1s
5. 导出入侵防御日志，时间范围为步骤1选择的时间范围。【check1】【check2】</t>
  </si>
  <si>
    <t>验证防病毒日志导出功能</t>
  </si>
  <si>
    <t>1. 在选择任意的一个时间范围精确到秒
2. 向防火墙的日志侦听端口写入防病毒日志100条,时间任意的格式为"2024-10-17 02:00:00",级别字段为中文,IP地址包含ipv4和ipv6地址，tcpudp端口为0-65535随机数，其他没有明确要求的字段包含中文数字和特殊字符点(.)中横杠(-)和空格
3. 向防火墙的日志侦听端口写入至少1条防病毒日志，时间为步骤1中选取的开始时间前1s
4. 向防火墙的日志侦听端口写入至少1条防病毒日志，时间为步骤1中选取的结束时间后1s
5. 导出防病毒日志，时间范围为步骤1选择的时间范围。【check1】【check2】</t>
  </si>
  <si>
    <t>验证内容过滤日志导出功能</t>
  </si>
  <si>
    <t>1. 在选择任意的一个时间范围精确到秒
2. 向防火墙的日志侦听端口写入内容过滤日志100条,时间任意的格式为"2024-10-17 02:00:00",级别字段为中文,IP地址包含ipv4和ipv6地址，tcpudp端口为0-65535随机数，其他没有明确要求的字段包含中文数字和特殊字符点(.)中横杠(-)和空格
3. 向防火墙的日志侦听端口写入至少1条内容过滤日志，时间为步骤1中选取的开始时间前1s
4. 向防火墙的日志侦听端口写入至少1条内容过滤日志，时间为步骤1中选取的结束时间后1s
5. 导出内容过滤日志，时间范围为步骤1选择的时间范围。【check1】【check2】</t>
  </si>
  <si>
    <t>验证文件过滤日志导出功能</t>
  </si>
  <si>
    <t>1. 在选择任意的一个时间范围精确到秒
2. 向防火墙的日志侦听端口写入文件过滤日志100条,时间任意的格式为"2024-10-17 02:00:00",级别字段为中文,IP地址包含ipv4和ipv6地址，tcpudp端口为0-65535随机数，其他没有明确要求的字段包含中文数字和特殊字符点(.)中横杠(-)和空格
3. 向防火墙的日志侦听端口写入至少1条文件过滤日志，时间为步骤1中选取的开始时间前1s
4. 向防火墙的日志侦听端口写入至少1条文件过滤日志，时间为步骤1中选取的结束时间后1s
5. 导出文件过滤日志，时间范围为步骤1选择的时间范围。【check1】【check2】</t>
  </si>
  <si>
    <t>验证URL过滤日志导出功能</t>
  </si>
  <si>
    <t>1. 在选择任意的一个时间范围精确到秒
2. 向防火墙的日志侦听端口写入URL过滤日志100条,时间任意的格式为"2024-10-17 02:00:00",级别字段为中文,IP地址包含ipv4和ipv6地址，tcpudp端口为0-65535随机数，其他没有明确要求的字段包含中文数字和特殊字符点(.)中横杠(-)和空格
3. 向防火墙的日志侦听端口写入至少1条URL过滤日志，时间为步骤1中选取的开始时间前1s
4. 向防火墙的日志侦听端口写入至少1条URL过滤日志，时间为步骤1中选取的结束时间后1s
5. 导出URL过滤日志，时间范围为步骤1选择的时间范围。【check1】【check2】</t>
  </si>
  <si>
    <t>验证WEB防护日志导出功能</t>
  </si>
  <si>
    <t>1. 在选择任意的一个时间范围精确到秒
2. 向防火墙的日志侦听端口写入WEB防护日志100条,时间任意的格式为"2024-10-17 02:00:00",级别字段为中文,IP地址包含ipv4和ipv6地址，tcpudp端口为0-65535随机数，其他没有明确要求的字段包含中文数字和特殊字符点(.)中横杠(-)和空格
3. 向防火墙的日志侦听端口写入至少1条WEB防护日志，时间为步骤1中选取的开始时间前1s
4. 向防火墙的日志侦听端口写入至少1条WEB防护日志，时间为步骤1中选取的结束时间后1s
5. 导出WEB防护日志，时间范围为步骤1选择的时间范围。【check1】【check2】</t>
  </si>
  <si>
    <t>验证防暴力破解日志导出功能</t>
  </si>
  <si>
    <t>1. 在选择任意的一个时间范围精确到秒
2. 向防火墙的日志侦听端口写入防暴力破解日志100条,时间任意的格式为"2024-10-17 02:00:00",级别字段为中文,IP地址包含ipv4和ipv6地址，tcpudp端口为0-65535随机数，其他没有明确要求的字段包含中文数字和特殊字符点(.)中横杠(-)和空格
3. 向防火墙的日志侦听端口写入至少1条防暴力破解日志，时间为步骤1中选取的开始时间前1s
4. 向防火墙的日志侦听端口写入至少1条防暴力破解日志，时间为步骤1中选取的结束时间后1s
5. 导出防暴力破解日志，时间范围为步骤1选择的时间范围。【check1】【check2】</t>
  </si>
  <si>
    <t>验证弱密码日志导出功能</t>
  </si>
  <si>
    <t>1. 在选择任意的一个时间范围精确到秒
2. 向防火墙的日志侦听端口写入弱密码日志100条,时间任意的格式为"2024-10-17 02:00:00",级别字段为中文,IP地址包含ipv4和ipv6地址，tcpudp端口为0-65535随机数，其他没有明确要求的字段包含中文数字和特殊字符点(.)中横杠(-)和空格
3. 向防火墙的日志侦听端口写入至少1条弱密码日志，时间为步骤1中选取的开始时间前1s
4. 向防火墙的日志侦听端口写入至少1条弱密码日志，时间为步骤1中选取的结束时间后1s
5. 导出弱密码日志，时间范围为步骤1选择的时间范围。【check1】【check2】</t>
  </si>
  <si>
    <t>验证控制策略阻断日志导出功能</t>
  </si>
  <si>
    <t>1. 在选择任意的一个时间范围精确到秒
2. 向防火墙的日志侦听端口写入控制策略阻断日志100条,时间任意的格式为"2024-10-17 02:00:00",级别字段为中文,IP地址包含ipv4和ipv6地址，tcpudp端口为0-65535随机数，其他没有明确要求的字段包含中文数字和特殊字符点(.)中横杠(-)和空格
3. 向防火墙的日志侦听端口写入至少1条控制策略阻断日志，时间为步骤1中选取的开始时间前1s
4. 向防火墙的日志侦听端口写入至少1条控制策略阻断日志，时间为步骤1中选取的结束时间后1s
5. 导出控制策略阻断日志，时间范围为步骤1选择的时间范围。【check1】【check2】</t>
  </si>
  <si>
    <t>验证本地控制策略日志导出功能</t>
  </si>
  <si>
    <t>1. 在选择任意的一个时间范围精确到秒
2. 向防火墙的日志侦听端口写入本地控制策略日志100条,时间任意的格式为"2024-10-17 02:00:00",级别字段为中文,IP地址包含ipv4和ipv6地址，tcpudp端口为0-65535随机数，其他没有明确要求的字段包含中文数字和特殊字符点(.)中横杠(-)和空格
3. 向防火墙的日志侦听端口写入至少1条本地控制策略日志，时间为步骤1中选取的开始时间前1s
4. 向防火墙的日志侦听端口写入至少1条本地控制策略日志，时间为步骤1中选取的结束时间后1s
5. 导出本地控制策略日志，时间范围为步骤1选择的时间范围。【check1】【check2】</t>
  </si>
  <si>
    <t>验证单包防护日志导出功能</t>
  </si>
  <si>
    <t>1. 在选择任意的一个时间范围精确到秒
2. 向防火墙的日志侦听端口写入单包防护日志100条,时间任意的格式为"2024-10-17 02:00:00",级别字段为中文,IP地址包含ipv4和ipv6地址，tcpudp端口为0-65535随机数，其他没有明确要求的字段包含中文数字和特殊字符点(.)中横杠(-)和空格
3. 向防火墙的日志侦听端口写入至少1条单包防护日志，时间为步骤1中选取的开始时间前1s
4. 向防火墙的日志侦听端口写入至少1条单包防护日志，时间为步骤1中选取的结束时间后1s
5. 导出单包防护日志，时间范围为步骤1选择的时间范围。【check1】【check2】</t>
  </si>
  <si>
    <t>验证Flood攻击日志导出功能</t>
  </si>
  <si>
    <t>1. 在选择任意的一个时间范围精确到秒
2. 向防火墙的日志侦听端口写入Flood攻击日志100条,时间任意的格式为"2024-10-17 02:00:00",级别字段为中文,IP地址包含ipv4和ipv6地址，tcpudp端口为0-65535随机数，其他没有明确要求的字段包含中文数字和特殊字符点(.)中横杠(-)和空格
3. 向防火墙的日志侦听端口写入至少1条Flood攻击日志，时间为步骤1中选取的开始时间前1s
4. 向防火墙的日志侦听端口写入至少1条Flood攻击日志，时间为步骤1中选取的结束时间后1s
5. 导出Flood攻击日志，时间范围为步骤1选择的时间范围。【check1】【check2】</t>
  </si>
  <si>
    <t>验证黑白名单日志导出功能</t>
  </si>
  <si>
    <t>1. 在选择任意的一个时间范围精确到秒
2. 向防火墙的日志侦听端口写入黑白名单日志100条,时间任意的格式为"2024-10-17 02:00:00",级别字段为中文,IP地址包含ipv4和ipv6地址，tcpudp端口为0-65535随机数，其他没有明确要求的字段包含中文数字和特殊字符点(.)中横杠(-)和空格
3. 向防火墙的日志侦听端口写入至少1条黑白名单日志，时间为步骤1中选取的开始时间前1s
4. 向防火墙的日志侦听端口写入至少1条黑白名单日志，时间为步骤1中选取的结束时间后1s
5. 导出黑白名单日志，时间范围为步骤1选择的时间范围。【check1】【check2】</t>
  </si>
  <si>
    <t>验证EDR推广日志导出功能</t>
  </si>
  <si>
    <t>1. 在选择任意的一个时间范围精确到秒
2. 向防火墙的日志侦听端口写入EDR推广日志100条,时间任意的格式为"2024-10-17 02:00:00",级别字段为中文,IP地址包含ipv4和ipv6地址，tcpudp端口为0-65535随机数，其他没有明确要求的字段包含中文数字和特殊字符点(.)中横杠(-)和空格
3. 向防火墙的日志侦听端口写入至少1条EDR推广日志，时间为步骤1中选取的开始时间前1s
4. 向防火墙的日志侦听端口写入至少1条EDR推广日志，时间为步骤1中选取的结束时间后1s
5. 导出EDR推广日志，时间范围为步骤1选择的时间范围。【check1】【check2】</t>
  </si>
  <si>
    <t>验证IPSecVPN日志导出功能</t>
  </si>
  <si>
    <t>1. 在选择任意的一个时间范围精确到秒
2. 向防火墙的日志侦听端口写入IPSecVPN日志100条,时间任意的格式为"2024-10-17 02:00:00",级别字段为中文,IP地址包含ipv4和ipv6地址，tcpudp端口为0-65535随机数，其他没有明确要求的字段包含中文数字和特殊字符点(.)中横杠(-)和空格
3. 向防火墙的日志侦听端口写入至少1条IPSecVPN日志，时间为步骤1中选取的开始时间前1s
4. 向防火墙的日志侦听端口写入至少1条IPSecVPN日志，时间为步骤1中选取的结束时间后1s
5. 导出IPSecVPN日志，时间范围为步骤1选择的时间范围。【check1】【check2】</t>
  </si>
  <si>
    <t>验证最大数量的日志导出功能</t>
  </si>
  <si>
    <t>1. 随机选取系统日志,操作日志,入侵防御日志,防病毒日志,内容过滤日志,文件过滤日志,URL过滤日志,WEB防护日志,防暴力破解日志,弱密码日志,控制策略阻断日志,本地控制策略日志,单包防护日志,Flood攻击日志,黑白名单日志,EDR推广日志,IPSecVPN日志中的一种日志
2. 向日志侦听接口写入步骤1中选取的最大数量的日志，时间范围超出1个月。
3. 导出日志，自定义时间时间范围包含所有步骤2中写入的日志。【check1】
4. 检查导出的日志文件数量和内容。【check2】</t>
  </si>
  <si>
    <t>1. 【check1】日志导出成功
2. 【check2】导出日志的数量为正确，导出日志内容正确（检查收尾日志和中间任意一条日志）
3. 
4.</t>
  </si>
  <si>
    <t>验证操作日志导出时间范围为近1小时计算正确</t>
  </si>
  <si>
    <t>1. 向防火墙日志侦听端口写入至少3条操作日志，日志的时间在近1小时内
2. 向防火墙日志侦听端口写入至少3条操作日志，日志的时间早于近1小时开始时间，至少3条晚于近1小时结束时间（可以晚于当前防火墙的系统时间）。
3. 使用接口导出操作日志，过滤时间范围为近1小时内。【check1】【check2】
4. 使用接口导出操作日志，过滤时间范围为all。【check1】</t>
  </si>
  <si>
    <t>1. 【check1】日志导出成功
2. 【check2】仅导出近1小时的日志，导出日志的数量为正确，导出日志内容正确（检查收尾日志和中间任意一条日志）
3. 【check3】会导出所有写入的日志，导出日志的数量为正确，导出日志内容正确（检查收尾日志和中间任意一条日志）
4.</t>
  </si>
  <si>
    <t>验证安全日志导出时间范围为近24小时计算正确</t>
  </si>
  <si>
    <t>1. 向防火墙日志侦听端口写入至少3条安全日志，日志的时间在近24小时内
2. 向防火墙日志侦听端口写入至少3条安全日志，日志的时间早于近24小时开始时间，至少3条晚于近24小时结束时间（可以晚于当前防火墙的系统时间）。
3. 使用接口导出安全日志，过滤时间范围为近24小时内。【check1】【check2】
4. 使用接口导出安全日志，过滤时间范围为all。【check1】</t>
  </si>
  <si>
    <t>1. 【check1】日志导出成功
2. 【check2】仅导出近24小时的日志，导出日志的数量为正确，导出日志内容正确（检查收尾日志和中间任意一条日志）
3. 【check3】会导出所有写入的日志，导出日志的数量为正确，导出日志内容正确（检查收尾日志和中间任意一条日志）
4.</t>
  </si>
  <si>
    <t>验证Flood攻击日志导出时间范围为近一周计算正确</t>
  </si>
  <si>
    <t>1. 向防火墙日志侦听端口写入至少3条Flood攻击日志，日志的时间在近一周内
2. 向防火墙日志侦听端口写入至少3条Flood攻击日志，日志的时间早于近一周开始时间，至少3条晚于近一周结束时间（可以晚于当前防火墙的系统时间）。
3. 使用接口导出Flood攻击日志，过滤时间范围为近一周内。【check1】【check2】
4. 使用接口导出Flood攻击日志，过滤时间范围为all。【check1】</t>
  </si>
  <si>
    <t>1. 【check1】日志导出成功
2. 【check2】仅导出近一周的日志，导出日志的数量为正确，导出日志内容正确（检查收尾日志和中间任意一条日志）
3. 【check3】会导出所有写入的日志，导出日志的数量为正确，导出日志内容正确（检查收尾日志和中间任意一条日志）
4.</t>
  </si>
  <si>
    <t>验证EDR推广日志导出时间范围为近一月计算正确</t>
  </si>
  <si>
    <t>1. 向防火墙日志侦听端口写入至少3条EDR推广日志，日志的时间在近一月内
2. 向防火墙日志侦听端口写入至少3条EDR推广日志，日志的时间早于近一月开始时间，至少3条晚于近一月结束时间（可以晚于当前防火墙的系统时间）。
3. 使用接口导出EDR推广日志，过滤时间范围为近一月内。【check1】【check2】
4. 使用接口导出EDR推广日志，过滤时间范围为all。【check1】</t>
  </si>
  <si>
    <t>1. 【check1】日志导出成功
2. 【check2】仅导出近一月的日志，导出日志的数量为正确，导出日志内容正确（检查收尾日志和中间任意一条日志）
3. 【check3】会导出所有写入的日志，导出日志的数量为正确，导出日志内容正确（检查收尾日志和中间任意一条日志）
4.</t>
  </si>
  <si>
    <t>验证本地策略日志导出时间范围为自定义计算正确</t>
  </si>
  <si>
    <t>1. 向防火墙日志侦听端口写入至少3条本地策略日志，日志的时间在自定义内
2. 向防火墙日志侦听端口写入至少3条本地策略日志，日志的时间早于自定义开始时间，至少3条晚于自定义结束时间（可以晚于当前防火墙的系统时间）。
3. 使用接口导出本地策略日志，过滤时间范围为自定义内。【check1】【check2】
4. 使用接口导出本地策略日志，过滤时间范围为all。【check1】</t>
  </si>
  <si>
    <t>1. 【check1】日志导出成功
2. 【check2】仅导出自定义的日志，导出日志的数量为正确，导出日志内容正确（检查收尾日志和中间任意一条日志）
3. 【check3】会导出所有写入的日志，导出日志的数量为正确，导出日志内容正确（检查收尾日志和中间任意一条日志）
4.</t>
  </si>
  <si>
    <t>验证修改系统时间的日志导出功能</t>
  </si>
  <si>
    <t>1. 在近1小时、近24小时、近一周、近一月中选取任意一个有效周期记为t。在系统日志,操作日志,入侵防御日志,防病毒日志,内容过滤日志,文件过滤日志,URL过滤日志,WEB防护日志,防暴力破解日志,弱密码日志,控制策略阻断日志,本地控制策略日志,单包防护日志,Flood攻击日志,黑白名单日志,EDR推广日志,IPSecVPN日志中选取任意一种日志类型
2. 向防火墙的日志侦听端口写入选取的日志类型的日志，在选取的有效期内有n1条日志，有效期前一个周期有n2，有效期后一周期（日志时间晚于防火墙系统时间）有n3条，n1、n2和n3数量都不相同。
3. 导出选取的日志类型，时间范围为选取的有效期【check1】【check2】
4. 防火墙系统时间向前调整一个有效期，导出选取的日志类型，时间范围为选取的有效期【check1】【check3】
5. 防火墙系统时间向后调整两个有效期，导出选取的日志类型，时间范围为选取的有效期【check1】【check4】</t>
  </si>
  <si>
    <t>1. 【check1】日志导出成功
2. 【check2】导出日志的数量为n1，导出日志内容正确（检查收尾日志和中间任意一条日志）
3. 【check3】导出日志的数量为n2，导出日志内容正确（检查收尾日志和中间任意一条日志）
4. 【check4】导出日志的数量为n3，导出日志内容正确（检查收尾日志和中间任意一条日志）
5.</t>
  </si>
  <si>
    <t>管理维护</t>
    <phoneticPr fontId="16" type="noConversion"/>
  </si>
  <si>
    <t>监控统计</t>
    <phoneticPr fontId="16" type="noConversion"/>
  </si>
  <si>
    <t>日志中心</t>
    <phoneticPr fontId="16" type="noConversion"/>
  </si>
  <si>
    <t>日志管理</t>
    <phoneticPr fontId="16" type="noConversion"/>
  </si>
  <si>
    <t>防火墙日志</t>
    <phoneticPr fontId="16" type="noConversion"/>
  </si>
  <si>
    <t>验证系统日志的写入和查询功能</t>
    <phoneticPr fontId="16" type="noConversion"/>
  </si>
  <si>
    <t>log.logmng.put.get.ptc1</t>
    <phoneticPr fontId="16" type="noConversion"/>
  </si>
  <si>
    <t>P2</t>
    <phoneticPr fontId="16" type="noConversion"/>
  </si>
  <si>
    <t>网元正常启动</t>
    <phoneticPr fontId="16" type="noConversion"/>
  </si>
  <si>
    <t>1、向防火墙的日志侦听端口写入系统日志，日志中的所有字段均不相同，写入方法参考wiki中的总结文档。
2、在日志中心查询系统日志
3、对比查询到日志的时间与步骤1中写入日志内容【check1】
4、对比查询到日志的日志级别与步骤1中写入日志内容【check1】
5、对比查询到日志的日志描述与步骤1中写入日志内容【check1】</t>
    <phoneticPr fontId="16" type="noConversion"/>
  </si>
  <si>
    <t>1、【check1】查询到的数据与写入的数据完全相同</t>
    <phoneticPr fontId="16" type="noConversion"/>
  </si>
  <si>
    <t>TGFW-V6R01C01</t>
    <phoneticPr fontId="16" type="noConversion"/>
  </si>
  <si>
    <t>功能测试</t>
    <phoneticPr fontId="16" type="noConversion"/>
  </si>
  <si>
    <t>待实现</t>
    <phoneticPr fontId="16" type="noConversion"/>
  </si>
  <si>
    <t>验证操作日志的写入和查询功能</t>
    <phoneticPr fontId="16" type="noConversion"/>
  </si>
  <si>
    <t>log.logmng.put.get.ptc2</t>
    <phoneticPr fontId="16" type="noConversion"/>
  </si>
  <si>
    <t>1、向防火墙的日志侦听端口写入操作日志，日志中的所有字段均不相同，写入方法参考wiki中的总结文档。
2、在日志中心查询操作日志
3、对比查询到日志的时间与步骤1中写入日志内容【check1】
4、对比查询到日志的日志级别与步骤1中写入日志内容【check1】
5、对比查询到日志的管理员与步骤1中写入日志内容【check1】
6、对比查询到日志的管理员IP与步骤1中写入日志内容【check1】
7、对比查询到日志的日志描述与步骤1中写入日志内容【check1】</t>
    <phoneticPr fontId="16" type="noConversion"/>
  </si>
  <si>
    <t>验证入侵防御日志的写入和查询功能</t>
    <phoneticPr fontId="16" type="noConversion"/>
  </si>
  <si>
    <t>log.logmng.put.get.ptc3</t>
    <phoneticPr fontId="16" type="noConversion"/>
  </si>
  <si>
    <t>1、向防火墙的日志侦听端口写入入侵防御日志，日志中的所有字段均不相同，写入方法参考wiki中的总结文档。
2、在日志中心查询入侵防御日志
3、对比查询到日志的时间与步骤1中写入日志内容【check1】
4、对比查询到日志的日志级别与步骤1中写入日志内容【check1】
5、对比查询到日志的源地址与步骤1中写入日志内容【check1】
6、对比查询到日志的源端口与步骤1中写入日志内容【check1】
7、对比查询到日志的目的地址与步骤1中写入日志内容【check1】
8、对比查询到日志的目的端口与步骤1中写入日志内容【check1】
9、对比查询到日志的协议与步骤1中写入日志内容【check1】
10、对比查询到日志的策略ID与步骤1中写入日志内容【check1】
11、对比查询到日志的规则名称与步骤1中写入日志内容【check1】
12、对比查询到日志的命中配置与步骤1中写入日志内容【check1】
13、对比查询到日志的动作与步骤1中写入日志内容【check1】</t>
    <phoneticPr fontId="16" type="noConversion"/>
  </si>
  <si>
    <t>验证防病毒日志的写入和查询功能</t>
    <phoneticPr fontId="16" type="noConversion"/>
  </si>
  <si>
    <t>log.logmng.put.get.ptc4</t>
    <phoneticPr fontId="16" type="noConversion"/>
  </si>
  <si>
    <t>1、向防火墙的日志侦听端口写入防病毒日志，日志中的所有字段均不相同，写入方法参考wiki中的总结文档。
2、在日志中心查询防病毒日志
3、对比查询到日志的时间与步骤1中写入日志内容【check1】
4、对比查询到日志的日志级别与步骤1中写入日志内容【check1】
5、对比查询到日志的源地址与步骤1中写入日志内容【check1】
6、对比查询到日志的源端口与步骤1中写入日志内容【check1】
7、对比查询到日志的目的地址与步骤1中写入日志内容【check1】
8、对比查询到日志的目的端口与步骤1中写入日志内容【check1】
9、对比查询到日志的协议与步骤1中写入日志内容【check1】
10、对比查询到日志的策略ID与步骤1中写入日志内容【check1】
11、对比查询到日志的应用类型与步骤1中写入日志内容【check1】
12、对比查询到日志的文件名与步骤1中写入日志内容【check1】
13、对比查询到日志的病毒类型与步骤1中写入日志内容【check1】
14、对比查询到日志的动作与步骤1中写入日志内容【check1】</t>
    <phoneticPr fontId="16" type="noConversion"/>
  </si>
  <si>
    <t>验证内容过滤日志的写入和查询功能</t>
    <phoneticPr fontId="16" type="noConversion"/>
  </si>
  <si>
    <t>log.logmng.put.get.ptc5</t>
    <phoneticPr fontId="16" type="noConversion"/>
  </si>
  <si>
    <t>1、向防火墙的日志侦听端口写入内容过滤日志，日志中的所有字段均不相同，写入方法参考wiki中的总结文档。
2、在日志中心查询内容过滤日志
3、对比查询到日志的时间与步骤1中写入日志内容【check1】
4、对比查询到日志的日志级别与步骤1中写入日志内容【check1】
5、对比查询到日志的源地址与步骤1中写入日志内容【check1】
6、对比查询到日志的源端口与步骤1中写入日志内容【check1】
7、对比查询到日志的目的地址与步骤1中写入日志内容【check1】
8、对比查询到日志的目的端口与步骤1中写入日志内容【check1】
9、对比查询到日志的协议与步骤1中写入日志内容【check1】
10、对比查询到日志的策略ID与步骤1中写入日志内容【check1】
11、对比查询到日志的动作与步骤1中写入日志内容【check1】</t>
    <phoneticPr fontId="16" type="noConversion"/>
  </si>
  <si>
    <t>验证文件过滤日志的写入和查询功能</t>
    <phoneticPr fontId="16" type="noConversion"/>
  </si>
  <si>
    <t>log.logmng.put.get.ptc6</t>
    <phoneticPr fontId="16" type="noConversion"/>
  </si>
  <si>
    <t>1、向防火墙的日志侦听端口写入文件过滤日志，日志中的所有字段均不相同，写入方法参考wiki中的总结文档。
2、在日志中心查询文件过滤日志
3、对比查询到日志的时间与步骤1中写入日志内容【check1】
4、对比查询到日志的日志级别与步骤1中写入日志内容【check1】
5、对比查询到日志的源地址与步骤1中写入日志内容【check1】
6、对比查询到日志的源端口与步骤1中写入日志内容【check1】
7、对比查询到日志的目的地址与步骤1中写入日志内容【check1】
8、对比查询到日志的目的端口与步骤1中写入日志内容【check1】
9、对比查询到日志的策略ID与步骤1中写入日志内容【check1】
10、对比查询到日志的应用类型与步骤1中写入日志内容【check1】
11、对比查询到日志的文件名与步骤1中写入日志内容【check1】
12、对比查询到日志的动作与步骤1中写入日志内容【check1】</t>
    <phoneticPr fontId="16" type="noConversion"/>
  </si>
  <si>
    <t>验证URL过滤日志的写入和查询功能</t>
    <phoneticPr fontId="16" type="noConversion"/>
  </si>
  <si>
    <t>log.logmng.put.get.ptc7</t>
    <phoneticPr fontId="16" type="noConversion"/>
  </si>
  <si>
    <t>1、向防火墙的日志侦听端口写入URL过滤日志，日志中的所有字段均不相同，写入方法参考wiki中的总结文档。
2、在日志中心查询URL过滤日志
3、对比查询到日志的时间与步骤1中写入日志内容【check1】
4、对比查询到日志的日志级别与步骤1中写入日志内容【check1】
5、对比查询到日志的源地址与步骤1中写入日志内容【check1】
6、对比查询到日志的源端口与步骤1中写入日志内容【check1】
7、对比查询到日志的目的地址与步骤1中写入日志内容【check1】
8、对比查询到日志的目的端口与步骤1中写入日志内容【check1】
9、对比查询到日志的协议与步骤1中写入日志内容【check1】
10、对比查询到日志的策略ID与步骤1中写入日志内容【check1】
11、对比查询到日志的动作与步骤1中写入日志内容【check1】
12、对比查询到日志的过滤类型与步骤1中写入日志内容【check1】</t>
    <phoneticPr fontId="16" type="noConversion"/>
  </si>
  <si>
    <t>验证WEB防护日志的写入和查询功能</t>
    <phoneticPr fontId="16" type="noConversion"/>
  </si>
  <si>
    <t>log.logmng.put.get.ptc8</t>
    <phoneticPr fontId="16" type="noConversion"/>
  </si>
  <si>
    <t>1、向防火墙的日志侦听端口写入WEB防护日志，日志中的所有字段均不相同，写入方法参考wiki中的总结文档。
2、在日志中心查询WEB防护日志
3、对比查询到日志的时间与步骤1中写入日志内容【check1】
4、对比查询到日志的日志级别与步骤1中写入日志内容【check1】
5、对比查询到日志的源地址与步骤1中写入日志内容【check1】
6、对比查询到日志的源端口与步骤1中写入日志内容【check1】
7、对比查询到日志的目的地址与步骤1中写入日志内容【check1】
8、对比查询到日志的目的端口与步骤1中写入日志内容【check1】
9、对比查询到日志的协议与步骤1中写入日志内容【check1】
10、对比查询到日志的防护类型与步骤1中写入日志内容【check1】
11、对比查询到日志的攻击次数与步骤1中写入日志内容【check1】
12、对比查询到日志的动作与步骤1中写入日志内容【check1】</t>
    <phoneticPr fontId="16" type="noConversion"/>
  </si>
  <si>
    <t>log.logmng.put.get.ptc9</t>
  </si>
  <si>
    <t>1、向防火墙的日志侦听端口写入防暴力破解日志，日志中的所有字段均不相同，写入方法参考wiki中的总结文档。
2、在日志中心查询防暴力破解日志
3、对比查询到日志的时间与步骤1中写入日志内容【check1】
4、对比查询到日志的日志级别与步骤1中写入日志内容【check1】
5、对比查询到日志的源地址与步骤1中写入日志内容【check1】
6、对比查询到日志的源端口与步骤1中写入日志内容【check1】
7、对比查询到日志的目的地址与步骤1中写入日志内容【check1】
8、对比查询到日志的目的端口与步骤1中写入日志内容【check1】
9、对比查询到日志的协议与步骤1中写入日志内容【check1】
10、对比查询到日志的动作与步骤1中写入日志内容【check1】</t>
  </si>
  <si>
    <t>log.logmng.put.get.ptc10</t>
  </si>
  <si>
    <t>1、向防火墙的日志侦听端口写入弱密码日志，日志中的所有字段均不相同，写入方法参考wiki中的总结文档。
2、在日志中心查询弱密码日志
3、对比查询到日志的时间与步骤1中写入日志内容【check1】
4、对比查询到日志的日志级别与步骤1中写入日志内容【check1】
5、对比查询到日志的源地址与步骤1中写入日志内容【check1】
6、对比查询到日志的源端口与步骤1中写入日志内容【check1】
7、对比查询到日志的目的地址与步骤1中写入日志内容【check1】
8、对比查询到日志的目的端口与步骤1中写入日志内容【check1】
9、对比查询到日志的协议与步骤1中写入日志内容【check1】
10、对比查询到日志的策略ID与步骤1中写入日志内容【check1】
11、对比查询到日志的配置名称与步骤1中写入日志内容【check1】
12、对比查询到日志的动作与步骤1中写入日志内容【check1】</t>
  </si>
  <si>
    <t>log.logmng.put.get.ptc11</t>
  </si>
  <si>
    <t>1、向防火墙的日志侦听端口写入控制策略阻断日志，日志中的所有字段均不相同，写入方法参考wiki中的总结文档。
2、在日志中心查询控制策略阻断日志
3、对比查询到日志的时间与步骤1中写入日志内容【check1】
4、对比查询到日志的日志级别与步骤1中写入日志内容【check1】
5、对比查询到日志的源地址与步骤1中写入日志内容【check1】
6、对比查询到日志的源端口与步骤1中写入日志内容【check1】
7、对比查询到日志的目的地址与步骤1中写入日志内容【check1】
8、对比查询到日志的目的端口与步骤1中写入日志内容【check1】
9、对比查询到日志的源安全域与步骤1中写入日志内容【check1】
10、对比查询到日志的目的安全域与步骤1中写入日志内容【check1】
11、对比查询到日志的源地区与步骤1中写入日志内容【check1】
12、对比查询到日志的目的与步骤1中写入日志内容【check1】
13、对比查询到日志的应用与步骤1中写入日志内容【check1】
14、对比查询到日志的协议号与步骤1中写入日志内容【check1】
15、对比查询到日志的策略名称与步骤1中写入日志内容【check1】
16、对比查询到日志的动作与步骤1中写入日志内容【check1】</t>
  </si>
  <si>
    <t>log.logmng.put.get.ptc12</t>
  </si>
  <si>
    <t>1、向防火墙的日志侦听端口写入本地控制策略日志，日志中的所有字段均不相同，写入方法参考wiki中的总结文档。
2、在日志中心查询本地控制策略日志
3、对比查询到日志的时间与步骤1中写入日志内容【check1】
4、对比查询到日志的日志级别与步骤1中写入日志内容【check1】
5、对比查询到日志的源地址与步骤1中写入日志内容【check1】
6、对比查询到日志的源端口与步骤1中写入日志内容【check1】
7、对比查询到日志的目的地址与步骤1中写入日志内容【check1】
8、对比查询到日志的目的端口与步骤1中写入日志内容【check1】
9、对比查询到日志的源安全域与步骤1中写入日志内容【check1】
10、对比查询到日志的目的安全域与步骤1中写入日志内容【check1】
11、对比查询到日志的源地区与步骤1中写入日志内容【check1】
12、对比查询到日志的目的与步骤1中写入日志内容【check1】
13、对比查询到日志的应用与步骤1中写入日志内容【check1】
14、对比查询到日志的协议号与步骤1中写入日志内容【check1】
15、对比查询到日志的策略名称与步骤1中写入日志内容【check1】
16、对比查询到日志的动作与步骤1中写入日志内容【check1】</t>
  </si>
  <si>
    <t>log.logmng.put.get.ptc13</t>
  </si>
  <si>
    <t>1、向防火墙的日志侦听端口写入单包防护日志，日志中的所有字段均不相同，写入方法参考wiki中的总结文档。
2、在日志中心查询单包防护日志
3、对比查询到日志的时间与步骤1中写入日志内容【check1】
4、对比查询到日志的攻击类型与步骤1中写入日志内容【check1】
5、对比查询到日志的源IP与步骤1中写入日志内容【check1】
6、对比查询到日志的目的IP与步骤1中写入日志内容【check1】
7、对比查询到日志的日志级别与步骤1中写入日志内容【check1】</t>
  </si>
  <si>
    <t>log.logmng.put.get.ptc14</t>
  </si>
  <si>
    <t>1、向防火墙的日志侦听端口写入Flood攻击日志，日志中的所有字段均不相同，写入方法参考wiki中的总结文档。
2、在日志中心查询Flood攻击日志
3、对比查询到日志的时间与步骤1中写入日志内容【check1】
4、对比查询到日志的攻击类型与步骤1中写入日志内容【check1】
5、对比查询到日志的源IP与步骤1中写入日志内容【check1】
6、对比查询到日志的目的IP与步骤1中写入日志内容【check1】
7、对比查询到日志的源端口与步骤1中写入日志内容【check1】
8、对比查询到日志的目的端口与步骤1中写入日志内容【check1】
9、对比查询到日志的Ddos防护策略与步骤1中写入日志内容【check1】
10、对比查询到日志的协议号与步骤1中写入日志内容【check1】
11、对比查询到日志的防护算法与步骤1中写入日志内容【check1】</t>
  </si>
  <si>
    <t>log.logmng.put.get.ptc15</t>
  </si>
  <si>
    <t>1、向防火墙的日志侦听端口写入黑白名单日志，日志中的所有字段均不相同，写入方法参考wiki中的总结文档。
2、在日志中心查询黑白名单日志
3、对比查询到日志的时间与步骤1中写入日志内容【check1】
4、对比查询到日志的日志类型与步骤1中写入日志内容【check1】</t>
  </si>
  <si>
    <t>log.logmng.put.get.ptc16</t>
  </si>
  <si>
    <t>1、向防火墙的日志侦听端口写入EDR推广日志，日志中的所有字段均不相同，写入方法参考wiki中的总结文档。
2、在日志中心查询EDR推广日志
3、对比查询到日志的时间与步骤1中写入日志内容【check1】
4、对比查询到日志的源IP与步骤1中写入日志内容【check1】
5、对比查询到日志的目的IP与步骤1中写入日志内容【check1】
6、对比查询到日志的源端口与步骤1中写入日志内容【check1】
7、对比查询到日志的目的端口与步骤1中写入日志内容【check1】
8、对比查询到日志的协议号与步骤1中写入日志内容【check1】
9、对比查询到日志的策略ID与步骤1中写入日志内容【check1】</t>
  </si>
  <si>
    <t>log.logmng.put.get.ptc17</t>
  </si>
  <si>
    <t>1、向防火墙的日志侦听端口写入IPSecVPN日志，日志中的所有字段均不相同，写入方法参考wiki中的总结文档。
2、在日志中心查询IPSecVPN日志
3、对比查询到日志的时间与步骤1中写入日志内容【check1】
4、对比查询到日志的攻击类型与步骤1中写入日志内容【check1】
5、对比查询到日志的名称与步骤1中写入日志内容【check1】
6、对比查询到日志的本地网关与步骤1中写入日志内容【check1】
7、对比查询到日志的本地端口与步骤1中写入日志内容【check1】
8、对比查询到日志的对端网关与步骤1中写入日志内容【check1】
9、对比查询到日志的对端端口与步骤1中写入日志内容【check1】
10、对比查询到日志的源网络与步骤1中写入日志内容【check1】
11、对比查询到日志的目的网络与步骤1中写入日志内容【check1】</t>
  </si>
  <si>
    <t>log.logmng.fliter.exact.ptc1</t>
  </si>
  <si>
    <t>1、向防火墙的日志侦听端口写入一条系统日志，该日志的时间为任意有效时间time1~time2内，其他非时间为任意字符串str1。遍历系统日志的所有字段，每个字段对应一到两条日志，日志的时间部分在time1~time2内部分在time2~time3内（time3大于time2），日志中只有一个字段存为str1，其他字段不为str1。
2、使用高级查询功能查询系统日志，过滤时间范围在time1~time3【check1】
3、使用高级查询功能查询系统日志，过滤时间范围为time1~time2【check2】【check4】
4、使用高级查询功能查询系统日志，仅日志级别过滤str1【check3】【check4】</t>
  </si>
  <si>
    <t>log.logmng.fliter.exact.ptc2</t>
  </si>
  <si>
    <t>1、向防火墙的日志侦听端口写入一条操作日志，该日志的时间为任意有效时间time1~time2内，其他非时间为任意字符串str1。遍历操作日志的所有字段，每个字段对应一到两条日志，日志的时间部分在time1~time2内部分在time2~time3内（time3大于time2），日志中只有一个字段存为str1，其他字段不为str1。
2、使用高级查询功能查询操作日志，过滤时间范围在time1~time3【check1】
3、使用高级查询功能查询操作日志，过滤时间范围为time1~time2【check2】【check4】
4、使用高级查询功能查询操作日志，仅日志级别过滤str1【check3】【check4】
5、使用高级查询功能查询操作日志，仅管理员过滤str1【check3】【check4】
6、使用高级查询功能查询操作日志，仅管理员IP过滤str1【check3】【check4】</t>
  </si>
  <si>
    <t>log.logmng.fliter.exact.ptc3</t>
  </si>
  <si>
    <t>1、向防火墙的日志侦听端口写入一条入侵防御日志，该日志的时间为任意有效时间time1~time2内，其他非时间为任意字符串str1。遍历入侵防御日志的所有字段，每个字段对应一到两条日志，日志的时间部分在time1~time2内部分在time2~time3内（time3大于time2），日志中只有一个字段存为str1，其他字段不为str1。
2、使用高级查询功能查询入侵防御日志，过滤时间范围在time1~time3【check1】
3、使用高级查询功能查询入侵防御日志，过滤时间范围为time1~time2【check2】【check4】
4、使用高级查询功能查询入侵防御日志，仅日志级别过滤str1【check3】【check4】
5、使用高级查询功能查询入侵防御日志，仅源地址过滤str1【check3】【check4】
6、使用高级查询功能查询入侵防御日志，仅源端口过滤str1【check3】【check4】
7、使用高级查询功能查询入侵防御日志，仅目的地址过滤str1【check3】【check4】
8、使用高级查询功能查询入侵防御日志，仅目的端口过滤str1【check3】【check4】
9、使用高级查询功能查询入侵防御日志，仅协议过滤str1【check3】【check4】
10、使用高级查询功能查询入侵防御日志，仅策略ID过滤str1【check3】【check4】
11、使用高级查询功能查询入侵防御日志，仅规则名称过滤str1【check3】【check4】
12、使用高级查询功能查询入侵防御日志，仅命中配置过滤str1【check3】【check4】
13、使用高级查询功能查询入侵防御日志，仅动作过滤str1【check3】【check4】</t>
  </si>
  <si>
    <t>log.logmng.fliter.exact.ptc4</t>
  </si>
  <si>
    <t>1、向防火墙的日志侦听端口写入一条防病毒日志，该日志的时间为任意有效时间time1~time2内，其他非时间为任意字符串str1。遍历防病毒日志的所有字段，每个字段对应一到两条日志，日志的时间部分在time1~time2内部分在time2~time3内（time3大于time2），日志中只有一个字段存为str1，其他字段不为str1。
2、使用高级查询功能查询防病毒日志，过滤时间范围在time1~time3【check1】
3、使用高级查询功能查询防病毒日志，过滤时间范围为time1~time2【check2】【check4】
4、使用高级查询功能查询防病毒日志，仅日志级别过滤str1【check3】【check4】
5、使用高级查询功能查询防病毒日志，仅源地址过滤str1【check3】【check4】
6、使用高级查询功能查询防病毒日志，仅源端口过滤str1【check3】【check4】
7、使用高级查询功能查询防病毒日志，仅目的地址过滤str1【check3】【check4】
8、使用高级查询功能查询防病毒日志，仅目的端口过滤str1【check3】【check4】
9、使用高级查询功能查询防病毒日志，仅协议过滤str1【check3】【check4】
10、使用高级查询功能查询防病毒日志，仅策略ID过滤str1【check3】【check4】
11、使用高级查询功能查询防病毒日志，仅应用类型过滤str1【check3】【check4】
12、使用高级查询功能查询防病毒日志，仅文件名过滤str1【check3】【check4】
13、使用高级查询功能查询防病毒日志，仅病毒类型过滤str1【check3】【check4】
14、使用高级查询功能查询防病毒日志，仅动作过滤str1【check3】【check4】</t>
  </si>
  <si>
    <t>log.logmng.fliter.exact.ptc5</t>
  </si>
  <si>
    <t>1、向防火墙的日志侦听端口写入一条内容过滤日志，该日志的时间为任意有效时间time1~time2内，其他非时间为任意字符串str1。遍历内容过滤日志的所有字段，每个字段对应一到两条日志，日志的时间部分在time1~time2内部分在time2~time3内（time3大于time2），日志中只有一个字段存为str1，其他字段不为str1。
2、使用高级查询功能查询内容过滤日志，过滤时间范围在time1~time3【check1】
3、使用高级查询功能查询内容过滤日志，过滤时间范围为time1~time2【check2】【check4】
4、使用高级查询功能查询内容过滤日志，仅日志级别过滤str1【check3】【check4】
5、使用高级查询功能查询内容过滤日志，仅源地址过滤str1【check3】【check4】
6、使用高级查询功能查询内容过滤日志，仅源端口过滤str1【check3】【check4】
7、使用高级查询功能查询内容过滤日志，仅目的地址过滤str1【check3】【check4】
8、使用高级查询功能查询内容过滤日志，仅目的端口过滤str1【check3】【check4】
9、使用高级查询功能查询内容过滤日志，仅协议过滤str1【check3】【check4】
10、使用高级查询功能查询内容过滤日志，仅策略ID过滤str1【check3】【check4】
11、使用高级查询功能查询内容过滤日志，仅动作过滤str1【check3】【check4】</t>
  </si>
  <si>
    <t>log.logmng.fliter.exact.ptc6</t>
  </si>
  <si>
    <t>1、向防火墙的日志侦听端口写入一条文件过滤日志，该日志的时间为任意有效时间time1~time2内，其他非时间为任意字符串str1。遍历文件过滤日志的所有字段，每个字段对应一到两条日志，日志的时间部分在time1~time2内部分在time2~time3内（time3大于time2），日志中只有一个字段存为str1，其他字段不为str1。
2、使用高级查询功能查询文件过滤日志，过滤时间范围在time1~time3【check1】
3、使用高级查询功能查询文件过滤日志，过滤时间范围为time1~time2【check2】【check4】
4、使用高级查询功能查询文件过滤日志，仅日志级别过滤str1【check3】【check4】
5、使用高级查询功能查询文件过滤日志，仅源地址过滤str1【check3】【check4】
6、使用高级查询功能查询文件过滤日志，仅源端口过滤str1【check3】【check4】
7、使用高级查询功能查询文件过滤日志，仅目的地址过滤str1【check3】【check4】
8、使用高级查询功能查询文件过滤日志，仅目的端口过滤str1【check3】【check4】
9、使用高级查询功能查询文件过滤日志，仅策略ID过滤str1【check3】【check4】
10、使用高级查询功能查询文件过滤日志，仅应用类型过滤str1【check3】【check4】
11、使用高级查询功能查询文件过滤日志，仅文件名过滤str1【check3】【check4】
12、使用高级查询功能查询文件过滤日志，仅动作过滤str1【check3】【check4】</t>
  </si>
  <si>
    <t>log.logmng.fliter.exact.ptc7</t>
  </si>
  <si>
    <t>1、向防火墙的日志侦听端口写入一条URL过滤日志，该日志的时间为任意有效时间time1~time2内，其他非时间为任意字符串str1。遍历URL过滤日志的所有字段，每个字段对应一到两条日志，日志的时间部分在time1~time2内部分在time2~time3内（time3大于time2），日志中只有一个字段存为str1，其他字段不为str1。
2、使用高级查询功能查询URL过滤日志，过滤时间范围在time1~time3【check1】
3、使用高级查询功能查询URL过滤日志，过滤时间范围为time1~time2【check2】【check4】
4、使用高级查询功能查询URL过滤日志，仅日志级别过滤str1【check3】【check4】
5、使用高级查询功能查询URL过滤日志，仅源地址过滤str1【check3】【check4】
6、使用高级查询功能查询URL过滤日志，仅源端口过滤str1【check3】【check4】
7、使用高级查询功能查询URL过滤日志，仅目的地址过滤str1【check3】【check4】
8、使用高级查询功能查询URL过滤日志，仅目的端口过滤str1【check3】【check4】
9、使用高级查询功能查询URL过滤日志，仅协议过滤str1【check3】【check4】
10、使用高级查询功能查询URL过滤日志，仅策略ID过滤str1【check3】【check4】
11、使用高级查询功能查询URL过滤日志，仅动作过滤str1【check3】【check4】
12、使用高级查询功能查询URL过滤日志，仅过滤类型过滤str1【check3】【check4】</t>
  </si>
  <si>
    <t>log.logmng.fliter.exact.ptc8</t>
  </si>
  <si>
    <t>1、向防火墙的日志侦听端口写入一条WEB防护日志，该日志的时间为任意有效时间time1~time2内，其他非时间为任意字符串str1。遍历WEB防护日志的所有字段，每个字段对应一到两条日志，日志的时间部分在time1~time2内部分在time2~time3内（time3大于time2），日志中只有一个字段存为str1，其他字段不为str1。
2、使用高级查询功能查询WEB防护日志，过滤时间范围在time1~time3【check1】
3、使用高级查询功能查询WEB防护日志，过滤时间范围为time1~time2【check2】【check4】
4、使用高级查询功能查询WEB防护日志，仅日志级别过滤str1【check3】【check4】
5、使用高级查询功能查询WEB防护日志，仅源地址过滤str1【check3】【check4】
6、使用高级查询功能查询WEB防护日志，仅源端口过滤str1【check3】【check4】
7、使用高级查询功能查询WEB防护日志，仅目的地址过滤str1【check3】【check4】
8、使用高级查询功能查询WEB防护日志，仅目的端口过滤str1【check3】【check4】
9、使用高级查询功能查询WEB防护日志，仅协议过滤str1【check3】【check4】
10、使用高级查询功能查询WEB防护日志，仅防护类型过滤str1【check3】【check4】
11、使用高级查询功能查询WEB防护日志，仅攻击次数过滤str1【check3】【check4】
12、使用高级查询功能查询WEB防护日志，仅动作过滤str1【check3】【check4】</t>
  </si>
  <si>
    <t>log.logmng.fliter.exact.ptc9</t>
  </si>
  <si>
    <t>1、向防火墙的日志侦听端口写入一条防暴力破解日志，该日志的时间为任意有效时间time1~time2内，其他非时间为任意字符串str1。遍历防暴力破解日志的所有字段，每个字段对应一到两条日志，日志的时间部分在time1~time2内部分在time2~time3内（time3大于time2），日志中只有一个字段存为str1，其他字段不为str1。
2、使用高级查询功能查询防暴力破解日志，过滤时间范围在time1~time3【check1】
3、使用高级查询功能查询防暴力破解日志，过滤时间范围为time1~time2【check2】【check4】
4、使用高级查询功能查询防暴力破解日志，仅日志级别过滤str1【check3】【check4】
5、使用高级查询功能查询防暴力破解日志，仅源地址过滤str1【check3】【check4】
6、使用高级查询功能查询防暴力破解日志，仅源端口过滤str1【check3】【check4】
7、使用高级查询功能查询防暴力破解日志，仅目的地址过滤str1【check3】【check4】
8、使用高级查询功能查询防暴力破解日志，仅目的端口过滤str1【check3】【check4】
9、使用高级查询功能查询防暴力破解日志，仅协议过滤str1【check3】【check4】
10、使用高级查询功能查询防暴力破解日志，仅动作过滤str1【check3】【check4】</t>
  </si>
  <si>
    <t>log.logmng.fliter.exact.ptc10</t>
  </si>
  <si>
    <t>1、向防火墙的日志侦听端口写入一条弱密码日志，该日志的时间为任意有效时间time1~time2内，其他非时间为任意字符串str1。遍历弱密码日志的所有字段，每个字段对应一到两条日志，日志的时间部分在time1~time2内部分在time2~time3内（time3大于time2），日志中只有一个字段存为str1，其他字段不为str1。
2、使用高级查询功能查询弱密码日志，过滤时间范围在time1~time3【check1】
3、使用高级查询功能查询弱密码日志，过滤时间范围为time1~time2【check2】【check4】
4、使用高级查询功能查询弱密码日志，仅日志级别过滤str1【check3】【check4】
5、使用高级查询功能查询弱密码日志，仅源地址过滤str1【check3】【check4】
6、使用高级查询功能查询弱密码日志，仅源端口过滤str1【check3】【check4】
7、使用高级查询功能查询弱密码日志，仅目的地址过滤str1【check3】【check4】
8、使用高级查询功能查询弱密码日志，仅目的端口过滤str1【check3】【check4】
9、使用高级查询功能查询弱密码日志，仅协议过滤str1【check3】【check4】
10、使用高级查询功能查询弱密码日志，仅策略ID过滤str1【check3】【check4】
11、使用高级查询功能查询弱密码日志，仅配置名称过滤str1【check3】【check4】
12、使用高级查询功能查询弱密码日志，仅动作过滤str1【check3】【check4】</t>
  </si>
  <si>
    <t>log.logmng.fliter.exact.ptc11</t>
  </si>
  <si>
    <t>1、向防火墙的日志侦听端口写入一条控制策略阻断日志，该日志的时间为任意有效时间time1~time2内，其他非时间为任意字符串str1。遍历控制策略阻断日志的所有字段，每个字段对应一到两条日志，日志的时间部分在time1~time2内部分在time2~time3内（time3大于time2），日志中只有一个字段存为str1，其他字段不为str1。
2、使用高级查询功能查询控制策略阻断日志，过滤时间范围在time1~time3【check1】
3、使用高级查询功能查询控制策略阻断日志，过滤时间范围为time1~time2【check2】【check4】
4、使用高级查询功能查询控制策略阻断日志，仅日志级别过滤str1【check3】【check4】
5、使用高级查询功能查询控制策略阻断日志，仅源地址过滤str1【check3】【check4】
6、使用高级查询功能查询控制策略阻断日志，仅源端口过滤str1【check3】【check4】
7、使用高级查询功能查询控制策略阻断日志，仅目的地址过滤str1【check3】【check4】
8、使用高级查询功能查询控制策略阻断日志，仅目的端口过滤str1【check3】【check4】
9、使用高级查询功能查询控制策略阻断日志，仅源安全域过滤str1【check3】【check4】
10、使用高级查询功能查询控制策略阻断日志，仅目的安全域过滤str1【check3】【check4】
11、使用高级查询功能查询控制策略阻断日志，仅源地区过滤str1【check3】【check4】
12、使用高级查询功能查询控制策略阻断日志，仅目的过滤str1【check3】【check4】
13、使用高级查询功能查询控制策略阻断日志，仅应用过滤str1【check3】【check4】
14、使用高级查询功能查询控制策略阻断日志，仅协议号过滤str1【check3】【check4】
15、使用高级查询功能查询控制策略阻断日志，仅策略名称过滤str1【check3】【check4】
16、使用高级查询功能查询控制策略阻断日志，仅动作过滤str1【check3】【check4】</t>
  </si>
  <si>
    <t>log.logmng.fliter.exact.ptc12</t>
  </si>
  <si>
    <t>1、向防火墙的日志侦听端口写入一条本地控制策略日志，该日志的时间为任意有效时间time1~time2内，其他非时间为任意字符串str1。遍历本地控制策略日志的所有字段，每个字段对应一到两条日志，日志的时间部分在time1~time2内部分在time2~time3内（time3大于time2），日志中只有一个字段存为str1，其他字段不为str1。
2、使用高级查询功能查询本地控制策略日志，过滤时间范围在time1~time3【check1】
3、使用高级查询功能查询本地控制策略日志，过滤时间范围为time1~time2【check2】【check4】
4、使用高级查询功能查询本地控制策略日志，仅日志级别过滤str1【check3】【check4】
5、使用高级查询功能查询本地控制策略日志，仅源地址过滤str1【check3】【check4】
6、使用高级查询功能查询本地控制策略日志，仅源端口过滤str1【check3】【check4】
7、使用高级查询功能查询本地控制策略日志，仅目的地址过滤str1【check3】【check4】
8、使用高级查询功能查询本地控制策略日志，仅目的端口过滤str1【check3】【check4】
9、使用高级查询功能查询本地控制策略日志，仅源安全域过滤str1【check3】【check4】
10、使用高级查询功能查询本地控制策略日志，仅目的安全域过滤str1【check3】【check4】
11、使用高级查询功能查询本地控制策略日志，仅源地区过滤str1【check3】【check4】
12、使用高级查询功能查询本地控制策略日志，仅目的过滤str1【check3】【check4】
13、使用高级查询功能查询本地控制策略日志，仅应用过滤str1【check3】【check4】
14、使用高级查询功能查询本地控制策略日志，仅协议号过滤str1【check3】【check4】
15、使用高级查询功能查询本地控制策略日志，仅策略名称过滤str1【check3】【check4】
16、使用高级查询功能查询本地控制策略日志，仅动作过滤str1【check3】【check4】</t>
  </si>
  <si>
    <t>log.logmng.fliter.exact.ptc13</t>
  </si>
  <si>
    <t>1、向防火墙的日志侦听端口写入一条单包防护日志，该日志的时间为任意有效时间time1~time2内，其他非时间为任意字符串str1。遍历单包防护日志的所有字段，每个字段对应一到两条日志，日志的时间部分在time1~time2内部分在time2~time3内（time3大于time2），日志中只有一个字段存为str1，其他字段不为str1。
2、使用高级查询功能查询单包防护日志，过滤时间范围在time1~time3【check1】
3、使用高级查询功能查询单包防护日志，过滤时间范围为time1~time2【check2】【check4】
4、使用高级查询功能查询单包防护日志，仅攻击类型过滤str1【check3】【check4】
5、使用高级查询功能查询单包防护日志，仅源IP过滤str1【check3】【check4】
6、使用高级查询功能查询单包防护日志，仅目的IP过滤str1【check3】【check4】
7、使用高级查询功能查询单包防护日志，仅日志级别过滤str1【check3】【check4】</t>
  </si>
  <si>
    <t>log.logmng.fliter.exact.ptc14</t>
  </si>
  <si>
    <t>1、向防火墙的日志侦听端口写入一条Flood攻击日志，该日志的时间为任意有效时间time1~time2内，其他非时间为任意字符串str1。遍历Flood攻击日志的所有字段，每个字段对应一到两条日志，日志的时间部分在time1~time2内部分在time2~time3内（time3大于time2），日志中只有一个字段存为str1，其他字段不为str1。
2、使用高级查询功能查询Flood攻击日志，过滤时间范围在time1~time3【check1】
3、使用高级查询功能查询Flood攻击日志，过滤时间范围为time1~time2【check2】【check4】
4、使用高级查询功能查询Flood攻击日志，仅攻击类型过滤str1【check3】【check4】
5、使用高级查询功能查询Flood攻击日志，仅源IP过滤str1【check3】【check4】
6、使用高级查询功能查询Flood攻击日志，仅目的IP过滤str1【check3】【check4】
7、使用高级查询功能查询Flood攻击日志，仅源端口过滤str1【check3】【check4】
8、使用高级查询功能查询Flood攻击日志，仅目的端口过滤str1【check3】【check4】
9、使用高级查询功能查询Flood攻击日志，仅Ddos防护策略过滤str1【check3】【check4】
10、使用高级查询功能查询Flood攻击日志，仅协议号过滤str1【check3】【check4】
11、使用高级查询功能查询Flood攻击日志，仅防护算法过滤str1【check3】【check4】</t>
  </si>
  <si>
    <t>log.logmng.fliter.exact.ptc15</t>
  </si>
  <si>
    <t>1、向防火墙的日志侦听端口写入一条黑白名单日志，该日志的时间为任意有效时间time1~time2内，其他非时间为任意字符串str1。遍历黑白名单日志的所有字段，每个字段对应一到两条日志，日志的时间部分在time1~time2内部分在time2~time3内（time3大于time2），日志中只有一个字段存为str1，其他字段不为str1。
2、使用高级查询功能查询黑白名单日志，过滤时间范围在time1~time3【check1】
3、使用高级查询功能查询黑白名单日志，过滤时间范围为time1~time2【check2】【check4】
4、使用高级查询功能查询黑白名单日志，仅日志类型过滤str1【check3】【check4】</t>
  </si>
  <si>
    <t>log.logmng.fliter.exact.ptc16</t>
  </si>
  <si>
    <t>1、向防火墙的日志侦听端口写入一条EDR推广日志，该日志的时间为任意有效时间time1~time2内，其他非时间为任意字符串str1。遍历EDR推广日志的所有字段，每个字段对应一到两条日志，日志的时间部分在time1~time2内部分在time2~time3内（time3大于time2），日志中只有一个字段存为str1，其他字段不为str1。
2、使用高级查询功能查询EDR推广日志，过滤时间范围在time1~time3【check1】
3、使用高级查询功能查询EDR推广日志，过滤时间范围为time1~time2【check2】【check4】
4、使用高级查询功能查询EDR推广日志，仅源IP过滤str1【check3】【check4】
5、使用高级查询功能查询EDR推广日志，仅目的IP过滤str1【check3】【check4】
6、使用高级查询功能查询EDR推广日志，仅源端口过滤str1【check3】【check4】
7、使用高级查询功能查询EDR推广日志，仅目的端口过滤str1【check3】【check4】
8、使用高级查询功能查询EDR推广日志，仅协议号过滤str1【check3】【check4】
9、使用高级查询功能查询EDR推广日志，仅策略ID过滤str1【check3】【check4】</t>
  </si>
  <si>
    <t>log.logmng.fliter.exact.ptc17</t>
  </si>
  <si>
    <t>1、向防火墙的日志侦听端口写入一条IPSecVPN日志，该日志的时间为任意有效时间time1~time2内，其他非时间为任意字符串str1。遍历IPSecVPN日志的所有字段，每个字段对应一到两条日志，日志的时间部分在time1~time2内部分在time2~time3内（time3大于time2），日志中只有一个字段存为str1，其他字段不为str1。
2、使用高级查询功能查询IPSecVPN日志，过滤时间范围在time1~time3【check1】
3、使用高级查询功能查询IPSecVPN日志，过滤时间范围为time1~time2【check2】【check4】
4、使用高级查询功能查询IPSecVPN日志，仅攻击类型过滤str1【check3】【check4】
5、使用高级查询功能查询IPSecVPN日志，仅名称过滤str1【check3】【check4】
6、使用高级查询功能查询IPSecVPN日志，仅本地网关过滤str1【check3】【check4】
7、使用高级查询功能查询IPSecVPN日志，仅本地端口过滤str1【check3】【check4】
8、使用高级查询功能查询IPSecVPN日志，仅对端网关过滤str1【check3】【check4】
9、使用高级查询功能查询IPSecVPN日志，仅对端端口过滤str1【check3】【check4】
10、使用高级查询功能查询IPSecVPN日志，仅源网络过滤str1【check3】【check4】
11、使用高级查询功能查询IPSecVPN日志，仅目的网络过滤str1【check3】【check4】</t>
  </si>
  <si>
    <t>log.logmng.fliter.exact2.ptc1</t>
  </si>
  <si>
    <t>1、向防火墙的日志侦听端口写入一条系统日志，该日志的时间为任意有效时间time1~time2内，其他非时间为任意字符串str1。
2、遍历系统日志的所有字段，每个字段对应写入一到两条日志，日志的时间部分在time1~time2内部分在time2~time3内（time3大于time2），日志中只有一个字段存为str1，其他字段不为str1。
3、写入至少3条，时间在time2~time3之间，日志级别全部为str1的日志
4、使用高级查询功能查询系统日志，过滤时间范围在time2~time3，过滤日志级别字段都为str1。【check1】【check2】</t>
  </si>
  <si>
    <t>log.logmng.fliter.exact2.ptc2</t>
  </si>
  <si>
    <t>1、向防火墙的日志侦听端口写入一条操作日志，该日志的时间为任意有效时间time1~time2内，其他非时间为任意字符串str1。
2、遍历操作日志的所有字段，每个字段对应写入一到两条日志，日志的时间部分在time1~time2内部分在time2~time3内（time3大于time2），日志中只有一个字段存为str1，其他字段不为str1。
3、写入至少3条，时间在time2~time3之间，日志级别，管理员，管理员IP全部为str1的日志
4、使用高级查询功能查询操作日志，过滤时间范围在time2~time3，过滤日志级别，管理员，管理员IP字段都为str1。【check1】【check2】</t>
  </si>
  <si>
    <t>log.logmng.fliter.exact2.ptc3</t>
  </si>
  <si>
    <t>1、向防火墙的日志侦听端口写入一条入侵防御日志，该日志的时间为任意有效时间time1~time2内，其他非时间为任意字符串str1。
2、遍历入侵防御日志的所有字段，每个字段对应写入一到两条日志，日志的时间部分在time1~time2内部分在time2~time3内（time3大于time2），日志中只有一个字段存为str1，其他字段不为str1。
3、写入至少3条，时间在time2~time3之间，日志级别，源地址，源端口，目的地址，目的端口，协议，策略ID，规则名称，命中配置，动作全部为str1的日志
4、使用高级查询功能查询入侵防御日志，过滤时间范围在time2~time3，过滤日志级别，源地址，源端口，目的地址，目的端口，协议，策略ID，规则名称，命中配置，动作字段都为str1。【check1】【check2】</t>
  </si>
  <si>
    <t>log.logmng.fliter.exact2.ptc4</t>
  </si>
  <si>
    <t>1、向防火墙的日志侦听端口写入一条防病毒日志，该日志的时间为任意有效时间time1~time2内，其他非时间为任意字符串str1。
2、遍历防病毒日志的所有字段，每个字段对应写入一到两条日志，日志的时间部分在time1~time2内部分在time2~time3内（time3大于time2），日志中只有一个字段存为str1，其他字段不为str1。
3、写入至少3条，时间在time2~time3之间，日志级别，源地址，源端口，目的地址，目的端口，协议，策略ID，应用类型，文件名，病毒类型，动作全部为str1的日志
4、使用高级查询功能查询防病毒日志，过滤时间范围在time2~time3，过滤日志级别，源地址，源端口，目的地址，目的端口，协议，策略ID，应用类型，文件名，病毒类型，动作字段都为str1。【check1】【check2】</t>
  </si>
  <si>
    <t>log.logmng.fliter.exact2.ptc5</t>
  </si>
  <si>
    <t>1、向防火墙的日志侦听端口写入一条内容过滤日志，该日志的时间为任意有效时间time1~time2内，其他非时间为任意字符串str1。
2、遍历内容过滤日志的所有字段，每个字段对应写入一到两条日志，日志的时间部分在time1~time2内部分在time2~time3内（time3大于time2），日志中只有一个字段存为str1，其他字段不为str1。
3、写入至少3条，时间在time2~time3之间，日志级别，源地址，源端口，目的地址，目的端口，协议，策略ID，动作全部为str1的日志
4、使用高级查询功能查询内容过滤日志，过滤时间范围在time2~time3，过滤日志级别，源地址，源端口，目的地址，目的端口，协议，策略ID，动作字段都为str1。【check1】【check2】</t>
  </si>
  <si>
    <t>log.logmng.fliter.exact2.ptc6</t>
  </si>
  <si>
    <t>1、向防火墙的日志侦听端口写入一条文件过滤日志，该日志的时间为任意有效时间time1~time2内，其他非时间为任意字符串str1。
2、遍历文件过滤日志的所有字段，每个字段对应写入一到两条日志，日志的时间部分在time1~time2内部分在time2~time3内（time3大于time2），日志中只有一个字段存为str1，其他字段不为str1。
3、写入至少3条，时间在time2~time3之间，日志级别，源地址，源端口，目的地址，目的端口，策略ID，应用类型，文件名，动作全部为str1的日志
4、使用高级查询功能查询文件过滤日志，过滤时间范围在time2~time3，过滤日志级别，源地址，源端口，目的地址，目的端口，策略ID，应用类型，文件名，动作字段都为str1。【check1】【check2】</t>
  </si>
  <si>
    <t>log.logmng.fliter.exact2.ptc7</t>
  </si>
  <si>
    <t>1、向防火墙的日志侦听端口写入一条URL过滤日志，该日志的时间为任意有效时间time1~time2内，其他非时间为任意字符串str1。
2、遍历URL过滤日志的所有字段，每个字段对应写入一到两条日志，日志的时间部分在time1~time2内部分在time2~time3内（time3大于time2），日志中只有一个字段存为str1，其他字段不为str1。
3、写入至少3条，时间在time2~time3之间，日志级别，源地址，源端口，目的地址，目的端口，协议，策略ID，动作，过滤类型全部为str1的日志
4、使用高级查询功能查询URL过滤日志，过滤时间范围在time2~time3，过滤日志级别，源地址，源端口，目的地址，目的端口，协议，策略ID，动作，过滤类型字段都为str1。【check1】【check2】</t>
  </si>
  <si>
    <t>log.logmng.fliter.exact2.ptc8</t>
  </si>
  <si>
    <t>1、向防火墙的日志侦听端口写入一条WEB防护日志，该日志的时间为任意有效时间time1~time2内，其他非时间为任意字符串str1。
2、遍历WEB防护日志的所有字段，每个字段对应写入一到两条日志，日志的时间部分在time1~time2内部分在time2~time3内（time3大于time2），日志中只有一个字段存为str1，其他字段不为str1。
3、写入至少3条，时间在time2~time3之间，日志级别，源地址，源端口，目的地址，目的端口，协议，防护类型，攻击次数，动作全部为str1的日志
4、使用高级查询功能查询WEB防护日志，过滤时间范围在time2~time3，过滤日志级别，源地址，源端口，目的地址，目的端口，协议，防护类型，攻击次数，动作字段都为str1。【check1】【check2】</t>
  </si>
  <si>
    <t>log.logmng.fliter.exact2.ptc9</t>
  </si>
  <si>
    <t>1、向防火墙的日志侦听端口写入一条防暴力破解日志，该日志的时间为任意有效时间time1~time2内，其他非时间为任意字符串str1。
2、遍历防暴力破解日志的所有字段，每个字段对应写入一到两条日志，日志的时间部分在time1~time2内部分在time2~time3内（time3大于time2），日志中只有一个字段存为str1，其他字段不为str1。
3、写入至少3条，时间在time2~time3之间，日志级别，源地址，源端口，目的地址，目的端口，协议，动作全部为str1的日志
4、使用高级查询功能查询防暴力破解日志，过滤时间范围在time2~time3，过滤日志级别，源地址，源端口，目的地址，目的端口，协议，动作字段都为str1。【check1】【check2】</t>
  </si>
  <si>
    <t>log.logmng.fliter.exact2.ptc10</t>
  </si>
  <si>
    <t>1、向防火墙的日志侦听端口写入一条弱密码日志，该日志的时间为任意有效时间time1~time2内，其他非时间为任意字符串str1。
2、遍历弱密码日志的所有字段，每个字段对应写入一到两条日志，日志的时间部分在time1~time2内部分在time2~time3内（time3大于time2），日志中只有一个字段存为str1，其他字段不为str1。
3、写入至少3条，时间在time2~time3之间，日志级别，源地址，源端口，目的地址，目的端口，协议，策略ID，配置名称，动作全部为str1的日志
4、使用高级查询功能查询弱密码日志，过滤时间范围在time2~time3，过滤日志级别，源地址，源端口，目的地址，目的端口，协议，策略ID，配置名称，动作字段都为str1。【check1】【check2】</t>
  </si>
  <si>
    <t>log.logmng.fliter.exact2.ptc11</t>
  </si>
  <si>
    <t>1、向防火墙的日志侦听端口写入一条控制策略阻断日志，该日志的时间为任意有效时间time1~time2内，其他非时间为任意字符串str1。
2、遍历控制策略阻断日志的所有字段，每个字段对应写入一到两条日志，日志的时间部分在time1~time2内部分在time2~time3内（time3大于time2），日志中只有一个字段存为str1，其他字段不为str1。
3、写入至少3条，时间在time2~time3之间，日志级别，源地址，源端口，目的地址，目的端口，源安全域，目的安全域，源地区，目的，应用，协议号，策略名称，动作全部为str1的日志
4、使用高级查询功能查询控制策略阻断日志，过滤时间范围在time2~time3，过滤日志级别，源地址，源端口，目的地址，目的端口，源安全域，目的安全域，源地区，目的，应用，协议号，策略名称，动作字段都为str1。【check1】【check2】</t>
  </si>
  <si>
    <t>log.logmng.fliter.exact2.ptc12</t>
  </si>
  <si>
    <t>1、向防火墙的日志侦听端口写入一条本地控制策略日志，该日志的时间为任意有效时间time1~time2内，其他非时间为任意字符串str1。
2、遍历本地控制策略日志的所有字段，每个字段对应写入一到两条日志，日志的时间部分在time1~time2内部分在time2~time3内（time3大于time2），日志中只有一个字段存为str1，其他字段不为str1。
3、写入至少3条，时间在time2~time3之间，日志级别，源地址，源端口，目的地址，目的端口，源安全域，目的安全域，源地区，目的，应用，协议号，策略名称，动作全部为str1的日志
4、使用高级查询功能查询本地控制策略日志，过滤时间范围在time2~time3，过滤日志级别，源地址，源端口，目的地址，目的端口，源安全域，目的安全域，源地区，目的，应用，协议号，策略名称，动作字段都为str1。【check1】【check2】</t>
  </si>
  <si>
    <t>log.logmng.fliter.exact2.ptc13</t>
  </si>
  <si>
    <t>1、向防火墙的日志侦听端口写入一条单包防护日志，该日志的时间为任意有效时间time1~time2内，其他非时间为任意字符串str1。
2、遍历单包防护日志的所有字段，每个字段对应写入一到两条日志，日志的时间部分在time1~time2内部分在time2~time3内（time3大于time2），日志中只有一个字段存为str1，其他字段不为str1。
3、写入至少3条，时间在time2~time3之间，攻击类型，源IP，目的IP，日志级别全部为str1的日志
4、使用高级查询功能查询单包防护日志，过滤时间范围在time2~time3，过滤攻击类型，源IP，目的IP，日志级别字段都为str1。【check1】【check2】</t>
  </si>
  <si>
    <t>log.logmng.fliter.exact2.ptc14</t>
  </si>
  <si>
    <t>1、向防火墙的日志侦听端口写入一条Flood攻击日志，该日志的时间为任意有效时间time1~time2内，其他非时间为任意字符串str1。
2、遍历Flood攻击日志的所有字段，每个字段对应写入一到两条日志，日志的时间部分在time1~time2内部分在time2~time3内（time3大于time2），日志中只有一个字段存为str1，其他字段不为str1。
3、写入至少3条，时间在time2~time3之间，攻击类型，源IP，目的IP，源端口，目的端口，Ddos防护策略，协议号，防护算法全部为str1的日志
4、使用高级查询功能查询Flood攻击日志，过滤时间范围在time2~time3，过滤攻击类型，源IP，目的IP，源端口，目的端口，Ddos防护策略，协议号，防护算法字段都为str1。【check1】【check2】</t>
  </si>
  <si>
    <t>log.logmng.fliter.exact2.ptc15</t>
  </si>
  <si>
    <t>1、向防火墙的日志侦听端口写入一条黑白名单日志，该日志的时间为任意有效时间time1~time2内，其他非时间为任意字符串str1。
2、遍历黑白名单日志的所有字段，每个字段对应写入一到两条日志，日志的时间部分在time1~time2内部分在time2~time3内（time3大于time2），日志中只有一个字段存为str1，其他字段不为str1。
3、写入至少3条，时间在time2~time3之间，日志类型全部为str1的日志
4、使用高级查询功能查询黑白名单日志，过滤时间范围在time2~time3，过滤日志类型字段都为str1。【check1】【check2】</t>
  </si>
  <si>
    <t>log.logmng.fliter.exact2.ptc16</t>
  </si>
  <si>
    <t>1、向防火墙的日志侦听端口写入一条EDR推广日志，该日志的时间为任意有效时间time1~time2内，其他非时间为任意字符串str1。
2、遍历EDR推广日志的所有字段，每个字段对应写入一到两条日志，日志的时间部分在time1~time2内部分在time2~time3内（time3大于time2），日志中只有一个字段存为str1，其他字段不为str1。
3、写入至少3条，时间在time2~time3之间，源IP，目的IP，源端口，目的端口，协议号，策略ID全部为str1的日志
4、使用高级查询功能查询EDR推广日志，过滤时间范围在time2~time3，过滤源IP，目的IP，源端口，目的端口，协议号，策略ID字段都为str1。【check1】【check2】</t>
  </si>
  <si>
    <t>log.logmng.fliter.exact2.ptc17</t>
  </si>
  <si>
    <t>1、向防火墙的日志侦听端口写入一条IPSecVPN日志，该日志的时间为任意有效时间time1~time2内，其他非时间为任意字符串str1。
2、遍历IPSecVPN日志的所有字段，每个字段对应写入一到两条日志，日志的时间部分在time1~time2内部分在time2~time3内（time3大于time2），日志中只有一个字段存为str1，其他字段不为str1。
3、写入至少3条，时间在time2~time3之间，攻击类型，名称，本地网关，本地端口，对端网关，对端端口，源网络，目的网络全部为str1的日志
4、使用高级查询功能查询IPSecVPN日志，过滤时间范围在time2~time3，过滤攻击类型，名称，本地网关，本地端口，对端网关，对端端口，源网络，目的网络字段都为str1。【check1】【check2】</t>
  </si>
  <si>
    <t>log.logmng.fliter.fuzzy.ptc1</t>
  </si>
  <si>
    <t>1、向防火墙的日志侦听端口写入一条系统日志，该日志的时间为任意有效时间time1~time2内，其他非时间为任意字符串str1。
2、遍历系统日志的所有字段，每个字段对应写入一到两条日志，日志的时间部分在time1~time2内部分在time2~time3内（time3大于time2），日志中只有一个字段存为str1，其他字段不为且不包含str1。
3、遍历系统日志的所有字段，每个字段对应写入一到两条日志，日志的时间部分在time1~time2内、部分在time2~time3内（time3大于time2），日志中只有一个字段存包含str1，其他字段不为且不包含str1。
4、使用模糊查询功能查询系统日志，过滤时间范围在time2~time3，日志内容为过滤条件为str1。【check1】【check2】【check3】</t>
  </si>
  <si>
    <t>1、【check1】查询到的日志数量正确，选取首尾和随机条的所有字段正确。
2、【check2】可以查到时间范围在time2~time3内，日志描述字段包含str1的日志。
3、【check3】不能查到时间范围在time2~time3内，非日志描述字段包含为str1的日志</t>
  </si>
  <si>
    <t>log.logmng.fliter.fuzzy.ptc2</t>
  </si>
  <si>
    <t>1、向防火墙的日志侦听端口写入一条操作日志，该日志的时间为任意有效时间time1~time2内，其他非时间为任意字符串str1。
2、遍历操作日志的所有字段，每个字段对应写入一到两条日志，日志的时间部分在time1~time2内部分在time2~time3内（time3大于time2），日志中只有一个字段存为str1，其他字段不为且不包含str1。
3、遍历操作日志的所有字段，每个字段对应写入一到两条日志，日志的时间部分在time1~time2内、部分在time2~time3内（time3大于time2），日志中只有一个字段存包含str1，其他字段不为且不包含str1。
4、使用模糊查询功能查询操作日志，过滤时间范围在time2~time3，日志内容为过滤条件为str1。【check1】【check2】【check3】</t>
  </si>
  <si>
    <t>log.logmng.fliter.fuzzy.ptc3</t>
  </si>
  <si>
    <t>1、向防火墙的日志侦听端口写入一条入侵防御日志，该日志的时间为任意有效时间time1~time2内，其他非时间为任意字符串str1。
2、遍历入侵防御日志的所有字段，每个字段对应写入一到两条日志，日志的时间部分在time1~time2内部分在time2~time3内（time3大于time2），日志中只有一个字段存为str1，其他字段不为且不包含str1。
3、遍历入侵防御日志的所有字段，每个字段对应写入一到两条日志，日志的时间部分在time1~time2内、部分在time2~time3内（time3大于time2），日志中只有一个字段存包含str1，其他字段不为且不包含str1。
4、使用模糊查询功能查询入侵防御日志，过滤时间范围在time2~time3，日志内容为过滤条件为str1。【check1】【check2】【check3】</t>
  </si>
  <si>
    <t>1、【check1】查询到的日志数量正确，选取首尾和随机条的所有字段正确。
2、【check2】可以查到时间范围在time2~time3内，源地址，源端口，目的地址，目的端口，协议，日志描述字段包含str1的日志。
3、【check3】不能查到时间范围在time2~time3内，非源地址，源端口，目的地址，目的端口，协议，日志描述字段包含为str1的日志</t>
  </si>
  <si>
    <t>log.logmng.fliter.fuzzy.ptc4</t>
  </si>
  <si>
    <t>1、向防火墙的日志侦听端口写入一条防病毒日志，该日志的时间为任意有效时间time1~time2内，其他非时间为任意字符串str1。
2、遍历防病毒日志的所有字段，每个字段对应写入一到两条日志，日志的时间部分在time1~time2内部分在time2~time3内（time3大于time2），日志中只有一个字段存为str1，其他字段不为且不包含str1。
3、遍历防病毒日志的所有字段，每个字段对应写入一到两条日志，日志的时间部分在time1~time2内、部分在time2~time3内（time3大于time2），日志中只有一个字段存包含str1，其他字段不为且不包含str1。
4、使用模糊查询功能查询防病毒日志，过滤时间范围在time2~time3，日志内容为过滤条件为str1。【check1】【check2】【check3】</t>
  </si>
  <si>
    <t>1、【check1】查询到的日志数量正确，选取首尾和随机条的所有字段正确。
2、【check2】可以查到时间范围在time2~time3内，源地址，源端口，目的地址，目的端口，协议，应用类型，文件名，病毒类型字段包含str1的日志。
3、【check3】不能查到时间范围在time2~time3内，非源地址，源端口，目的地址，目的端口，协议，应用类型，文件名，病毒类型字段包含为str1的日志</t>
  </si>
  <si>
    <t>log.logmng.fliter.fuzzy.ptc5</t>
  </si>
  <si>
    <t>1、向防火墙的日志侦听端口写入一条内容过滤日志，该日志的时间为任意有效时间time1~time2内，其他非时间为任意字符串str1。
2、遍历内容过滤日志的所有字段，每个字段对应写入一到两条日志，日志的时间部分在time1~time2内部分在time2~time3内（time3大于time2），日志中只有一个字段存为str1，其他字段不为且不包含str1。
3、遍历内容过滤日志的所有字段，每个字段对应写入一到两条日志，日志的时间部分在time1~time2内、部分在time2~time3内（time3大于time2），日志中只有一个字段存包含str1，其他字段不为且不包含str1。
4、使用模糊查询功能查询内容过滤日志，过滤时间范围在time2~time3，日志内容为过滤条件为str1。【check1】【check2】【check3】</t>
  </si>
  <si>
    <t>1、【check1】查询到的日志数量正确，选取首尾和随机条的所有字段正确。
2、【check2】可以查到时间范围在time2~time3内，源地址，源端口，目的地址，目的端口，协议，过滤类型，关键字字段包含str1的日志。
3、【check3】不能查到时间范围在time2~time3内，非源地址，源端口，目的地址，目的端口，协议，过滤类型，关键字字段包含为str1的日志</t>
  </si>
  <si>
    <t>log.logmng.fliter.fuzzy.ptc6</t>
  </si>
  <si>
    <t>1、向防火墙的日志侦听端口写入一条文件过滤日志，该日志的时间为任意有效时间time1~time2内，其他非时间为任意字符串str1。
2、遍历文件过滤日志的所有字段，每个字段对应写入一到两条日志，日志的时间部分在time1~time2内部分在time2~time3内（time3大于time2），日志中只有一个字段存为str1，其他字段不为且不包含str1。
3、遍历文件过滤日志的所有字段，每个字段对应写入一到两条日志，日志的时间部分在time1~time2内、部分在time2~time3内（time3大于time2），日志中只有一个字段存包含str1，其他字段不为且不包含str1。
4、使用模糊查询功能查询文件过滤日志，过滤时间范围在time2~time3，日志内容为过滤条件为str1。【check1】【check2】【check3】</t>
  </si>
  <si>
    <t>1、【check1】查询到的日志数量正确，选取首尾和随机条的所有字段正确。
2、【check2】可以查到时间范围在time2~time3内，源地址，源端口，目的地址，目的端口，应用类型，文件名，日志描述字段包含str1的日志。
3、【check3】不能查到时间范围在time2~time3内，非源地址，源端口，目的地址，目的端口，应用类型，文件名，日志描述字段包含为str1的日志</t>
  </si>
  <si>
    <t>log.logmng.fliter.fuzzy.ptc7</t>
  </si>
  <si>
    <t>1、向防火墙的日志侦听端口写入一条URL过滤日志，该日志的时间为任意有效时间time1~time2内，其他非时间为任意字符串str1。
2、遍历URL过滤日志的所有字段，每个字段对应写入一到两条日志，日志的时间部分在time1~time2内部分在time2~time3内（time3大于time2），日志中只有一个字段存为str1，其他字段不为且不包含str1。
3、遍历URL过滤日志的所有字段，每个字段对应写入一到两条日志，日志的时间部分在time1~time2内、部分在time2~time3内（time3大于time2），日志中只有一个字段存包含str1，其他字段不为且不包含str1。
4、使用模糊查询功能查询URL过滤日志，过滤时间范围在time2~time3，日志内容为过滤条件为str1。【check1】【check2】【check3】</t>
  </si>
  <si>
    <t>1、【check1】查询到的日志数量正确，选取首尾和随机条的所有字段正确。
2、【check2】可以查到时间范围在time2~time3内，源地址，源端口，目的地址，目的端口，协议，配置名称，匹配对象，URL字段包含str1的日志。
3、【check3】不能查到时间范围在time2~time3内，非源地址，源端口，目的地址，目的端口，协议，配置名称，匹配对象，URL字段包含为str1的日志</t>
  </si>
  <si>
    <t>log.logmng.fliter.fuzzy.ptc8</t>
  </si>
  <si>
    <t>1、向防火墙的日志侦听端口写入一条WEB防护日志，该日志的时间为任意有效时间time1~time2内，其他非时间为任意字符串str1。
2、遍历WEB防护日志的所有字段，每个字段对应写入一到两条日志，日志的时间部分在time1~time2内部分在time2~time3内（time3大于time2），日志中只有一个字段存为str1，其他字段不为且不包含str1。
3、遍历WEB防护日志的所有字段，每个字段对应写入一到两条日志，日志的时间部分在time1~time2内、部分在time2~time3内（time3大于time2），日志中只有一个字段存包含str1，其他字段不为且不包含str1。
4、使用模糊查询功能查询WEB防护日志，过滤时间范围在time2~time3，日志内容为过滤条件为str1。【check1】【check2】【check3】</t>
  </si>
  <si>
    <t>1、【check1】查询到的日志数量正确，选取首尾和随机条的所有字段正确。
2、【check2】可以查到时间范围在time2~time3内，源地址，源端口，目的地址，目的端口，协议，命中配置字段包含str1的日志。
3、【check3】不能查到时间范围在time2~time3内，非源地址，源端口，目的地址，目的端口，协议，命中配置字段包含为str1的日志</t>
  </si>
  <si>
    <t>log.logmng.fliter.fuzzy.ptc9</t>
  </si>
  <si>
    <t>1、向防火墙的日志侦听端口写入一条防暴力破解日志，该日志的时间为任意有效时间time1~time2内，其他非时间为任意字符串str1。
2、遍历防暴力破解日志的所有字段，每个字段对应写入一到两条日志，日志的时间部分在time1~time2内部分在time2~time3内（time3大于time2），日志中只有一个字段存为str1，其他字段不为且不包含str1。
3、遍历防暴力破解日志的所有字段，每个字段对应写入一到两条日志，日志的时间部分在time1~time2内、部分在time2~time3内（time3大于time2），日志中只有一个字段存包含str1，其他字段不为且不包含str1。
4、使用模糊查询功能查询防暴力破解日志，过滤时间范围在time2~time3，日志内容为过滤条件为str1。【check1】【check2】【check3】</t>
  </si>
  <si>
    <t>1、【check1】查询到的日志数量正确，选取首尾和随机条的所有字段正确。
2、【check2】可以查到时间范围在time2~time3内，源地址，源端口，目的地址，目的端口，协议，配置名称，服务字段包含str1的日志。
3、【check3】不能查到时间范围在time2~time3内，非源地址，源端口，目的地址，目的端口，协议，配置名称，服务字段包含为str1的日志</t>
  </si>
  <si>
    <t>log.logmng.fliter.fuzzy.ptc10</t>
  </si>
  <si>
    <t>1、向防火墙的日志侦听端口写入一条弱密码日志，该日志的时间为任意有效时间time1~time2内，其他非时间为任意字符串str1。
2、遍历弱密码日志的所有字段，每个字段对应写入一到两条日志，日志的时间部分在time1~time2内部分在time2~time3内（time3大于time2），日志中只有一个字段存为str1，其他字段不为且不包含str1。
3、遍历弱密码日志的所有字段，每个字段对应写入一到两条日志，日志的时间部分在time1~time2内、部分在time2~time3内（time3大于time2），日志中只有一个字段存包含str1，其他字段不为且不包含str1。
4、使用模糊查询功能查询弱密码日志，过滤时间范围在time2~time3，日志内容为过滤条件为str1。【check1】【check2】【check3】</t>
  </si>
  <si>
    <t>1、【check1】查询到的日志数量正确，选取首尾和随机条的所有字段正确。
2、【check2】可以查到时间范围在time2~time3内，源地址，源端口，目的地址，目的端口，协议，配置名称字段包含str1的日志。
3、【check3】不能查到时间范围在time2~time3内，非源地址，源端口，目的地址，目的端口，协议，配置名称字段包含为str1的日志</t>
  </si>
  <si>
    <t>log.logmng.fliter.fuzzy.ptc11</t>
  </si>
  <si>
    <t>1、向防火墙的日志侦听端口写入一条控制策略阻断日志，该日志的时间为任意有效时间time1~time2内，其他非时间为任意字符串str1。
2、遍历控制策略阻断日志的所有字段，每个字段对应写入一到两条日志，日志的时间部分在time1~time2内部分在time2~time3内（time3大于time2），日志中只有一个字段存为str1，其他字段不为且不包含str1。
3、遍历控制策略阻断日志的所有字段，每个字段对应写入一到两条日志，日志的时间部分在time1~time2内、部分在time2~time3内（time3大于time2），日志中只有一个字段存包含str1，其他字段不为且不包含str1。
4、使用模糊查询功能查询控制策略阻断日志，过滤时间范围在time2~time3，日志内容为过滤条件为str1。【check1】【check2】【check3】</t>
  </si>
  <si>
    <t>1、【check1】查询到的日志数量正确，选取首尾和随机条的所有字段正确。
2、【check2】可以查到时间范围在time2~time3内，源地址，源端口，目的地址，目的端口，协议，应用字段包含str1的日志。
3、【check3】不能查到时间范围在time2~time3内，非源地址，源端口，目的地址，目的端口，协议，应用字段包含为str1的日志</t>
  </si>
  <si>
    <t>log.logmng.fliter.fuzzy.ptc12</t>
  </si>
  <si>
    <t>1、向防火墙的日志侦听端口写入一条本地控制策略日志，该日志的时间为任意有效时间time1~time2内，其他非时间为任意字符串str1。
2、遍历本地控制策略日志的所有字段，每个字段对应写入一到两条日志，日志的时间部分在time1~time2内部分在time2~time3内（time3大于time2），日志中只有一个字段存为str1，其他字段不为且不包含str1。
3、遍历本地控制策略日志的所有字段，每个字段对应写入一到两条日志，日志的时间部分在time1~time2内、部分在time2~time3内（time3大于time2），日志中只有一个字段存包含str1，其他字段不为且不包含str1。
4、使用模糊查询功能查询本地控制策略日志，过滤时间范围在time2~time3，日志内容为过滤条件为str1。【check1】【check2】【check3】</t>
  </si>
  <si>
    <t>1、【check1】查询到的日志数量正确，选取首尾和随机条的所有字段正确。
2、【check2】可以查到时间范围在time2~time3内，源地址，源端口，目的地址，目的端口，协议字段包含str1的日志。
3、【check3】不能查到时间范围在time2~time3内，非源地址，源端口，目的地址，目的端口，协议字段包含为str1的日志</t>
  </si>
  <si>
    <t>log.logmng.fliter.fuzzy.ptc13</t>
  </si>
  <si>
    <t>1、向防火墙的日志侦听端口写入一条单包防护日志，该日志的时间为任意有效时间time1~time2内，其他非时间为任意字符串str1。
2、遍历单包防护日志的所有字段，每个字段对应写入一到两条日志，日志的时间部分在time1~time2内部分在time2~time3内（time3大于time2），日志中只有一个字段存为str1，其他字段不为且不包含str1。
3、遍历单包防护日志的所有字段，每个字段对应写入一到两条日志，日志的时间部分在time1~time2内、部分在time2~time3内（time3大于time2），日志中只有一个字段存包含str1，其他字段不为且不包含str1。
4、使用模糊查询功能查询单包防护日志，过滤时间范围在time2~time3，日志内容为过滤条件为str1。【check1】【check2】【check3】</t>
  </si>
  <si>
    <t>1、【check1】查询到的日志数量正确，选取首尾和随机条的所有字段正确。
2、【check2】可以查到时间范围在time2~time3内，源地址，源端口，目的地址，目的端口，协议，攻击类型字段包含str1的日志。
3、【check3】不能查到时间范围在time2~time3内，非源地址，源端口，目的地址，目的端口，协议，攻击类型字段包含为str1的日志</t>
  </si>
  <si>
    <t>log.logmng.fliter.fuzzy.ptc14</t>
  </si>
  <si>
    <t>1、向防火墙的日志侦听端口写入一条Flood攻击日志，该日志的时间为任意有效时间time1~time2内，其他非时间为任意字符串str1。
2、遍历Flood攻击日志的所有字段，每个字段对应写入一到两条日志，日志的时间部分在time1~time2内部分在time2~time3内（time3大于time2），日志中只有一个字段存为str1，其他字段不为且不包含str1。
3、遍历Flood攻击日志的所有字段，每个字段对应写入一到两条日志，日志的时间部分在time1~time2内、部分在time2~time3内（time3大于time2），日志中只有一个字段存包含str1，其他字段不为且不包含str1。
4、使用模糊查询功能查询Flood攻击日志，过滤时间范围在time2~time3，日志内容为过滤条件为str1。【check1】【check2】【check3】</t>
  </si>
  <si>
    <t>log.logmng.fliter.fuzzy.ptc15</t>
  </si>
  <si>
    <t>1、向防火墙的日志侦听端口写入一条黑白名单日志，该日志的时间为任意有效时间time1~time2内，其他非时间为任意字符串str1。
2、遍历黑白名单日志的所有字段，每个字段对应写入一到两条日志，日志的时间部分在time1~time2内部分在time2~time3内（time3大于time2），日志中只有一个字段存为str1，其他字段不为且不包含str1。
3、遍历黑白名单日志的所有字段，每个字段对应写入一到两条日志，日志的时间部分在time1~time2内、部分在time2~time3内（time3大于time2），日志中只有一个字段存包含str1，其他字段不为且不包含str1。
4、使用模糊查询功能查询黑白名单日志，过滤时间范围在time2~time3，日志内容为过滤条件为str1。【check1】【check2】【check3】</t>
  </si>
  <si>
    <t>1、【check1】查询到的日志数量正确，选取首尾和随机条的所有字段正确。
2、【check2】可以查到时间范围在time2~time3内，IP，日志描述字段包含str1的日志。
3、【check3】不能查到时间范围在time2~time3内，非IP，日志描述字段包含为str1的日志</t>
  </si>
  <si>
    <t>log.logmng.fliter.fuzzy.ptc16</t>
  </si>
  <si>
    <t>1、向防火墙的日志侦听端口写入一条EDR推广日志，该日志的时间为任意有效时间time1~time2内，其他非时间为任意字符串str1。
2、遍历EDR推广日志的所有字段，每个字段对应写入一到两条日志，日志的时间部分在time1~time2内部分在time2~time3内（time3大于time2），日志中只有一个字段存为str1，其他字段不为且不包含str1。
3、遍历EDR推广日志的所有字段，每个字段对应写入一到两条日志，日志的时间部分在time1~time2内、部分在time2~time3内（time3大于time2），日志中只有一个字段存包含str1，其他字段不为且不包含str1。
4、使用模糊查询功能查询EDR推广日志，过滤时间范围在time2~time3，日志内容为过滤条件为str1。【check1】【check2】【check3】</t>
  </si>
  <si>
    <t>log.logmng.fliter.fuzzy.ptc17</t>
  </si>
  <si>
    <t>1、向防火墙的日志侦听端口写入一条IPSecVPN日志，该日志的时间为任意有效时间time1~time2内，其他非时间为任意字符串str1。
2、遍历IPSecVPN日志的所有字段，每个字段对应写入一到两条日志，日志的时间部分在time1~time2内部分在time2~time3内（time3大于time2），日志中只有一个字段存为str1，其他字段不为且不包含str1。
3、遍历IPSecVPN日志的所有字段，每个字段对应写入一到两条日志，日志的时间部分在time1~time2内、部分在time2~time3内（time3大于time2），日志中只有一个字段存包含str1，其他字段不为且不包含str1。
4、使用模糊查询功能查询IPSecVPN日志，过滤时间范围在time2~time3，日志内容为过滤条件为str1。【check1】【check2】【check3】</t>
  </si>
  <si>
    <t>1、【check1】查询到的日志数量正确，选取首尾和随机条的所有字段正确。
2、【check2】可以查到时间范围在time2~time3内，时间，攻击类型，名称，本地网关，本地端口，对端网关，对端端口，源网络，目的网络，名称，日志描述字段包含str1的日志。
3、【check3】不能查到时间范围在time2~time3内，非时间，攻击类型，名称，本地网关，本地端口，对端网关，对端端口，源网络，目的网络，名称，日志描述字段包含为str1的日志</t>
  </si>
  <si>
    <t>log.logmng.fliter.time.ptc1.001</t>
  </si>
  <si>
    <t>1、向防火墙日志侦听端口写入至少3条系统日志，日志的时间在1h内
2、向防火墙日志侦听端口写入至少3条系统日志，日志的时间早于1h开始时间，至少3条晚于1h结束时间（可以晚于当前防火墙的系统时间）。
3、使用接口查询系统日志，过滤时间范围为1h内。【check1】【check3】
4、使用接口查询系统日志，过滤时间范围为all。【check1】【check3】</t>
  </si>
  <si>
    <t>1、【check1】仅能查询到1h内的日志
2、【check2】可以查询到所有日志
3、【check3】查询到的日志数量正确，选取首尾和随机条的所有字段正确。</t>
  </si>
  <si>
    <t>log.logmng.fliter.time.ptc2.001</t>
  </si>
  <si>
    <t>1、向防火墙日志侦听端口写入至少3条安全日志，日志的时间在24h内
2、向防火墙日志侦听端口写入至少3条安全日志，日志的时间早于24h开始时间，至少3条晚于24h结束时间（可以晚于当前防火墙的系统时间）。
3、使用接口查询安全日志，过滤时间范围为24h内。【check1】【check3】
4、使用接口查询安全日志，过滤时间范围为all。【check1】【check3】</t>
  </si>
  <si>
    <t>1、【check1】仅能查询到24h内的日志
2、【check2】可以查询到所有日志
3、【check3】查询到的日志数量正确，选取首尾和随机条的所有字段正确。</t>
  </si>
  <si>
    <t>log.logmng.fliter.time.ptc3.001</t>
  </si>
  <si>
    <t>1、向防火墙日志侦听端口写入至少3条控制策略阻断日志，日志的时间在7d内
2、向防火墙日志侦听端口写入至少3条控制策略阻断日志，日志的时间早于7d开始时间，至少3条晚于7d结束时间（可以晚于当前防火墙的系统时间）。
3、使用接口查询控制策略阻断日志，过滤时间范围为7d内。【check1】【check3】
4、使用接口查询控制策略阻断日志，过滤时间范围为all。【check1】【check3】</t>
  </si>
  <si>
    <t>1、【check1】仅能查询到7d内的日志
2、【check2】可以查询到所有日志
3、【check3】查询到的日志数量正确，选取首尾和随机条的所有字段正确。</t>
  </si>
  <si>
    <t>log.logmng.fliter.time.ptc4.001</t>
  </si>
  <si>
    <t>1、向防火墙日志侦听端口写入至少3条黑白名单日志，日志的时间在1m(月)内
2、向防火墙日志侦听端口写入至少3条黑白名单日志，日志的时间早于1m(月)开始时间，至少3条晚于1m(月)结束时间（可以晚于当前防火墙的系统时间）。
3、使用接口查询黑白名单日志，过滤时间范围为1m(月)内。【check1】【check3】
4、使用接口查询黑白名单日志，过滤时间范围为all。【check1】【check3】</t>
  </si>
  <si>
    <t>1、【check1】仅能查询到1m(月)内的日志
2、【check2】可以查询到所有日志
3、【check3】查询到的日志数量正确，选取首尾和随机条的所有字段正确。</t>
  </si>
  <si>
    <t>log.logmng.fliter.time.ptc5.001</t>
  </si>
  <si>
    <t>1、向防火墙日志侦听端口写入至少3条IPSecVPN日志，日志的时间在自定义内
2、向防火墙日志侦听端口写入至少3条IPSecVPN日志，日志的时间早于自定义开始时间，至少3条晚于自定义结束时间（可以晚于当前防火墙的系统时间）。
3、使用接口查询IPSecVPN日志，过滤时间范围为自定义内。【check1】【check3】
4、使用接口查询IPSecVPN日志，过滤时间范围为all。【check1】【check3】</t>
  </si>
  <si>
    <t>1、【check1】仅能查询到自定义内的日志
2、【check2】可以查询到所有日志
3、【check3】查询到的日志数量正确，选取首尾和随机条的所有字段正确。</t>
  </si>
  <si>
    <t>log.logmng.fliter.systime.ptc1</t>
  </si>
  <si>
    <t>日志归并</t>
    <phoneticPr fontId="16" type="noConversion"/>
  </si>
  <si>
    <t>log.logmng.merge.ptc1.001</t>
  </si>
  <si>
    <t>1、开启日志归并，配置日志归并时间为10~60之间的随机值t秒
2、清空入侵防御日志，并查询日志。【check1】
3、在t秒时间内向防火墙的日志侦听端口写入2~200之间任意值n条入侵防御日志，日志除了时间其他内容完全相同
4、使用接口查询入侵防御日志【check2】</t>
  </si>
  <si>
    <t>1、【check1】查询到的日志为空
2、【check2】仅查询到1条入侵防御日志，该日志的攻击次数或者出现次数为n</t>
  </si>
  <si>
    <t>log.logmng.merge.ptc1.002</t>
  </si>
  <si>
    <t>1、开启日志归并，配置日志归并时间为10~60之间的随机值t秒
2、清空防病毒日志，并查询日志。【check1】
3、在t秒时间内向防火墙的日志侦听端口写入2~200之间任意值n条防病毒日志，日志除了时间其他内容完全相同
4、使用接口查询防病毒日志【check2】</t>
  </si>
  <si>
    <t>1、【check1】查询到的日志为空
2、【check2】仅查询到1条防病毒日志，该日志的攻击次数或者出现次数为n</t>
  </si>
  <si>
    <t>log.logmng.merge.ptc1.003</t>
  </si>
  <si>
    <t>1、开启日志归并，配置日志归并时间为10~60之间的随机值t秒
2、清空内容过滤日志，并查询日志。【check1】
3、在t秒时间内向防火墙的日志侦听端口写入2~200之间任意值n条内容过滤日志，日志除了时间其他内容完全相同
4、使用接口查询内容过滤日志【check2】</t>
  </si>
  <si>
    <t>1、【check1】查询到的日志为空
2、【check2】仅查询到1条内容过滤日志，该日志的攻击次数或者出现次数为n</t>
  </si>
  <si>
    <t>log.logmng.merge.ptc1.004</t>
  </si>
  <si>
    <t>1、开启日志归并，配置日志归并时间为10~60之间的随机值t秒
2、清空URL过滤日志，并查询日志。【check1】
3、在t秒时间内向防火墙的日志侦听端口写入2~200之间任意值n条URL过滤日志，日志除了时间其他内容完全相同
4、使用接口查询URL过滤日志【check2】</t>
  </si>
  <si>
    <t>1、【check1】查询到的日志为空
2、【check2】仅查询到1条URL过滤日志，该日志的攻击次数或者出现次数为n</t>
  </si>
  <si>
    <t>log.logmng.merge.ptc1.005</t>
  </si>
  <si>
    <t>1、开启日志归并，配置日志归并时间为10~60之间的随机值t秒
2、清空文件过滤日志，并查询日志。【check1】
3、在t秒时间内向防火墙的日志侦听端口写入2~200之间任意值n条文件过滤日志，日志除了时间其他内容完全相同
4、使用接口查询文件过滤日志【check2】</t>
  </si>
  <si>
    <t>1、【check1】查询到的日志为空
2、【check2】仅查询到1条文件过滤日志，该日志的攻击次数或者出现次数为n</t>
  </si>
  <si>
    <t>log.logmng.merge.ptc1.006</t>
  </si>
  <si>
    <t>1、开启日志归并，配置日志归并时间为10~60之间的随机值t秒
2、清空WEB防护日志，并查询日志。【check1】
3、在t秒时间内向防火墙的日志侦听端口写入2~200之间任意值n条WEB防护日志，日志除了时间其他内容完全相同
4、使用接口查询WEB防护日志【check2】</t>
  </si>
  <si>
    <t>1、【check1】查询到的日志为空
2、【check2】仅查询到1条WEB防护日志，该日志的攻击次数或者出现次数为n</t>
  </si>
  <si>
    <t>log.logmng.merge.ptc1.007</t>
  </si>
  <si>
    <t>1、开启日志归并，配置日志归并时间为10~60之间的随机值t秒
2、清空弱密码日志，并查询日志。【check1】
3、在t秒时间内向防火墙的日志侦听端口写入2~200之间任意值n条弱密码日志，日志除了时间其他内容完全相同
4、使用接口查询弱密码日志【check2】</t>
  </si>
  <si>
    <t>1、【check1】查询到的日志为空
2、【check2】仅查询到1条弱密码日志，该日志的攻击次数或者出现次数为n</t>
  </si>
  <si>
    <t>log.logmng.merge.ptc1.008</t>
  </si>
  <si>
    <t>1、开启日志归并，配置日志归并时间为10~60之间的随机值t秒
2、清空防暴力破解日志，并查询日志。【check1】
3、在t秒时间内向防火墙的日志侦听端口写入2~200之间任意值n条防暴力破解日志，日志除了时间其他内容完全相同
4、使用接口查询防暴力破解日志【check2】</t>
  </si>
  <si>
    <t>1、【check1】查询到的日志为空
2、【check2】仅查询到1条防暴力破解日志，该日志的攻击次数或者出现次数为n</t>
  </si>
  <si>
    <t>log.logmng.merge.ptc1.009</t>
  </si>
  <si>
    <t>1、开启日志归并，配置日志归并时间为10~60之间的随机值t秒
2、清空单包防护日志，并查询日志。【check1】
3、在t秒时间内向防火墙的日志侦听端口写入2~200之间任意值n条单包防护日志，日志除了时间其他内容完全相同
4、使用接口查询单包防护日志【check2】</t>
  </si>
  <si>
    <t>1、【check1】查询到的日志为空
2、【check2】仅查询到1条单包防护日志，该日志的攻击次数或者出现次数为n</t>
  </si>
  <si>
    <t>log.logmng.merge.ptc1.010</t>
  </si>
  <si>
    <t>1、开启日志归并，配置日志归并时间为10~60之间的随机值t秒
2、清空Flood攻击日志，并查询日志。【check1】
3、在t秒时间内向防火墙的日志侦听端口写入2~200之间任意值n条Flood攻击日志，日志除了时间其他内容完全相同
4、使用接口查询Flood攻击日志【check2】</t>
  </si>
  <si>
    <t>1、【check1】查询到的日志为空
2、【check2】仅查询到1条Flood攻击日志，该日志的攻击次数或者出现次数为n</t>
  </si>
  <si>
    <t>log.logmng.merge.porid.min.ptc1.001</t>
  </si>
  <si>
    <t>1、开启日志归并，配置日志归并时间为最小值（10s）
2、清空${有效日志类型}，并查询日志。【check1】
3、在最小值（10s）内向防火墙的日志侦听端口写入2~200之间任意值n1条入侵防御日志，日志的除了时间，其他内容完全相同。
4、使用接口查询入侵防御日志【check2】
5、等待1~3之间非整数倍的归并周期，后再最小值（10s）内向向防火墙的日志侦听端口写入2~200之间任意值n2条入侵防御日志，日志的除了时间，其他内容完全相同。【check3】</t>
  </si>
  <si>
    <t>1、【check1】查询到的日志为空
2、【check2】仅查询到1条${有效日志类型}，该日志的攻击次数或者出现次数为n1
3、【check3】仅查询到2条${有效日志类型}，第二条日志的攻击次数或者出现次数为n2</t>
  </si>
  <si>
    <t>log.logmng.merge.porid.min.ptc2.001</t>
  </si>
  <si>
    <t>1、开启日志归并，配置日志归并时间为默认值（60s）
2、清空${有效日志类型}，并查询日志。【check1】
3、在默认值（60s）内向防火墙的日志侦听端口写入2~200之间任意值n1条防病毒日志，日志的除了时间，其他内容完全相同。
4、使用接口查询防病毒日志【check2】
5、等待1~3之间非整数倍的归并周期，后再默认值（60s）内向向防火墙的日志侦听端口写入2~200之间任意值n2条防病毒日志，日志的除了时间，其他内容完全相同。【check3】</t>
  </si>
  <si>
    <t>log.logmng.merge.porid.max.ptc1.001</t>
  </si>
  <si>
    <t>1、开启日志归并，配置日志归并时间为最大值（300s）
2、清空${有效日志类型}，并查询日志。【check1】
3、在最大值（300s）内向防火墙的日志侦听端口写入2~200之间任意值n1条单包防护日志，日志的除了时间，其他内容完全相同。
4、使用接口查询单包防护日志【check2】
5、等待1~3之间非整数倍的归并周期，后再最大值（300s）内向向防火墙的日志侦听端口写入2~200之间任意值n2条单包防护日志，日志的除了时间，其他内容完全相同。【check3】</t>
  </si>
  <si>
    <t>log.logmng.merge.porid.max.ptc2.001</t>
  </si>
  <si>
    <t>1、开启日志归并，配置日志归并时间为随机值（11~299s）
2、清空${有效日志类型}，并查询日志。【check1】
3、在随机值（11~299s）内向防火墙的日志侦听端口写入2~200之间任意值n1条WEB防护日志，日志的除了时间，其他内容完全相同。
4、使用接口查询WEB防护日志【check2】
5、等待1~3之间非整数倍的归并周期，后再随机值（11~299s）内向向防火墙的日志侦听端口写入2~200之间任意值n2条WEB防护日志，日志的除了时间，其他内容完全相同。【check3】</t>
  </si>
  <si>
    <t>log.logmng.merge.systime.ptc1</t>
  </si>
  <si>
    <t>1、开启日志归并，配置日志归并周期为120~300之间任意值t
2、选择入侵防御日志中任意日志，向日志侦听端口写入选择的日志，时间为当前系统时间，日志条数1~100之间任意值n1，除了时间其他字段全部相同。
3、在日志归并周期到期前修改系统时间
4、向日志侦听端口写入步骤2的日志，除了系统时间为修改系统时间后的当前时间之外，其他内容都相同，日志条数为1~100之间任意值n2。
5、等待日志归并周期后，使用接口查询所有的该日志。【check1】</t>
  </si>
  <si>
    <t>1、【check1】产生两条日志，其中条产生时间为修改前的系统时间，攻击次数或者出现次数为n1。其中一条为修改后的系统时间，攻击次数为n2</t>
    <phoneticPr fontId="16" type="noConversion"/>
  </si>
  <si>
    <t>log.logmng.merge.multi.records.ptc1</t>
  </si>
  <si>
    <t>1、开启日志归并，配置日志归并周期为10~15s任意值t
2、选择入侵防御日志中任意日志，除了时间和攻击次数（出现次数）以外，为每个字段构造一条日志，该日志仅该字段不相同以外，其他字段均相同。
3、在t秒内，向防火墙日志侦听端口同时写入选出的日志类型和日志种类，每种日志类型的条数为1~100的随机值且都不相同。
4、在t秒之后查询选取的日志类型【check2】</t>
  </si>
  <si>
    <t>1、【check1】所的在t秒内只有一条日志，每种日志只生成了一条日志。日志的内容全部正确
2、【check2】每种日志的攻击次数或者出现次数与写入的该种日志的数量相同</t>
    <phoneticPr fontId="16" type="noConversion"/>
  </si>
  <si>
    <t>log.logmng.merge.multi.logs.ptc1</t>
  </si>
  <si>
    <t>1、开启日志归并，配置日志归并周期为10~15s任意值t
2、清空入侵防御日志，并查询日志。【check1】
3、在t秒内，向防火墙日志侦听端口同时写入入侵防御日志，每种日志类型的条数为1~100的随机值且都不相同，同一日志的内容除了时间，其他内容完全相同。
4、在t秒之后查询入侵防御日志【check2】</t>
  </si>
  <si>
    <t>1、【check1】查询到的日志为空
2、【check2】入侵防御日志的在t秒内只有一条日志，日志的攻击或者出现次数与写入日志条数相同</t>
    <phoneticPr fontId="16" type="noConversion"/>
  </si>
  <si>
    <t>log.logmng.merge.close.ptc1</t>
  </si>
  <si>
    <t>1、关闭日志归并
2、向防火墙日志侦听端口写入入侵防御日志，每种日志1~100条，除了时间其他内容完全相同。
3、使用接口查看入侵防御日志。【check1】【check2】</t>
  </si>
  <si>
    <t>log.logmng.merge.fatigue.switch.ptc1</t>
  </si>
  <si>
    <t>1、向防火墙日志侦听端口持续写入入侵防御日志
2、不修改日志归并周期，反复修改开启关闭日志归并 200次以上，
3、停止持续写入日志，等待日志归并周期时间，后查看入侵防御日志【check1】
4、在日志归并周期内向防火墙日志侦听端口同时写入入侵防御日志，日志数量为1~10的随机值。
5、等待日志归并周期后，查看入侵防御日志。【check2】</t>
  </si>
  <si>
    <t>1、【check1】所有日志正确记录
2、【check2】入侵防御日志的在日志归并周期内只有一条日志，日志的攻击或者出现次数与写入日志条数相同</t>
  </si>
  <si>
    <t>log.logmng.merge.fatigue.porid.ptc1</t>
  </si>
  <si>
    <t>1、向防火墙日志侦听端口持续写入入侵防御日志
2、保持日志归并开启，反复修改日志归并周期200次以上，
3、停止持续写入日志，等待日志归并周期时间，后查看入侵防御日志【check1】
4、在日志归并周期内向防火墙日志侦听端口同时写入入侵防御日志，日志数量为1~10的随机值。
5、等待日志归并周期后，查看入侵防御日志。【check2】</t>
  </si>
  <si>
    <t>日志清理</t>
    <phoneticPr fontId="16" type="noConversion"/>
  </si>
  <si>
    <t>验证系统日志满规格时清理日志功能</t>
  </si>
  <si>
    <t>log.logmng.capacity.clear.ptc1.001</t>
  </si>
  <si>
    <t>1、向防火墙的日志侦听端口持续系统日志，日志的产生时间为当前日期0点之前，日志数量大于日志规格的20%
2、下载最新的日志备份文件
3、向防火墙的日志侦听端口持续写入系统日志，日志的产生时间为当天，直到日志数量达到防火墙系统日志的规格。（该时间段的日志数量小于日志容量的80%）
4、使用日志接口查询系统日志，观察日志。【check1】
5、下载最新的日志备份文件，并与步骤3下载的文件对比。【check2】【check3】</t>
  </si>
  <si>
    <t>1、【check1】日志产生时间最早的20%的日志被清理掉。
2、【check2】日志备份文件没有任何变化
3、【check3】不会生成时间戳为系统时间后一天的日志备份文件</t>
  </si>
  <si>
    <t>验证防病毒日志满规格时清理日志功能</t>
  </si>
  <si>
    <t>log.logmng.capacity.clear.ptc2.001</t>
  </si>
  <si>
    <t>1、向防火墙的日志侦听端口持续防病毒日志，日志的产生时间为当前日期0点之前，日志数量大于日志规格的20%
2、下载最新的日志备份文件
3、向防火墙的日志侦听端口持续写入防病毒日志，日志的产生时间为当天，直到日志数量达到防火墙防病毒日志的规格。（该时间段的日志数量小于日志容量的80%）
4、使用日志接口查询防病毒日志，观察日志。【check1】
5、下载最新的日志备份文件，并与步骤3下载的文件对比。【check2】【check3】</t>
  </si>
  <si>
    <t>验证URL过滤日志满规格时清理日志功能</t>
  </si>
  <si>
    <t>log.logmng.capacity.clear.ptc3.001</t>
  </si>
  <si>
    <t>1、向防火墙的日志侦听端口持续URL过滤日志，日志的产生时间为当前日期0点之前，日志数量大于日志规格的20%
2、下载最新的日志备份文件
3、向防火墙的日志侦听端口持续写入URL过滤日志，日志的产生时间为当天，直到日志数量达到防火墙URL过滤日志的规格。（该时间段的日志数量小于日志容量的80%）
4、使用日志接口查询URL过滤日志，观察日志。【check1】
5、下载最新的日志备份文件，并与步骤3下载的文件对比。【check2】【check3】</t>
  </si>
  <si>
    <t>验证弱密码日志满规格时清理日志功能</t>
  </si>
  <si>
    <t>log.logmng.capacity.clear.ptc4.001</t>
  </si>
  <si>
    <t>1、向防火墙的日志侦听端口持续弱密码日志，日志的产生时间为当前日期0点之前，日志数量大于日志规格的20%
2、下载最新的日志备份文件
3、向防火墙的日志侦听端口持续写入弱密码日志，日志的产生时间为当天，直到日志数量达到防火墙弱密码日志的规格。（该时间段的日志数量小于日志容量的80%）
4、使用日志接口查询弱密码日志，观察日志。【check1】
5、下载最新的日志备份文件，并与步骤3下载的文件对比。【check2】【check3】</t>
  </si>
  <si>
    <t>验证单包防护日志满规格时清理日志功能</t>
  </si>
  <si>
    <t>log.logmng.capacity.clear.ptc5.001</t>
  </si>
  <si>
    <t>1、向防火墙的日志侦听端口持续单包防护日志，日志的产生时间为当前日期0点之前，日志数量大于日志规格的20%
2、下载最新的日志备份文件
3、向防火墙的日志侦听端口持续写入单包防护日志，日志的产生时间为当天，直到日志数量达到防火墙单包防护日志的规格。（该时间段的日志数量小于日志容量的80%）
4、使用日志接口查询单包防护日志，观察日志。【check1】
5、下载最新的日志备份文件，并与步骤3下载的文件对比。【check2】【check3】</t>
  </si>
  <si>
    <t>验证EDR推广日志满规格时清理日志功能</t>
  </si>
  <si>
    <t>log.logmng.capacity.clear.ptc6.001</t>
  </si>
  <si>
    <t>1、向防火墙的日志侦听端口持续EDR推广日志，日志的产生时间为当前日期0点之前，日志数量大于日志规格的20%
2、下载最新的日志备份文件
3、向防火墙的日志侦听端口持续写入EDR推广日志，日志的产生时间为当天，直到日志数量达到防火墙EDR推广日志的规格。（该时间段的日志数量小于日志容量的80%）
4、使用日志接口查询EDR推广日志，观察日志。【check1】
5、下载最新的日志备份文件，并与步骤3下载的文件对比。【check2】【check3】</t>
  </si>
  <si>
    <t>验证操作日志满规格时清理且备份日志功能</t>
  </si>
  <si>
    <t>log.logmng.capacity.clear.backup.ptc1.001</t>
  </si>
  <si>
    <t>1、向防火墙的日志侦听端口持续操作日志，日志的产生时间为当前日期0点之前，日志数量小于日志规格的20%
2、向防火墙的日志侦听端口持续写入操作日志，日志的产生时间为当天，直到日志数量达到防火墙操作日志的规格。（该时间段的日志数量大于日志容量的80%）
3、使用日志接口查询操作日志，观察日志。【check1】
4、使用接口和后台查看操作日志备份文件列表【check2】
5、下载时戳为当前日志后一天的日志文件，查看日志文件内容【check3】</t>
  </si>
  <si>
    <t>验证内容过滤日志满规格时清理且备份日志功能</t>
  </si>
  <si>
    <t>log.logmng.capacity.clear.backup.ptc2.001</t>
  </si>
  <si>
    <t>1、向防火墙的日志侦听端口持续内容过滤日志，日志的产生时间为当前日期0点之前，日志数量小于日志规格的20%
2、向防火墙的日志侦听端口持续写入内容过滤日志，日志的产生时间为当天，直到日志数量达到防火墙内容过滤日志的规格。（该时间段的日志数量大于日志容量的80%）
3、使用日志接口查询内容过滤日志，观察日志。【check1】
4、使用接口和后台查看内容过滤日志备份文件列表【check2】
5、下载时戳为当前日志后一天的日志文件，查看日志文件内容【check3】</t>
  </si>
  <si>
    <t>验证WEB防护日志满规格时清理且备份日志功能</t>
  </si>
  <si>
    <t>log.logmng.capacity.clear.backup.ptc3.001</t>
  </si>
  <si>
    <t>1、向防火墙的日志侦听端口持续WEB防护日志，日志的产生时间为当前日期0点之前，日志数量小于日志规格的20%
2、向防火墙的日志侦听端口持续写入WEB防护日志，日志的产生时间为当天，直到日志数量达到防火墙WEB防护日志的规格。（该时间段的日志数量大于日志容量的80%）
3、使用日志接口查询WEB防护日志，观察日志。【check1】
4、使用接口和后台查看WEB防护日志备份文件列表【check2】
5、下载时戳为当前日志后一天的日志文件，查看日志文件内容【check3】</t>
  </si>
  <si>
    <t>验证Flood攻击日志满规格时清理且备份日志功能</t>
  </si>
  <si>
    <t>log.logmng.capacity.clear.backup.ptc4.001</t>
  </si>
  <si>
    <t>1、向防火墙的日志侦听端口持续Flood攻击日志，日志的产生时间为当前日期0点之前，日志数量小于日志规格的20%
2、向防火墙的日志侦听端口持续写入Flood攻击日志，日志的产生时间为当天，直到日志数量达到防火墙Flood攻击日志的规格。（该时间段的日志数量大于日志容量的80%）
3、使用日志接口查询Flood攻击日志，观察日志。【check1】
4、使用接口和后台查看Flood攻击日志备份文件列表【check2】
5、下载时戳为当前日志后一天的日志文件，查看日志文件内容【check3】</t>
  </si>
  <si>
    <t>验证控制策略阻断日志满规格时清理且备份日志功能</t>
  </si>
  <si>
    <t>log.logmng.capacity.clear.backup.ptc5.001</t>
  </si>
  <si>
    <t>1、向防火墙的日志侦听端口持续控制策略阻断日志，日志的产生时间为当前日期0点之前，日志数量小于日志规格的20%
2、向防火墙的日志侦听端口持续写入控制策略阻断日志，日志的产生时间为当天，直到日志数量达到防火墙控制策略阻断日志的规格。（该时间段的日志数量大于日志容量的80%）
3、使用日志接口查询控制策略阻断日志，观察日志。【check1】
4、使用接口和后台查看控制策略阻断日志备份文件列表【check2】
5、下载时戳为当前日志后一天的日志文件，查看日志文件内容【check3】</t>
  </si>
  <si>
    <t>验证IPSecVPN日志满规格时清理且备份日志功能</t>
  </si>
  <si>
    <t>log.logmng.capacity.clear.backup.ptc6.001</t>
  </si>
  <si>
    <t>1、向防火墙的日志侦听端口持续IPSecVPN日志，日志的产生时间为当前日期0点之前，日志数量小于日志规格的20%
2、向防火墙的日志侦听端口持续写入IPSecVPN日志，日志的产生时间为当天，直到日志数量达到防火墙IPSecVPN日志的规格。（该时间段的日志数量大于日志容量的80%）
3、使用日志接口查询IPSecVPN日志，观察日志。【check1】
4、使用接口和后台查看IPSecVPN日志备份文件列表【check2】
5、下载时戳为当前日志后一天的日志文件，查看日志文件内容【check3】</t>
  </si>
  <si>
    <t>验证入侵防御日志满规格时清理且追加日志功能</t>
  </si>
  <si>
    <t>log.logmng.capacity.clear.append.ptc1.001</t>
  </si>
  <si>
    <t>1、构造入侵防御日志备份日志文件中，时戳为当前日期后一天的日志文件存在（在当天日志大于80%时触发超规格备份或者手工创建）
2、下载时戳为当前日志后一天的日志文件
3、向防火墙的日志侦听端口持续写入入侵防御日志，日志的产生时间为当天，直到日志数量达到防火墙入侵防御日志的规格。（需保证该时间段的日志数量大于日志容量的80%）
4、使用日志接口查询入侵防御日志，观察日志。【check1】
5、使用接口和后台查看入侵防御日志备份文件列表【check2】
6、下载时戳为当前日志后一天的日志文件，查看日志文件内容【check3】【check4】</t>
  </si>
  <si>
    <t>验证文件过滤日志满规格时清理且追加日志功能</t>
  </si>
  <si>
    <t>log.logmng.capacity.clear.append.ptc2.001</t>
  </si>
  <si>
    <t>1、构造文件过滤日志备份日志文件中，时戳为当前日期后一天的日志文件存在（在当天日志大于80%时触发超规格备份或者手工创建）
2、下载时戳为当前日志后一天的日志文件
3、向防火墙的日志侦听端口持续写入文件过滤日志，日志的产生时间为当天，直到日志数量达到防火墙文件过滤日志的规格。（需保证该时间段的日志数量大于日志容量的80%）
4、使用日志接口查询文件过滤日志，观察日志。【check1】
5、使用接口和后台查看文件过滤日志备份文件列表【check2】
6、下载时戳为当前日志后一天的日志文件，查看日志文件内容【check3】【check4】</t>
  </si>
  <si>
    <t>验证防暴力破解日志满规格时清理且追加日志功能</t>
  </si>
  <si>
    <t>log.logmng.capacity.clear.append.ptc3.001</t>
  </si>
  <si>
    <t>1、构造防暴力破解日志备份日志文件中，时戳为当前日期后一天的日志文件存在（在当天日志大于80%时触发超规格备份或者手工创建）
2、下载时戳为当前日志后一天的日志文件
3、向防火墙的日志侦听端口持续写入防暴力破解日志，日志的产生时间为当天，直到日志数量达到防火墙防暴力破解日志的规格。（需保证该时间段的日志数量大于日志容量的80%）
4、使用日志接口查询防暴力破解日志，观察日志。【check1】
5、使用接口和后台查看防暴力破解日志备份文件列表【check2】
6、下载时戳为当前日志后一天的日志文件，查看日志文件内容【check3】【check4】</t>
  </si>
  <si>
    <t>验证本地控制策略日志满规格时清理且追加日志功能</t>
  </si>
  <si>
    <t>log.logmng.capacity.clear.append.ptc4.001</t>
  </si>
  <si>
    <t>1、构造本地控制策略日志备份日志文件中，时戳为当前日期后一天的日志文件存在（在当天日志大于80%时触发超规格备份或者手工创建）
2、下载时戳为当前日志后一天的日志文件
3、向防火墙的日志侦听端口持续写入本地控制策略日志，日志的产生时间为当天，直到日志数量达到防火墙本地控制策略日志的规格。（需保证该时间段的日志数量大于日志容量的80%）
4、使用日志接口查询本地控制策略日志，观察日志。【check1】
5、使用接口和后台查看本地控制策略日志备份文件列表【check2】
6、下载时戳为当前日志后一天的日志文件，查看日志文件内容【check3】【check4】</t>
  </si>
  <si>
    <t>验证黑白名单日志满规格时清理且追加日志功能</t>
  </si>
  <si>
    <t>log.logmng.capacity.clear.append.ptc5.001</t>
  </si>
  <si>
    <t>1、构造黑白名单日志备份日志文件中，时戳为当前日期后一天的日志文件存在（在当天日志大于80%时触发超规格备份或者手工创建）
2、下载时戳为当前日志后一天的日志文件
3、向防火墙的日志侦听端口持续写入黑白名单日志，日志的产生时间为当天，直到日志数量达到防火墙黑白名单日志的规格。（需保证该时间段的日志数量大于日志容量的80%）
4、使用日志接口查询黑白名单日志，观察日志。【check1】
5、使用接口和后台查看黑白名单日志备份文件列表【check2】
6、下载时戳为当前日志后一天的日志文件，查看日志文件内容【check3】【check4】</t>
  </si>
  <si>
    <t>验证系统日志的清理功能</t>
  </si>
  <si>
    <t>log.logmng.clear.valid.ptc1.001</t>
  </si>
  <si>
    <t>1、向防火墙的日志侦听端口写入系统日志，数量为1~200条随机数n
2、使用日志查询接口查询系统日志，时间过滤条件为all。【check1】
3、使用接口清空全部系统日志
4、使用日志查询接口查询系统日志，时间过滤条件为all。【check2】</t>
  </si>
  <si>
    <t>1、【check1】查询到的日志数量大于等于n。
2、【check2】查询到的系统日志为空。</t>
  </si>
  <si>
    <t>验证入侵防御日志的清理功能</t>
  </si>
  <si>
    <t>log.logmng.clear.valid.ptc1.002</t>
  </si>
  <si>
    <t>1、向防火墙的日志侦听端口写入入侵防御日志，数量为1~200条随机数n
2、使用日志查询接口查询入侵防御日志，时间过滤条件为all。【check1】
3、使用接口清空全部入侵防御日志
4、使用日志查询接口查询入侵防御日志，时间过滤条件为all。【check2】</t>
  </si>
  <si>
    <t>1、【check1】查询到的日志数量大于等于n。
2、【check2】查询到的入侵防御日志为空。</t>
  </si>
  <si>
    <t>验证防病毒日志的清理功能</t>
  </si>
  <si>
    <t>log.logmng.clear.valid.ptc1.003</t>
  </si>
  <si>
    <t>1、向防火墙的日志侦听端口写入防病毒日志，数量为1~200条随机数n
2、使用日志查询接口查询防病毒日志，时间过滤条件为all。【check1】
3、使用接口清空全部防病毒日志
4、使用日志查询接口查询防病毒日志，时间过滤条件为all。【check2】</t>
  </si>
  <si>
    <t>1、【check1】查询到的日志数量大于等于n。
2、【check2】查询到的防病毒日志为空。</t>
  </si>
  <si>
    <t>验证内容过滤日志的清理功能</t>
  </si>
  <si>
    <t>log.logmng.clear.valid.ptc1.004</t>
  </si>
  <si>
    <t>1、向防火墙的日志侦听端口写入内容过滤日志，数量为1~200条随机数n
2、使用日志查询接口查询内容过滤日志，时间过滤条件为all。【check1】
3、使用接口清空全部内容过滤日志
4、使用日志查询接口查询内容过滤日志，时间过滤条件为all。【check2】</t>
  </si>
  <si>
    <t>1、【check1】查询到的日志数量大于等于n。
2、【check2】查询到的内容过滤日志为空。</t>
  </si>
  <si>
    <t>验证文件过滤日志的清理功能</t>
  </si>
  <si>
    <t>log.logmng.clear.valid.ptc1.005</t>
  </si>
  <si>
    <t>1、向防火墙的日志侦听端口写入文件过滤日志，数量为1~200条随机数n
2、使用日志查询接口查询文件过滤日志，时间过滤条件为all。【check1】
3、使用接口清空全部文件过滤日志
4、使用日志查询接口查询文件过滤日志，时间过滤条件为all。【check2】</t>
  </si>
  <si>
    <t>1、【check1】查询到的日志数量大于等于n。
2、【check2】查询到的文件过滤日志为空。</t>
  </si>
  <si>
    <t>验证URL过滤日志的清理功能</t>
  </si>
  <si>
    <t>log.logmng.clear.valid.ptc1.006</t>
  </si>
  <si>
    <t>1、向防火墙的日志侦听端口写入URL过滤日志，数量为1~200条随机数n
2、使用日志查询接口查询URL过滤日志，时间过滤条件为all。【check1】
3、使用接口清空全部URL过滤日志
4、使用日志查询接口查询URL过滤日志，时间过滤条件为all。【check2】</t>
  </si>
  <si>
    <t>1、【check1】查询到的日志数量大于等于n。
2、【check2】查询到的URL过滤日志为空。</t>
  </si>
  <si>
    <t>验证WEB防护日志的清理功能</t>
  </si>
  <si>
    <t>log.logmng.clear.valid.ptc1.007</t>
  </si>
  <si>
    <t>1、向防火墙的日志侦听端口写入WEB防护日志，数量为1~200条随机数n
2、使用日志查询接口查询WEB防护日志，时间过滤条件为all。【check1】
3、使用接口清空全部WEB防护日志
4、使用日志查询接口查询WEB防护日志，时间过滤条件为all。【check2】</t>
  </si>
  <si>
    <t>1、【check1】查询到的日志数量大于等于n。
2、【check2】查询到的WEB防护日志为空。</t>
  </si>
  <si>
    <t>验证防暴力破解日志的清理功能</t>
  </si>
  <si>
    <t>log.logmng.clear.valid.ptc1.008</t>
  </si>
  <si>
    <t>1、向防火墙的日志侦听端口写入防暴力破解日志，数量为1~200条随机数n
2、使用日志查询接口查询防暴力破解日志，时间过滤条件为all。【check1】
3、使用接口清空全部防暴力破解日志
4、使用日志查询接口查询防暴力破解日志，时间过滤条件为all。【check2】</t>
  </si>
  <si>
    <t>1、【check1】查询到的日志数量大于等于n。
2、【check2】查询到的防暴力破解日志为空。</t>
  </si>
  <si>
    <t>验证弱密码日志的清理功能</t>
  </si>
  <si>
    <t>log.logmng.clear.valid.ptc1.009</t>
  </si>
  <si>
    <t>1、向防火墙的日志侦听端口写入弱密码日志，数量为1~200条随机数n
2、使用日志查询接口查询弱密码日志，时间过滤条件为all。【check1】
3、使用接口清空全部弱密码日志
4、使用日志查询接口查询弱密码日志，时间过滤条件为all。【check2】</t>
  </si>
  <si>
    <t>1、【check1】查询到的日志数量大于等于n。
2、【check2】查询到的弱密码日志为空。</t>
  </si>
  <si>
    <t>验证控制策略阻断日志的清理功能</t>
  </si>
  <si>
    <t>log.logmng.clear.valid.ptc1.010</t>
  </si>
  <si>
    <t>1、向防火墙的日志侦听端口写入控制策略阻断日志，数量为1~200条随机数n
2、使用日志查询接口查询控制策略阻断日志，时间过滤条件为all。【check1】
3、使用接口清空全部控制策略阻断日志
4、使用日志查询接口查询控制策略阻断日志，时间过滤条件为all。【check2】</t>
  </si>
  <si>
    <t>1、【check1】查询到的日志数量大于等于n。
2、【check2】查询到的控制策略阻断日志为空。</t>
  </si>
  <si>
    <t>验证本地控制策略日志的清理功能</t>
  </si>
  <si>
    <t>log.logmng.clear.valid.ptc1.011</t>
  </si>
  <si>
    <t>1、向防火墙的日志侦听端口写入本地控制策略日志，数量为1~200条随机数n
2、使用日志查询接口查询本地控制策略日志，时间过滤条件为all。【check1】
3、使用接口清空全部本地控制策略日志
4、使用日志查询接口查询本地控制策略日志，时间过滤条件为all。【check2】</t>
  </si>
  <si>
    <t>1、【check1】查询到的日志数量大于等于n。
2、【check2】查询到的本地控制策略日志为空。</t>
  </si>
  <si>
    <t>验证单包防护日志的清理功能</t>
  </si>
  <si>
    <t>log.logmng.clear.valid.ptc1.012</t>
  </si>
  <si>
    <t>1、向防火墙的日志侦听端口写入单包防护日志，数量为1~200条随机数n
2、使用日志查询接口查询单包防护日志，时间过滤条件为all。【check1】
3、使用接口清空全部单包防护日志
4、使用日志查询接口查询单包防护日志，时间过滤条件为all。【check2】</t>
  </si>
  <si>
    <t>1、【check1】查询到的日志数量大于等于n。
2、【check2】查询到的单包防护日志为空。</t>
  </si>
  <si>
    <t>验证Flood攻击日志的清理功能</t>
  </si>
  <si>
    <t>log.logmng.clear.valid.ptc1.013</t>
  </si>
  <si>
    <t>1、向防火墙的日志侦听端口写入Flood攻击日志，数量为1~200条随机数n
2、使用日志查询接口查询Flood攻击日志，时间过滤条件为all。【check1】
3、使用接口清空全部Flood攻击日志
4、使用日志查询接口查询Flood攻击日志，时间过滤条件为all。【check2】</t>
  </si>
  <si>
    <t>1、【check1】查询到的日志数量大于等于n。
2、【check2】查询到的Flood攻击日志为空。</t>
  </si>
  <si>
    <t>验证黑白名单日志的清理功能</t>
  </si>
  <si>
    <t>log.logmng.clear.valid.ptc1.014</t>
  </si>
  <si>
    <t>1、向防火墙的日志侦听端口写入黑白名单日志，数量为1~200条随机数n
2、使用日志查询接口查询黑白名单日志，时间过滤条件为all。【check1】
3、使用接口清空全部黑白名单日志
4、使用日志查询接口查询黑白名单日志，时间过滤条件为all。【check2】</t>
  </si>
  <si>
    <t>1、【check1】查询到的日志数量大于等于n。
2、【check2】查询到的黑白名单日志为空。</t>
  </si>
  <si>
    <t>验证EDR推广日志的清理功能</t>
  </si>
  <si>
    <t>log.logmng.clear.valid.ptc1.015</t>
  </si>
  <si>
    <t>1、向防火墙的日志侦听端口写入EDR推广日志，数量为1~200条随机数n
2、使用日志查询接口查询EDR推广日志，时间过滤条件为all。【check1】
3、使用接口清空全部EDR推广日志
4、使用日志查询接口查询EDR推广日志，时间过滤条件为all。【check2】</t>
  </si>
  <si>
    <t>1、【check1】查询到的日志数量大于等于n。
2、【check2】查询到的EDR推广日志为空。</t>
  </si>
  <si>
    <t>验证IPSecVPN日志的清理功能</t>
  </si>
  <si>
    <t>log.logmng.clear.valid.ptc1.016</t>
  </si>
  <si>
    <t>1、向防火墙的日志侦听端口写入IPSecVPN日志，数量为1~200条随机数n
2、使用日志查询接口查询IPSecVPN日志，时间过滤条件为all。【check1】
3、使用接口清空全部IPSecVPN日志
4、使用日志查询接口查询IPSecVPN日志，时间过滤条件为all。【check2】</t>
  </si>
  <si>
    <t>1、【check1】查询到的日志数量大于等于n。
2、【check2】查询到的IPSecVPN日志为空。</t>
  </si>
  <si>
    <t>验证操作日志的清理功能</t>
  </si>
  <si>
    <t>log.logmng.clear.invalid.ptc1</t>
  </si>
  <si>
    <t>1、向防火墙的日志侦听端口写入操作日志，数量为1~200条随机数n
2、使用日志查询接口查询操作日志，时间过滤条件为all。【check1】
3、使用接口清空全部操作日志，接口为/deletelog?logtype=operationlog。【check3】
4、使用日志查询接口查询操作日志，时间过滤条件为all。【check2】</t>
  </si>
  <si>
    <t>日志备份</t>
    <phoneticPr fontId="16" type="noConversion"/>
  </si>
  <si>
    <t>log.logmng.backup.new.ptc1.001</t>
  </si>
  <si>
    <t>1、构造系统日志备份日志文件中，时戳为当前日期的日志文件存在（在当天日志大于80%时触发超规格备份或者当前已触发自动备份或者手工创建）【check3】
2、下载当前日期的日志备份文件
3、向防火墙的日志侦听端口写入系统日志，日志的产生时间为当前日期的前一天0点到24点的日志，日志条数大100条。
4、向防火墙的日志侦听端口写入系统日志，日志的产生时间为当前日期的日志，日志条数大10条。
5、确认或者修改系统时间为凌晨3:29:59分，并且后台持续ll查看系统日志当天的日志备份文件大小有变化后
6、下载系统日志当天的日志备份文件，并与步骤2下载的文件对比。【check1】【check2】</t>
  </si>
  <si>
    <t>log.logmng.backup.new.ptc2.001</t>
  </si>
  <si>
    <t>1、构造入侵防御日志备份日志文件中，时戳为当前日期的日志文件存在（在当天日志大于80%时触发超规格备份或者当前已触发自动备份或者手工创建）【check3】
2、下载当前日期的日志备份文件
3、向防火墙的日志侦听端口写入入侵防御日志，日志的产生时间为当前日期的前一天0点到24点的日志，日志条数大100条。
4、向防火墙的日志侦听端口写入入侵防御日志，日志的产生时间为当前日期的日志，日志条数大10条。
5、确认或者修改系统时间为凌晨3:29:59分，并且后台持续ll查看入侵防御日志当天的日志备份文件大小有变化后
6、下载入侵防御日志当天的日志备份文件，并与步骤2下载的文件对比。【check1】【check2】</t>
  </si>
  <si>
    <t>log.logmng.backup.new.ptc3.001</t>
  </si>
  <si>
    <t>1、构造内容过滤日志备份日志文件中，时戳为当前日期的日志文件存在（在当天日志大于80%时触发超规格备份或者当前已触发自动备份或者手工创建）【check3】
2、下载当前日期的日志备份文件
3、向防火墙的日志侦听端口写入内容过滤日志，日志的产生时间为当前日期的前一天0点到24点的日志，日志条数大100条。
4、向防火墙的日志侦听端口写入内容过滤日志，日志的产生时间为当前日期的日志，日志条数大10条。
5、确认或者修改系统时间为凌晨3:29:59分，并且后台持续ll查看内容过滤日志当天的日志备份文件大小有变化后
6、下载内容过滤日志当天的日志备份文件，并与步骤2下载的文件对比。【check1】【check2】</t>
  </si>
  <si>
    <t>log.logmng.backup.new.ptc4.001</t>
  </si>
  <si>
    <t>1、构造URL过滤日志备份日志文件中，时戳为当前日期的日志文件存在（在当天日志大于80%时触发超规格备份或者当前已触发自动备份或者手工创建）【check3】
2、下载当前日期的日志备份文件
3、向防火墙的日志侦听端口写入URL过滤日志，日志的产生时间为当前日期的前一天0点到24点的日志，日志条数大100条。
4、向防火墙的日志侦听端口写入URL过滤日志，日志的产生时间为当前日期的日志，日志条数大10条。
5、确认或者修改系统时间为凌晨3:29:59分，并且后台持续ll查看URL过滤日志当天的日志备份文件大小有变化后
6、下载URL过滤日志当天的日志备份文件，并与步骤2下载的文件对比。【check1】【check2】</t>
  </si>
  <si>
    <t>log.logmng.backup.new.ptc5.001</t>
  </si>
  <si>
    <t>1、构造防暴力破解日志备份日志文件中，时戳为当前日期的日志文件存在（在当天日志大于80%时触发超规格备份或者当前已触发自动备份或者手工创建）【check3】
2、下载当前日期的日志备份文件
3、向防火墙的日志侦听端口写入防暴力破解日志，日志的产生时间为当前日期的前一天0点到24点的日志，日志条数大100条。
4、向防火墙的日志侦听端口写入防暴力破解日志，日志的产生时间为当前日期的日志，日志条数大10条。
5、确认或者修改系统时间为凌晨3:29:59分，并且后台持续ll查看防暴力破解日志当天的日志备份文件大小有变化后
6、下载防暴力破解日志当天的日志备份文件，并与步骤2下载的文件对比。【check1】【check2】</t>
  </si>
  <si>
    <t>log.logmng.backup.new.ptc6.001</t>
  </si>
  <si>
    <t>1、构造控制策略阻断日志备份日志文件中，时戳为当前日期的日志文件存在（在当天日志大于80%时触发超规格备份或者当前已触发自动备份或者手工创建）【check3】
2、下载当前日期的日志备份文件
3、向防火墙的日志侦听端口写入控制策略阻断日志，日志的产生时间为当前日期的前一天0点到24点的日志，日志条数大100条。
4、向防火墙的日志侦听端口写入控制策略阻断日志，日志的产生时间为当前日期的日志，日志条数大10条。
5、确认或者修改系统时间为凌晨3:29:59分，并且后台持续ll查看控制策略阻断日志当天的日志备份文件大小有变化后
6、下载控制策略阻断日志当天的日志备份文件，并与步骤2下载的文件对比。【check1】【check2】</t>
  </si>
  <si>
    <t>log.logmng.backup.new.ptc7.001</t>
  </si>
  <si>
    <t>1、构造单包防护日志备份日志文件中，时戳为当前日期的日志文件存在（在当天日志大于80%时触发超规格备份或者当前已触发自动备份或者手工创建）【check3】
2、下载当前日期的日志备份文件
3、向防火墙的日志侦听端口写入单包防护日志，日志的产生时间为当前日期的前一天0点到24点的日志，日志条数大100条。
4、向防火墙的日志侦听端口写入单包防护日志，日志的产生时间为当前日期的日志，日志条数大10条。
5、确认或者修改系统时间为凌晨3:29:59分，并且后台持续ll查看单包防护日志当天的日志备份文件大小有变化后
6、下载单包防护日志当天的日志备份文件，并与步骤2下载的文件对比。【check1】【check2】</t>
  </si>
  <si>
    <t>log.logmng.backup.new.ptc8.001</t>
  </si>
  <si>
    <t>1、构造黑白名单日志备份日志文件中，时戳为当前日期的日志文件存在（在当天日志大于80%时触发超规格备份或者当前已触发自动备份或者手工创建）【check3】
2、下载当前日期的日志备份文件
3、向防火墙的日志侦听端口写入黑白名单日志，日志的产生时间为当前日期的前一天0点到24点的日志，日志条数大100条。
4、向防火墙的日志侦听端口写入黑白名单日志，日志的产生时间为当前日期的日志，日志条数大10条。
5、确认或者修改系统时间为凌晨3:29:59分，并且后台持续ll查看黑白名单日志当天的日志备份文件大小有变化后
6、下载黑白名单日志当天的日志备份文件，并与步骤2下载的文件对比。【check1】【check2】</t>
  </si>
  <si>
    <t>log.logmng.backup.new.ptc9.001</t>
  </si>
  <si>
    <t>1、构造IPSecVPN日志备份日志文件中，时戳为当前日期的日志文件存在（在当天日志大于80%时触发超规格备份或者当前已触发自动备份或者手工创建）【check3】
2、下载当前日期的日志备份文件
3、向防火墙的日志侦听端口写入IPSecVPN日志，日志的产生时间为当前日期的前一天0点到24点的日志，日志条数大100条。
4、向防火墙的日志侦听端口写入IPSecVPN日志，日志的产生时间为当前日期的日志，日志条数大10条。
5、确认或者修改系统时间为凌晨3:29:59分，并且后台持续ll查看IPSecVPN日志当天的日志备份文件大小有变化后
6、下载IPSecVPN日志当天的日志备份文件，并与步骤2下载的文件对比。【check1】【check2】</t>
  </si>
  <si>
    <t>log.logmng.backup.append.ptc1.001</t>
  </si>
  <si>
    <t>1、查看日志文件备份文件中不存在操作日志当天的日志备份文件（如果存在则删除）。
2、向防火墙的日志侦听端口写入操作日志，日志的产生时间为当前日期的前一天0点到24点的日志，日志条数大100条。
3、向防火墙的日志侦听端口写入操作日志，日志的产生时间为当前日期的日志，日志条数大10条。
4、修改系统时间为凌晨3:29:59分，并且后台持续ll查看操作日志当天的日志备份文件大小有变化后
5、下载操作日志当天的日志备份文件，并与步骤2下载的文件对比。【check1】【check2】</t>
  </si>
  <si>
    <t>1、【check1】系统系统会创建一个当前日期的日志备份文件，文件的名称正确，不存在词义错误和拼写错误。
2、【check2】系统会创建一个当前日志前一天产生的日志全部追加到日志备份文件中。且日志文件中不会存在其他日志和其他类型的日志。</t>
  </si>
  <si>
    <t>log.logmng.backup.append.ptc2.001</t>
  </si>
  <si>
    <t>1、查看日志文件备份文件中不存在防病毒日志当天的日志备份文件（如果存在则删除）。
2、向防火墙的日志侦听端口写入防病毒日志，日志的产生时间为当前日期的前一天0点到24点的日志，日志条数大100条。
3、向防火墙的日志侦听端口写入防病毒日志，日志的产生时间为当前日期的日志，日志条数大10条。
4、修改系统时间为凌晨3:29:59分，并且后台持续ll查看防病毒日志当天的日志备份文件大小有变化后
5、下载防病毒日志当天的日志备份文件，并与步骤2下载的文件对比。【check1】【check2】</t>
  </si>
  <si>
    <t>log.logmng.backup.append.ptc3.001</t>
  </si>
  <si>
    <t>1、查看日志文件备份文件中不存在文件过滤日志当天的日志备份文件（如果存在则删除）。
2、向防火墙的日志侦听端口写入文件过滤日志，日志的产生时间为当前日期的前一天0点到24点的日志，日志条数大100条。
3、向防火墙的日志侦听端口写入文件过滤日志，日志的产生时间为当前日期的日志，日志条数大10条。
4、修改系统时间为凌晨3:29:59分，并且后台持续ll查看文件过滤日志当天的日志备份文件大小有变化后
5、下载文件过滤日志当天的日志备份文件，并与步骤2下载的文件对比。【check1】【check2】</t>
  </si>
  <si>
    <t>log.logmng.backup.append.ptc4.001</t>
  </si>
  <si>
    <t>1、查看日志文件备份文件中不存在WEB防护日志当天的日志备份文件（如果存在则删除）。
2、向防火墙的日志侦听端口写入WEB防护日志，日志的产生时间为当前日期的前一天0点到24点的日志，日志条数大100条。
3、向防火墙的日志侦听端口写入WEB防护日志，日志的产生时间为当前日期的日志，日志条数大10条。
4、修改系统时间为凌晨3:29:59分，并且后台持续ll查看WEB防护日志当天的日志备份文件大小有变化后
5、下载WEB防护日志当天的日志备份文件，并与步骤2下载的文件对比。【check1】【check2】</t>
  </si>
  <si>
    <t>log.logmng.backup.append.ptc5.001</t>
  </si>
  <si>
    <t>1、查看日志文件备份文件中不存在弱密码日志当天的日志备份文件（如果存在则删除）。
2、向防火墙的日志侦听端口写入弱密码日志，日志的产生时间为当前日期的前一天0点到24点的日志，日志条数大100条。
3、向防火墙的日志侦听端口写入弱密码日志，日志的产生时间为当前日期的日志，日志条数大10条。
4、修改系统时间为凌晨3:29:59分，并且后台持续ll查看弱密码日志当天的日志备份文件大小有变化后
5、下载弱密码日志当天的日志备份文件，并与步骤2下载的文件对比。【check1】【check2】</t>
  </si>
  <si>
    <t>log.logmng.backup.append.ptc6.001</t>
  </si>
  <si>
    <t>1、查看日志文件备份文件中不存在本地控制策略日志当天的日志备份文件（如果存在则删除）。
2、向防火墙的日志侦听端口写入本地控制策略日志，日志的产生时间为当前日期的前一天0点到24点的日志，日志条数大100条。
3、向防火墙的日志侦听端口写入本地控制策略日志，日志的产生时间为当前日期的日志，日志条数大10条。
4、修改系统时间为凌晨3:29:59分，并且后台持续ll查看本地控制策略日志当天的日志备份文件大小有变化后
5、下载本地控制策略日志当天的日志备份文件，并与步骤2下载的文件对比。【check1】【check2】</t>
  </si>
  <si>
    <t>log.logmng.backup.append.ptc7.001</t>
  </si>
  <si>
    <t>1、查看日志文件备份文件中不存在Flood攻击日志当天的日志备份文件（如果存在则删除）。
2、向防火墙的日志侦听端口写入Flood攻击日志，日志的产生时间为当前日期的前一天0点到24点的日志，日志条数大100条。
3、向防火墙的日志侦听端口写入Flood攻击日志，日志的产生时间为当前日期的日志，日志条数大10条。
4、修改系统时间为凌晨3:29:59分，并且后台持续ll查看Flood攻击日志当天的日志备份文件大小有变化后
5、下载Flood攻击日志当天的日志备份文件，并与步骤2下载的文件对比。【check1】【check2】</t>
  </si>
  <si>
    <t>log.logmng.backup.append.ptc8.001</t>
  </si>
  <si>
    <t>1、查看日志文件备份文件中不存在EDR推广日志当天的日志备份文件（如果存在则删除）。
2、向防火墙的日志侦听端口写入EDR推广日志，日志的产生时间为当前日期的前一天0点到24点的日志，日志条数大100条。
3、向防火墙的日志侦听端口写入EDR推广日志，日志的产生时间为当前日期的日志，日志条数大10条。
4、修改系统时间为凌晨3:29:59分，并且后台持续ll查看EDR推广日志当天的日志备份文件大小有变化后
5、下载EDR推广日志当天的日志备份文件，并与步骤2下载的文件对比。【check1】【check2】</t>
  </si>
  <si>
    <t>log.logmng.backup.flies.ptc1</t>
  </si>
  <si>
    <t>1、后台构造多个时戳不同的如下文件antiddoslog20241016.csv,antiddospktlog20241016.csv,contentsec20241016.csv,explosionproofsec20241016.csv,filesec20241016.csv,ipssec20241016.csv,operationlog20241016.csv,systemlog20241016.csv,urlsec20241016.csv,virussec20241016.csv,vppPolicyPluginLog20241016.csv,wblistlog20241016.csv,weakpwchecksec20241016.csv,websec20241016.csv,edrlog20241016.csv,ipseclog20241016.csv和本地策略日志
2、查看日志备份文件列表【check1】
3、使用名称中的关键字，查询日志文件。【check2】
4、使用日期中的关键字，查询日志文件。【check3】
5、使用类型中的关键字，查询日志文件。【check4】</t>
  </si>
  <si>
    <t>1、【check1】所有日志备份文件的名称为文件名，生成时间为时戳，日志类型正确日志名与日志类型对应关系如下：antiddoslog-flood攻击日志,antiddospktlog-单包防护日志,contentsec-内容过滤日志,explosionproofsec-防暴力破解日志,filesec-文件过滤日志,ipssec-入侵防御日志,operationlog-操作日志,systemlog-系统日志,urlsec-url过滤日志,virussec-防病毒日志,vppPolicyPluginLog-应用控制日志,wblistlog-黑白名单日志,weakpwchecksec-弱密码防护日志,websec-web防护日志,edrlog-EDR推广日志,ipseclog-ipsec日志,本地策略日志
2、【check2】名称中包含关键字的日志备份文件全部在反馈列表中，其他字段包含该关键字的文件也会在列表中
3、【check3】日期中包含关键字的日志备份文件全部在反馈列表中，其他字段包含该关键字的文件也会在列表中
4、【check4】日志类型中包含关键字的日志备份文件全部在反馈列表中，其他字段包含该关键字的文件也会在列表中</t>
  </si>
  <si>
    <t>log.logmng.backup.support.ptc1.001</t>
  </si>
  <si>
    <t>1、查看设备为有存储设备
2、使用/api/v1/logsetting/logtimesetting接口下发日志备份。【check1】
3、使用/api/v1/logsetting/logbackcsv?page=1&amp;size=10&amp;keywords=GET接口查询备份文件。【check1】
4、修改系统时间为凌晨3:29:59分，等待1分钟后为后台查询/userdata/userfile/influxTask。【cehck2】</t>
  </si>
  <si>
    <t>1、【check1】下发成功。
2、【check2】${检查点2}</t>
  </si>
  <si>
    <t>log.logmng.backup.support.ptc2.001</t>
  </si>
  <si>
    <t>1、查看设备为无存储设备
2、使用/api/v1/logsetting/logtimesetting接口下发日志备份。【check1】
3、使用/api/v1/logsetting/logbackcsv?page=1&amp;size=10&amp;keywords=GET接口查询备份文件。【check1】
4、修改系统时间为凌晨3:29:59分，等待1分钟后为后台查询/userdata/userfile/influxTask。【cehck2】</t>
  </si>
  <si>
    <t>1、【check1】下发失败。
2、【check2】${检查点2}</t>
  </si>
  <si>
    <t>log.logmng.backup.valid.period.ptc1.001</t>
  </si>
  <si>
    <t>1、配置日志备份的有效期为最小值(90天)
2、构造所有日志文件（包括系统日志,操作日志,入侵防御日志,防病毒日志,内容过滤日志,文件过滤日志,URL过滤日志,WEB防护日志,防暴力破解日志,弱密码日志,控制策略阻断日志,本地控制策略日志,单包防护日志,Flood攻击日志,黑白名单日志,EDR推广日志,IPSecVPN日志）存在时间戳为当前日志之前有效期和有效期前一天的日志备份文件。
3、调整系统时间为凌晨2:59:59描述，等待1分钟
4、持续查看后台文件
5、使用接口查询和下载备份文件【check1】</t>
  </si>
  <si>
    <t>1、【check1】所有时间戳为有效期内的日志备份文件保留，所有时间戳为有效期前一天的日志备份文件被删除</t>
  </si>
  <si>
    <t>log.logmng.backup.valid.period.ptc1.002</t>
  </si>
  <si>
    <t>1、配置日志备份的有效期为最大值(360天)
2、构造所有日志文件（包括系统日志,操作日志,入侵防御日志,防病毒日志,内容过滤日志,文件过滤日志,URL过滤日志,WEB防护日志,防暴力破解日志,弱密码日志,控制策略阻断日志,本地控制策略日志,单包防护日志,Flood攻击日志,黑白名单日志,EDR推广日志,IPSecVPN日志）存在时间戳为当前日志之前有效期和有效期前一天的日志备份文件。
3、调整系统时间为凌晨2:59:59描述，等待1分钟
4、持续查看后台文件
5、使用接口查询和下载备份文件【check1】</t>
  </si>
  <si>
    <t>log.logmng.backup.valid.period.ptc1.003</t>
  </si>
  <si>
    <t>1、配置日志备份的有效期为默认值(180天)
2、构造所有日志文件（包括系统日志,操作日志,入侵防御日志,防病毒日志,内容过滤日志,文件过滤日志,URL过滤日志,WEB防护日志,防暴力破解日志,弱密码日志,控制策略阻断日志,本地控制策略日志,单包防护日志,Flood攻击日志,黑白名单日志,EDR推广日志,IPSecVPN日志）存在时间戳为当前日志之前有效期和有效期前一天的日志备份文件。
3、调整系统时间为凌晨2:59:59描述，等待1分钟
4、持续查看后台文件
5、使用接口查询和下载备份文件【check1】</t>
  </si>
  <si>
    <t>log.logmng.backup.valid.period.ptc1.004</t>
  </si>
  <si>
    <t>1、配置日志备份的有效期为随机值n(91~359天)
2、构造所有日志文件（包括系统日志,操作日志,入侵防御日志,防病毒日志,内容过滤日志,文件过滤日志,URL过滤日志,WEB防护日志,防暴力破解日志,弱密码日志,控制策略阻断日志,本地控制策略日志,单包防护日志,Flood攻击日志,黑白名单日志,EDR推广日志,IPSecVPN日志）存在时间戳为当前日志之前有效期和有效期前一天的日志备份文件。
3、调整系统时间为凌晨2:59:59描述，等待1分钟
4、持续查看后台文件
5、使用接口查询和下载备份文件【check1】</t>
  </si>
  <si>
    <t>log.logmng.backup.capcity.ptc1</t>
  </si>
  <si>
    <t>1、随机选取系统日志,操作日志,入侵防御日志,防病毒日志,内容过滤日志,文件过滤日志,URL过滤日志,WEB防护日志,防暴力破解日志,弱密码日志,控制策略阻断日志,本地控制策略日志,单包防护日志,Flood攻击日志,黑白名单日志,EDR推广日志,IPSecVPN日志中的两种日志
2、向日志侦听接口写入步骤1中选取两种日志，两种日志都写到最大数量，其他所有日志写入少量即可。
3、调整系统时间为凌晨2:59:59
4、后台查看持续查看系统备份文件【check1】
5、使用接口查看日志备份文件【check2】
6、依次下载所有的当天日志备份文件【check3】</t>
  </si>
  <si>
    <t>1、【check1】所有时戳为当天的日志备份文件在5分钟内生成，检查日志备份文件生成的数量和名称全部正确
2、【check2】当天生成的日志备份文件可以查询到
3、【check3】当天生成日志备份文件全部下载成功，文件内容正确（抽取收尾和中间任意条查看）</t>
  </si>
  <si>
    <t>log.logmng.backup.storage.ptc1</t>
  </si>
  <si>
    <t>1、使用dd命令构造/userdata所在的分区磁盘占用率大于99%，接近100%是
2、修改系统时间为凌晨3:29:59分
3、间隔10s查询连续查询日志备份文件超过10次。【check1】【check2】
4、像日志监听接口写入任意日志
5、查询写入的日志。【check3】</t>
  </si>
  <si>
    <t>1、【check1】日志备份文件中，最新备份的80%仍然存在不受影响
2、【check2】系统正常运行
3、【check3】新写入的日志正常被查询到</t>
  </si>
  <si>
    <t>日志导入导出</t>
    <phoneticPr fontId="16" type="noConversion"/>
  </si>
  <si>
    <t>log.logmng.outport.ptc1.001</t>
  </si>
  <si>
    <t xml:space="preserve">1、在选择任意的一个时间范围精确到秒
2、向防火墙的日志侦听端口写入系统日志100条,时间任意的格式为"2024-10-17 02:00:00",级别字段为中文,IP地址包含ipv4和ipv6地址，tcpudp端口为0-65535随机数，其他没有明确要求的字段包含中文数字和特殊字符点(.)中横杠(-)和空格
3、向防火墙的日志侦听端口写入至少1条系统日志，时间为步骤1中选取的开始时间前1s
4、向防火墙的日志侦听端口写入至少1条系统日志，时间为步骤1中选取的结束时间后1s
5、导出系统日志，时间范围为步骤1选择的时间范围。【check1】【check2】
</t>
  </si>
  <si>
    <t>1、【check1】下载的日志中包含步骤2中写入的所有日志，抽查首尾和中间任意一条日志的字段全部正确，日志的数量正确。
2、【check2】步骤3和步骤4中写入的日志不在导出的日志中</t>
  </si>
  <si>
    <t>log.logmng.outport.ptc1.002</t>
  </si>
  <si>
    <t xml:space="preserve">1、在选择任意的一个时间范围精确到秒
2、向防火墙的日志侦听端口写入操作日志100条,时间任意的格式为"2024-10-17 02:00:00",级别字段为中文,IP地址包含ipv4和ipv6地址，tcpudp端口为0-65535随机数，其他没有明确要求的字段包含中文数字和特殊字符点(.)中横杠(-)和空格
3、向防火墙的日志侦听端口写入至少1条操作日志，时间为步骤1中选取的开始时间前1s
4、向防火墙的日志侦听端口写入至少1条操作日志，时间为步骤1中选取的结束时间后1s
5、导出操作日志，时间范围为步骤1选择的时间范围。【check1】【check2】
</t>
  </si>
  <si>
    <t>log.logmng.outport.ptc1.003</t>
  </si>
  <si>
    <t xml:space="preserve">1、在选择任意的一个时间范围精确到秒
2、向防火墙的日志侦听端口写入入侵防御日志100条,时间任意的格式为"2024-10-17 02:00:00",级别字段为中文,IP地址包含ipv4和ipv6地址，tcpudp端口为0-65535随机数，其他没有明确要求的字段包含中文数字和特殊字符点(.)中横杠(-)和空格
3、向防火墙的日志侦听端口写入至少1条入侵防御日志，时间为步骤1中选取的开始时间前1s
4、向防火墙的日志侦听端口写入至少1条入侵防御日志，时间为步骤1中选取的结束时间后1s
5、导出入侵防御日志，时间范围为步骤1选择的时间范围。【check1】【check2】
</t>
  </si>
  <si>
    <t>log.logmng.outport.ptc1.004</t>
  </si>
  <si>
    <t xml:space="preserve">1、在选择任意的一个时间范围精确到秒
2、向防火墙的日志侦听端口写入防病毒日志100条,时间任意的格式为"2024-10-17 02:00:00",级别字段为中文,IP地址包含ipv4和ipv6地址，tcpudp端口为0-65535随机数，其他没有明确要求的字段包含中文数字和特殊字符点(.)中横杠(-)和空格
3、向防火墙的日志侦听端口写入至少1条防病毒日志，时间为步骤1中选取的开始时间前1s
4、向防火墙的日志侦听端口写入至少1条防病毒日志，时间为步骤1中选取的结束时间后1s
5、导出防病毒日志，时间范围为步骤1选择的时间范围。【check1】【check2】
</t>
  </si>
  <si>
    <t>log.logmng.outport.ptc1.005</t>
  </si>
  <si>
    <t xml:space="preserve">1、在选择任意的一个时间范围精确到秒
2、向防火墙的日志侦听端口写入内容过滤日志100条,时间任意的格式为"2024-10-17 02:00:00",级别字段为中文,IP地址包含ipv4和ipv6地址，tcpudp端口为0-65535随机数，其他没有明确要求的字段包含中文数字和特殊字符点(.)中横杠(-)和空格
3、向防火墙的日志侦听端口写入至少1条内容过滤日志，时间为步骤1中选取的开始时间前1s
4、向防火墙的日志侦听端口写入至少1条内容过滤日志，时间为步骤1中选取的结束时间后1s
5、导出内容过滤日志，时间范围为步骤1选择的时间范围。【check1】【check2】
</t>
  </si>
  <si>
    <t>log.logmng.outport.ptc1.006</t>
  </si>
  <si>
    <t xml:space="preserve">1、在选择任意的一个时间范围精确到秒
2、向防火墙的日志侦听端口写入文件过滤日志100条,时间任意的格式为"2024-10-17 02:00:00",级别字段为中文,IP地址包含ipv4和ipv6地址，tcpudp端口为0-65535随机数，其他没有明确要求的字段包含中文数字和特殊字符点(.)中横杠(-)和空格
3、向防火墙的日志侦听端口写入至少1条文件过滤日志，时间为步骤1中选取的开始时间前1s
4、向防火墙的日志侦听端口写入至少1条文件过滤日志，时间为步骤1中选取的结束时间后1s
5、导出文件过滤日志，时间范围为步骤1选择的时间范围。【check1】【check2】
</t>
  </si>
  <si>
    <t>log.logmng.outport.ptc1.007</t>
  </si>
  <si>
    <t xml:space="preserve">1、在选择任意的一个时间范围精确到秒
2、向防火墙的日志侦听端口写入URL过滤日志100条,时间任意的格式为"2024-10-17 02:00:00",级别字段为中文,IP地址包含ipv4和ipv6地址，tcpudp端口为0-65535随机数，其他没有明确要求的字段包含中文数字和特殊字符点(.)中横杠(-)和空格
3、向防火墙的日志侦听端口写入至少1条URL过滤日志，时间为步骤1中选取的开始时间前1s
4、向防火墙的日志侦听端口写入至少1条URL过滤日志，时间为步骤1中选取的结束时间后1s
5、导出URL过滤日志，时间范围为步骤1选择的时间范围。【check1】【check2】
</t>
  </si>
  <si>
    <t>log.logmng.outport.ptc1.008</t>
  </si>
  <si>
    <t xml:space="preserve">1、在选择任意的一个时间范围精确到秒
2、向防火墙的日志侦听端口写入WEB防护日志100条,时间任意的格式为"2024-10-17 02:00:00",级别字段为中文,IP地址包含ipv4和ipv6地址，tcpudp端口为0-65535随机数，其他没有明确要求的字段包含中文数字和特殊字符点(.)中横杠(-)和空格
3、向防火墙的日志侦听端口写入至少1条WEB防护日志，时间为步骤1中选取的开始时间前1s
4、向防火墙的日志侦听端口写入至少1条WEB防护日志，时间为步骤1中选取的结束时间后1s
5、导出WEB防护日志，时间范围为步骤1选择的时间范围。【check1】【check2】
</t>
  </si>
  <si>
    <t>log.logmng.outport.ptc1.009</t>
  </si>
  <si>
    <t xml:space="preserve">1、在选择任意的一个时间范围精确到秒
2、向防火墙的日志侦听端口写入防暴力破解日志100条,时间任意的格式为"2024-10-17 02:00:00",级别字段为中文,IP地址包含ipv4和ipv6地址，tcpudp端口为0-65535随机数，其他没有明确要求的字段包含中文数字和特殊字符点(.)中横杠(-)和空格
3、向防火墙的日志侦听端口写入至少1条防暴力破解日志，时间为步骤1中选取的开始时间前1s
4、向防火墙的日志侦听端口写入至少1条防暴力破解日志，时间为步骤1中选取的结束时间后1s
5、导出防暴力破解日志，时间范围为步骤1选择的时间范围。【check1】【check2】
</t>
  </si>
  <si>
    <t>log.logmng.outport.ptc1.010</t>
  </si>
  <si>
    <t xml:space="preserve">1、在选择任意的一个时间范围精确到秒
2、向防火墙的日志侦听端口写入弱密码日志100条,时间任意的格式为"2024-10-17 02:00:00",级别字段为中文,IP地址包含ipv4和ipv6地址，tcpudp端口为0-65535随机数，其他没有明确要求的字段包含中文数字和特殊字符点(.)中横杠(-)和空格
3、向防火墙的日志侦听端口写入至少1条弱密码日志，时间为步骤1中选取的开始时间前1s
4、向防火墙的日志侦听端口写入至少1条弱密码日志，时间为步骤1中选取的结束时间后1s
5、导出弱密码日志，时间范围为步骤1选择的时间范围。【check1】【check2】
</t>
  </si>
  <si>
    <t>log.logmng.outport.ptc1.011</t>
  </si>
  <si>
    <t xml:space="preserve">1、在选择任意的一个时间范围精确到秒
2、向防火墙的日志侦听端口写入控制策略阻断日志100条,时间任意的格式为"2024-10-17 02:00:00",级别字段为中文,IP地址包含ipv4和ipv6地址，tcpudp端口为0-65535随机数，其他没有明确要求的字段包含中文数字和特殊字符点(.)中横杠(-)和空格
3、向防火墙的日志侦听端口写入至少1条控制策略阻断日志，时间为步骤1中选取的开始时间前1s
4、向防火墙的日志侦听端口写入至少1条控制策略阻断日志，时间为步骤1中选取的结束时间后1s
5、导出控制策略阻断日志，时间范围为步骤1选择的时间范围。【check1】【check2】
</t>
  </si>
  <si>
    <t>log.logmng.outport.ptc1.012</t>
  </si>
  <si>
    <t xml:space="preserve">1、在选择任意的一个时间范围精确到秒
2、向防火墙的日志侦听端口写入本地控制策略日志100条,时间任意的格式为"2024-10-17 02:00:00",级别字段为中文,IP地址包含ipv4和ipv6地址，tcpudp端口为0-65535随机数，其他没有明确要求的字段包含中文数字和特殊字符点(.)中横杠(-)和空格
3、向防火墙的日志侦听端口写入至少1条本地控制策略日志，时间为步骤1中选取的开始时间前1s
4、向防火墙的日志侦听端口写入至少1条本地控制策略日志，时间为步骤1中选取的结束时间后1s
5、导出本地控制策略日志，时间范围为步骤1选择的时间范围。【check1】【check2】
</t>
  </si>
  <si>
    <t>log.logmng.outport.ptc1.013</t>
  </si>
  <si>
    <t xml:space="preserve">1、在选择任意的一个时间范围精确到秒
2、向防火墙的日志侦听端口写入单包防护日志100条,时间任意的格式为"2024-10-17 02:00:00",级别字段为中文,IP地址包含ipv4和ipv6地址，tcpudp端口为0-65535随机数，其他没有明确要求的字段包含中文数字和特殊字符点(.)中横杠(-)和空格
3、向防火墙的日志侦听端口写入至少1条单包防护日志，时间为步骤1中选取的开始时间前1s
4、向防火墙的日志侦听端口写入至少1条单包防护日志，时间为步骤1中选取的结束时间后1s
5、导出单包防护日志，时间范围为步骤1选择的时间范围。【check1】【check2】
</t>
  </si>
  <si>
    <t>log.logmng.outport.ptc1.014</t>
  </si>
  <si>
    <t xml:space="preserve">1、在选择任意的一个时间范围精确到秒
2、向防火墙的日志侦听端口写入Flood攻击日志100条,时间任意的格式为"2024-10-17 02:00:00",级别字段为中文,IP地址包含ipv4和ipv6地址，tcpudp端口为0-65535随机数，其他没有明确要求的字段包含中文数字和特殊字符点(.)中横杠(-)和空格
3、向防火墙的日志侦听端口写入至少1条Flood攻击日志，时间为步骤1中选取的开始时间前1s
4、向防火墙的日志侦听端口写入至少1条Flood攻击日志，时间为步骤1中选取的结束时间后1s
5、导出Flood攻击日志，时间范围为步骤1选择的时间范围。【check1】【check2】
</t>
  </si>
  <si>
    <t>log.logmng.outport.ptc1.015</t>
  </si>
  <si>
    <t xml:space="preserve">1、在选择任意的一个时间范围精确到秒
2、向防火墙的日志侦听端口写入黑白名单日志100条,时间任意的格式为"2024-10-17 02:00:00",级别字段为中文,IP地址包含ipv4和ipv6地址，tcpudp端口为0-65535随机数，其他没有明确要求的字段包含中文数字和特殊字符点(.)中横杠(-)和空格
3、向防火墙的日志侦听端口写入至少1条黑白名单日志，时间为步骤1中选取的开始时间前1s
4、向防火墙的日志侦听端口写入至少1条黑白名单日志，时间为步骤1中选取的结束时间后1s
5、导出黑白名单日志，时间范围为步骤1选择的时间范围。【check1】【check2】
</t>
  </si>
  <si>
    <t>log.logmng.outport.ptc1.016</t>
  </si>
  <si>
    <t xml:space="preserve">1、在选择任意的一个时间范围精确到秒
2、向防火墙的日志侦听端口写入EDR推广日志100条,时间任意的格式为"2024-10-17 02:00:00",级别字段为中文,IP地址包含ipv4和ipv6地址，tcpudp端口为0-65535随机数，其他没有明确要求的字段包含中文数字和特殊字符点(.)中横杠(-)和空格
3、向防火墙的日志侦听端口写入至少1条EDR推广日志，时间为步骤1中选取的开始时间前1s
4、向防火墙的日志侦听端口写入至少1条EDR推广日志，时间为步骤1中选取的结束时间后1s
5、导出EDR推广日志，时间范围为步骤1选择的时间范围。【check1】【check2】
</t>
  </si>
  <si>
    <t>log.logmng.outport.ptc1.017</t>
  </si>
  <si>
    <t xml:space="preserve">1、在选择任意的一个时间范围精确到秒
2、向防火墙的日志侦听端口写入IPSecVPN日志100条,时间任意的格式为"2024-10-17 02:00:00",级别字段为中文,IP地址包含ipv4和ipv6地址，tcpudp端口为0-65535随机数，其他没有明确要求的字段包含中文数字和特殊字符点(.)中横杠(-)和空格
3、向防火墙的日志侦听端口写入至少1条IPSecVPN日志，时间为步骤1中选取的开始时间前1s
4、向防火墙的日志侦听端口写入至少1条IPSecVPN日志，时间为步骤1中选取的结束时间后1s
5、导出IPSecVPN日志，时间范围为步骤1选择的时间范围。【check1】【check2】
</t>
  </si>
  <si>
    <t>log.logmng.outport.capcity.ptc1</t>
  </si>
  <si>
    <t>1、随机选取系统日志,操作日志,入侵防御日志,防病毒日志,内容过滤日志,文件过滤日志,URL过滤日志,WEB防护日志,防暴力破解日志,弱密码日志,控制策略阻断日志,本地控制策略日志,单包防护日志,Flood攻击日志,黑白名单日志,EDR推广日志,IPSecVPN日志中的一种日志
2、向日志侦听接口写入步骤1中选取的最大数量的日志，时间范围超出1个月。
3、导出日志，自定义时间时间范围包含所有步骤2中写入的日志。【check1】
4、检查导出的日志文件数量和内容。【check2】</t>
  </si>
  <si>
    <t>1、【check1】日志导出成功
2、【check2】导出日志的数量为正确，导出日志内容正确（检查收尾日志和中间任意一条日志）</t>
  </si>
  <si>
    <t>log.logmng.outport.time.ptc1.001</t>
  </si>
  <si>
    <t>1、向防火墙日志侦听端口写入至少3条操作日志，日志的时间在近1小时内
2、向防火墙日志侦听端口写入至少3条操作日志，日志的时间早于近1小时开始时间，至少3条晚于近1小时结束时间（可以晚于当前防火墙的系统时间）。
3、使用接口导出操作日志，过滤时间范围为近1小时内。【check1】【check2】
4、使用接口导出操作日志，过滤时间范围为all。【check1】</t>
  </si>
  <si>
    <t>1、【check1】日志导出成功
2、【check2】仅导出近1小时的日志，导出日志的数量为正确，导出日志内容正确（检查收尾日志和中间任意一条日志）
3、【check3】会导出所有写入的日志，导出日志的数量为正确，导出日志内容正确（检查收尾日志和中间任意一条日志）</t>
  </si>
  <si>
    <t>log.logmng.outport.time.ptc2.001</t>
  </si>
  <si>
    <t>1、向防火墙日志侦听端口写入至少3条安全日志，日志的时间在近24小时内
2、向防火墙日志侦听端口写入至少3条安全日志，日志的时间早于近24小时开始时间，至少3条晚于近24小时结束时间（可以晚于当前防火墙的系统时间）。
3、使用接口导出安全日志，过滤时间范围为近24小时内。【check1】【check2】
4、使用接口导出安全日志，过滤时间范围为all。【check1】</t>
  </si>
  <si>
    <t>1、【check1】日志导出成功
2、【check2】仅导出近24小时的日志，导出日志的数量为正确，导出日志内容正确（检查收尾日志和中间任意一条日志）
3、【check3】会导出所有写入的日志，导出日志的数量为正确，导出日志内容正确（检查收尾日志和中间任意一条日志）</t>
  </si>
  <si>
    <t>log.logmng.outport.time.ptc3.001</t>
  </si>
  <si>
    <t>1、向防火墙日志侦听端口写入至少3条Flood攻击日志，日志的时间在近一周内
2、向防火墙日志侦听端口写入至少3条Flood攻击日志，日志的时间早于近一周开始时间，至少3条晚于近一周结束时间（可以晚于当前防火墙的系统时间）。
3、使用接口导出Flood攻击日志，过滤时间范围为近一周内。【check1】【check2】
4、使用接口导出Flood攻击日志，过滤时间范围为all。【check1】</t>
  </si>
  <si>
    <t>1、【check1】日志导出成功
2、【check2】仅导出近一周的日志，导出日志的数量为正确，导出日志内容正确（检查收尾日志和中间任意一条日志）
3、【check3】会导出所有写入的日志，导出日志的数量为正确，导出日志内容正确（检查收尾日志和中间任意一条日志）</t>
  </si>
  <si>
    <t>log.logmng.outport.time.ptc4.001</t>
  </si>
  <si>
    <t>1、向防火墙日志侦听端口写入至少3条EDR推广日志，日志的时间在近一月内
2、向防火墙日志侦听端口写入至少3条EDR推广日志，日志的时间早于近一月开始时间，至少3条晚于近一月结束时间（可以晚于当前防火墙的系统时间）。
3、使用接口导出EDR推广日志，过滤时间范围为近一月内。【check1】【check2】
4、使用接口导出EDR推广日志，过滤时间范围为all。【check1】</t>
  </si>
  <si>
    <t>1、【check1】日志导出成功
2、【check2】仅导出近一月的日志，导出日志的数量为正确，导出日志内容正确（检查收尾日志和中间任意一条日志）
3、【check3】会导出所有写入的日志，导出日志的数量为正确，导出日志内容正确（检查收尾日志和中间任意一条日志）</t>
  </si>
  <si>
    <t>验证本地策略日志导出时间范围为自定义计算正确</t>
    <phoneticPr fontId="16" type="noConversion"/>
  </si>
  <si>
    <t>log.logmng.outport.time.ptc5.001</t>
  </si>
  <si>
    <t>1、向防火墙日志侦听端口写入至少3条本地策略日志，日志的时间在自定义内
2、向防火墙日志侦听端口写入至少3条本地策略日志，日志的时间早于自定义开始时间，至少3条晚于自定义结束时间（可以晚于当前防火墙的系统时间）。
3、使用接口导出本地策略日志，过滤时间范围为自定义内。【check1】【check2】
4、使用接口导出本地策略日志，过滤时间范围为all。【check1】</t>
  </si>
  <si>
    <t>1、【check1】日志导出成功
2、【check2】仅导出自定义的日志，导出日志的数量为正确，导出日志内容正确（检查收尾日志和中间任意一条日志）
3、【check3】会导出所有写入的日志，导出日志的数量为正确，导出日志内容正确（检查收尾日志和中间任意一条日志）</t>
  </si>
  <si>
    <t>验证修改系统时间的日志导出功能</t>
    <phoneticPr fontId="16" type="noConversion"/>
  </si>
  <si>
    <t>log.logmng.outport.time.moidfy.ptc1</t>
  </si>
  <si>
    <t>1、在近1小时、近24小时、近一周、近一月中选取任意一个有效周期记为t。在系统日志,操作日志,入侵防御日志,防病毒日志,内容过滤日志,文件过滤日志,URL过滤日志,WEB防护日志,防暴力破解日志,弱密码日志,控制策略阻断日志,本地控制策略日志,单包防护日志,Flood攻击日志,黑白名单日志,EDR推广日志,IPSecVPN日志中选取任意一种日志类型
2、向防火墙的日志侦听端口写入选取的日志类型的日志，在选取的有效期内有n1条日志，有效期前一个周期有n2，有效期后一周期（日志时间晚于防火墙系统时间）有n3条，n1、n2和n3数量都不相同。
3、导出选取的日志类型，时间范围为选取的有效期【check1】【check2】
4、防火墙系统时间向前调整一个有效期，导出选取的日志类型，时间范围为选取的有效期【check1】【check3】
5、防火墙系统时间向后调整两个有效期，导出选取的日志类型，时间范围为选取的有效期【check1】【check4】</t>
  </si>
  <si>
    <t>1、【check1】日志导出成功
2、【check2】导出日志的数量为n1，导出日志内容正确（检查收尾日志和中间任意一条日志）
3、【check3】导出日志的数量为n2，导出日志内容正确（检查收尾日志和中间任意一条日志）
4、【check4】导出日志的数量为n3，导出日志内容正确（检查收尾日志和中间任意一条日志）</t>
  </si>
  <si>
    <t>日志服务器</t>
    <phoneticPr fontId="16" type="noConversion"/>
  </si>
  <si>
    <t>日志外发</t>
    <phoneticPr fontId="16" type="noConversion"/>
  </si>
  <si>
    <t>log.logserver.send.ptc1.001</t>
  </si>
  <si>
    <t xml:space="preserve">1、配置开启日志服务器，配置日志服务器IP地址，端口为随机端口1~65535，发送方式为syslog,加密方式为加密，发送协议为tcp。
2、配置日式过滤为发送所有日志
3、向日志侦听端口写入至少3条系统日志,操作日志,入侵防御日志,防病毒日志,内容过滤日志,文件过滤日志,URL过滤日志,WEB防护日志,防暴力破解日志,弱密码日志,控制策略阻断日志,本地控制策略日志,单包防护日志,Flood攻击日志,黑白名单日志,EDR推广日志,IPSecVPN日志中的任意日志
4、观察日志服务器上接收到的日志的数量和内容。【check1】【check2】【check3】
</t>
  </si>
  <si>
    <t>1、【check1】日志服务器上接收到的日志数量和内容正确
2、【check2】日志接受到的源IP、协议、源目的端口、加密信息正确
3、【check3】接收到的日志发送方式正确</t>
  </si>
  <si>
    <t>log.logserver.send.ptc2.001</t>
  </si>
  <si>
    <t xml:space="preserve">1、配置开启日志服务器，配置日志服务器IP地址，端口为常用端口514，发送方式为syslog,加密方式为不加密，发送协议为tcp。
2、配置日式过滤为发送所有日志
3、向日志侦听端口写入至少3条系统日志,操作日志,入侵防御日志,防病毒日志,内容过滤日志,文件过滤日志,URL过滤日志,WEB防护日志,防暴力破解日志,弱密码日志,控制策略阻断日志,本地控制策略日志,单包防护日志,Flood攻击日志,黑白名单日志,EDR推广日志,IPSecVPN日志中的任意日志
4、观察日志服务器上接收到的日志的数量和内容。【check1】【check2】【check3】
</t>
  </si>
  <si>
    <t>log.logserver.send.ptc3.001</t>
  </si>
  <si>
    <t xml:space="preserve">1、配置开启日志服务器，配置日志服务器IP地址，端口为常用端口1468，发送方式为syslog,加密方式为不加密，发送协议为udp。
2、配置日式过滤为发送所有日志
3、向日志侦听端口写入至少3条系统日志,操作日志,入侵防御日志,防病毒日志,内容过滤日志,文件过滤日志,URL过滤日志,WEB防护日志,防暴力破解日志,弱密码日志,控制策略阻断日志,本地控制策略日志,单包防护日志,Flood攻击日志,黑白名单日志,EDR推广日志,IPSecVPN日志中的任意日志
4、观察日志服务器上接收到的日志的数量和内容。【check1】【check2】【check3】
</t>
  </si>
  <si>
    <t>log.logserver.send.ptc4.001</t>
  </si>
  <si>
    <t xml:space="preserve">1、配置开启日志服务器，配置日志服务器IP地址，端口为知名端口80，发送方式为restapi,加密方式为加密，发送协议为默认。
2、配置日式过滤为发送所有日志
3、向日志侦听端口写入至少3条系统日志,操作日志,入侵防御日志,防病毒日志,内容过滤日志,文件过滤日志,URL过滤日志,WEB防护日志,防暴力破解日志,弱密码日志,控制策略阻断日志,本地控制策略日志,单包防护日志,Flood攻击日志,黑白名单日志,EDR推广日志,IPSecVPN日志中的任意日志
4、观察日志服务器上接收到的日志的数量和内容。【check1】【check2】【check3】
</t>
  </si>
  <si>
    <t>log.logserver.send.concurrency.ptc1</t>
  </si>
  <si>
    <t>1、配置开启日志服务器
2、配置日式过滤为发送所有日志
3、向日志侦听端口写入至少3条所有类型的日志（包括系统日志,操作日志,入侵防御日志,防病毒日志,内容过滤日志,文件过滤日志,URL过滤日志,WEB防护日志,防暴力破解日志,弱密码日志,控制策略阻断日志,本地控制策略日志,单包防护日志,Flood攻击日志,黑白名单日志,EDR推广日志,IPSecVPN日志）
4、观察日志服务器上接收到的日志的数量和内容。【check1】</t>
  </si>
  <si>
    <t>1、【check1】日志服务器上接收到的日志数量和内容正确</t>
  </si>
  <si>
    <t>log.logserver.send.concurrency.servers.ptc1</t>
  </si>
  <si>
    <t>1、配置开启日志服务器，配置三个服务器，三个服务器路由均可达，3个日志服务器发送的一个发送方式为restAPI，一个为syslog的TCP，一个为syslog的UDP方式
2、配置日式过滤为发送所有日志
3、向日志侦听端口写入至少3条所有类型的日志（包括系统日志,操作日志,入侵防御日志,防病毒日志,内容过滤日志,文件过滤日志,URL过滤日志,WEB防护日志,防暴力破解日志,弱密码日志,控制策略阻断日志,本地控制策略日志,单包防护日志,Flood攻击日志,黑白名单日志,EDR推广日志,IPSecVPN日志）
4、观察日志服务器上接收到的日志的数量和内容。【check1】【check2】</t>
  </si>
  <si>
    <t>1、【check1】三个日志服务器上接收到的日志数量和内容正确
2、【check2】三个日志服务器上接收到日志的发送方式和协议正确</t>
  </si>
  <si>
    <t>log.logserver.send.reliability.ptc1.001</t>
  </si>
  <si>
    <t>1、配置开启日志服务器
2、配置日式过滤为发送所有日志
3、持续向日志侦听端口写入多种类型的日志
4、构造${连接}大于200次，在日志服务器上观察日志接收。【check1】</t>
  </si>
  <si>
    <t>log.logserver.send.reliability.ptc1.002</t>
  </si>
  <si>
    <t>log.logserver.send.reliability.ptc1.003</t>
  </si>
  <si>
    <t>log.logserver.send.reliability.ptc1.004</t>
  </si>
  <si>
    <t>log.logserver.send.reliability.ptc1.005</t>
  </si>
  <si>
    <t>log.logserver.send.sip.ptc1.001</t>
  </si>
  <si>
    <t>1、配置日志服务器，配置静态路由通过业务口发送到日志服务器
2、配置日式过滤为发送所有日志
3、持续向日志侦听端口写入多种类型的日志
4、修改日志外发对应的业务口的IP地址【check1】【check2】
5、在接口上添加多个IP地址【check1】【check3】</t>
  </si>
  <si>
    <t>1、【check1】日志服务器上接收到的日志数量和内容正确
2、【check2】日志服务器上接收到的报文的IP地址与接口的IP地址相同
3、【check3】日志服务器仍然以第一个IP地址发送日志</t>
  </si>
  <si>
    <t>log.logserver.send.sip.ptc1.002</t>
  </si>
  <si>
    <t>1、配置日志服务器，配置静态路由通过管理口发送到日志服务器
2、配置日式过滤为发送所有日志
3、持续向日志侦听端口写入多种类型的日志
4、修改日志外发对应的管理口的IP地址【check1】【check2】
5、在接口上添加多个IP地址【check1】【check3】</t>
  </si>
  <si>
    <t>log.logserver.send.sip.intf.ptc1</t>
  </si>
  <si>
    <t>1、配置冗余路由通过两条不同的接口发送到日志服务器，一条高优先级的路由通过接口1发送到日志服务器，一条低优先级的路由通过接口2发送到日志服务器。
2、持续向日志侦听端口写入多种类型的日志，观察日志服务器上接收到的日志和日志报文【check1】【check2】
3、构造接口1故障，观察日志服务器上接收到的日志和日志报文【check1】【check3】</t>
  </si>
  <si>
    <t>1、【check1】日志服务器上接收到的日志数量和内容正确
2、【check2】日志服务器上接收到日志报文的源IP为接口1的IP地址
3、【check3】日志服务器上接收到日志报文的源IP为接口2的IP地址</t>
  </si>
  <si>
    <t>外发过滤</t>
    <phoneticPr fontId="16" type="noConversion"/>
  </si>
  <si>
    <t>log.logserver.filter.sec.ptc1</t>
  </si>
  <si>
    <t>1、持续向日志侦听端口写入入侵防御日志的日志，日志级别包含信息所有级别，观察日志服务器的日志接收。【check1】
2、配置开启入侵防御日志的日志过滤开关为发送，发送日志级别仅发送信息的日志，观察日志服务器接收情况。【check2】
3、配置开启入侵防御日志的日志过滤开关为发送，发送日志级别仅发送低危的日志，观察日志服务器接收情况。【check2】
4、配置开启入侵防御日志的日志过滤开关为发送，发送日志级别仅发送中危的日志，观察日志服务器接收情况。【check2】
5、配置开启入侵防御日志的日志过滤开关为发送，发送日志级别仅发送高危的日志，观察日志服务器接收情况。【check2】
6、配置开启入侵防御日志的日志过滤开关为发送，发送日志级别仅发送严重的日志，观察日志服务器接收情况。【check2】
7、配置开启入侵防御日志的日志过滤开关为发送，发送日志级别仅发送所有级别的日志，观察日志服务器接收情况。【check3】</t>
  </si>
  <si>
    <t>1、【check1】日志服务器不能接收到任何入侵防御日志的日志
2、【check2】日志服务器仅可以接收到该过滤级别的入侵防御日志，接收到日志的所有字段与写入的字段完全相同
3、【check3】日志服务器可以接收到所有级别的入侵防御日志，接收到日志的所有字段与写入的字段完全相同</t>
  </si>
  <si>
    <t>log.logserver.filter.sec.ptc2</t>
  </si>
  <si>
    <t>1、持续向日志侦听端口写入防病毒日志的日志，日志级别包含信息所有级别，观察日志服务器的日志接收。【check1】
2、配置开启防病毒日志的日志过滤开关为发送，发送日志级别仅发送信息的日志，观察日志服务器接收情况。【check2】
3、配置开启防病毒日志的日志过滤开关为发送，发送日志级别仅发送低危的日志，观察日志服务器接收情况。【check2】
4、配置开启防病毒日志的日志过滤开关为发送，发送日志级别仅发送中危的日志，观察日志服务器接收情况。【check2】
5、配置开启防病毒日志的日志过滤开关为发送，发送日志级别仅发送高危的日志，观察日志服务器接收情况。【check2】
6、配置开启防病毒日志的日志过滤开关为发送，发送日志级别仅发送严重的日志，观察日志服务器接收情况。【check2】
7、配置开启防病毒日志的日志过滤开关为发送，发送日志级别仅发送所有级别的日志，观察日志服务器接收情况。【check3】</t>
  </si>
  <si>
    <t>1、【check1】日志服务器不能接收到任何防病毒日志的日志
2、【check2】日志服务器仅可以接收到该过滤级别的防病毒日志，接收到日志的所有字段与写入的字段完全相同
3、【check3】日志服务器可以接收到所有级别的防病毒日志，接收到日志的所有字段与写入的字段完全相同</t>
  </si>
  <si>
    <t>log.logserver.filter.sec.ptc3</t>
  </si>
  <si>
    <t>1、持续向日志侦听端口写入内容过滤日志的日志，日志级别包含信息所有级别，观察日志服务器的日志接收。【check1】
2、配置开启内容过滤日志的日志过滤开关为发送，发送日志级别仅发送信息的日志，观察日志服务器接收情况。【check2】
3、配置开启内容过滤日志的日志过滤开关为发送，发送日志级别仅发送低危的日志，观察日志服务器接收情况。【check2】
4、配置开启内容过滤日志的日志过滤开关为发送，发送日志级别仅发送中危的日志，观察日志服务器接收情况。【check2】
5、配置开启内容过滤日志的日志过滤开关为发送，发送日志级别仅发送高危的日志，观察日志服务器接收情况。【check2】
6、配置开启内容过滤日志的日志过滤开关为发送，发送日志级别仅发送严重的日志，观察日志服务器接收情况。【check2】
7、配置开启内容过滤日志的日志过滤开关为发送，发送日志级别仅发送所有级别的日志，观察日志服务器接收情况。【check3】</t>
  </si>
  <si>
    <t>1、【check1】日志服务器不能接收到任何内容过滤日志的日志
2、【check2】日志服务器仅可以接收到该过滤级别的内容过滤日志，接收到日志的所有字段与写入的字段完全相同
3、【check3】日志服务器可以接收到所有级别的内容过滤日志，接收到日志的所有字段与写入的字段完全相同</t>
  </si>
  <si>
    <t>log.logserver.filter.sec.ptc4</t>
  </si>
  <si>
    <t>1、持续向日志侦听端口写入URL过滤日志的日志，日志级别包含信息所有级别，观察日志服务器的日志接收。【check1】
2、配置开启URL过滤日志的日志过滤开关为发送，发送日志级别仅发送信息的日志，观察日志服务器接收情况。【check2】
3、配置开启URL过滤日志的日志过滤开关为发送，发送日志级别仅发送低危的日志，观察日志服务器接收情况。【check2】
4、配置开启URL过滤日志的日志过滤开关为发送，发送日志级别仅发送中危的日志，观察日志服务器接收情况。【check2】
5、配置开启URL过滤日志的日志过滤开关为发送，发送日志级别仅发送高危的日志，观察日志服务器接收情况。【check2】
6、配置开启URL过滤日志的日志过滤开关为发送，发送日志级别仅发送严重的日志，观察日志服务器接收情况。【check2】
7、配置开启URL过滤日志的日志过滤开关为发送，发送日志级别仅发送所有级别的日志，观察日志服务器接收情况。【check3】</t>
  </si>
  <si>
    <t>1、【check1】日志服务器不能接收到任何URL过滤日志的日志
2、【check2】日志服务器仅可以接收到该过滤级别的URL过滤日志，接收到日志的所有字段与写入的字段完全相同
3、【check3】日志服务器可以接收到所有级别的URL过滤日志，接收到日志的所有字段与写入的字段完全相同</t>
  </si>
  <si>
    <t>log.logserver.filter.sec.ptc5</t>
  </si>
  <si>
    <t>1、持续向日志侦听端口写入文件过滤日志的日志，日志级别包含信息所有级别，观察日志服务器的日志接收。【check1】
2、配置开启文件过滤日志的日志过滤开关为发送，发送日志级别仅发送信息的日志，观察日志服务器接收情况。【check2】
3、配置开启文件过滤日志的日志过滤开关为发送，发送日志级别仅发送低危的日志，观察日志服务器接收情况。【check2】
4、配置开启文件过滤日志的日志过滤开关为发送，发送日志级别仅发送中危的日志，观察日志服务器接收情况。【check2】
5、配置开启文件过滤日志的日志过滤开关为发送，发送日志级别仅发送高危的日志，观察日志服务器接收情况。【check2】
6、配置开启文件过滤日志的日志过滤开关为发送，发送日志级别仅发送严重的日志，观察日志服务器接收情况。【check2】
7、配置开启文件过滤日志的日志过滤开关为发送，发送日志级别仅发送所有级别的日志，观察日志服务器接收情况。【check3】</t>
  </si>
  <si>
    <t>1、【check1】日志服务器不能接收到任何文件过滤日志的日志
2、【check2】日志服务器仅可以接收到该过滤级别的文件过滤日志，接收到日志的所有字段与写入的字段完全相同
3、【check3】日志服务器可以接收到所有级别的文件过滤日志，接收到日志的所有字段与写入的字段完全相同</t>
  </si>
  <si>
    <t>log.logserver.filter.sec.ptc6</t>
  </si>
  <si>
    <t>1、持续向日志侦听端口写入WEB防护日志的日志，日志级别包含信息所有级别，观察日志服务器的日志接收。【check1】
2、配置开启WEB防护日志的日志过滤开关为发送，发送日志级别仅发送信息的日志，观察日志服务器接收情况。【check2】
3、配置开启WEB防护日志的日志过滤开关为发送，发送日志级别仅发送低危的日志，观察日志服务器接收情况。【check2】
4、配置开启WEB防护日志的日志过滤开关为发送，发送日志级别仅发送中危的日志，观察日志服务器接收情况。【check2】
5、配置开启WEB防护日志的日志过滤开关为发送，发送日志级别仅发送高危的日志，观察日志服务器接收情况。【check2】
6、配置开启WEB防护日志的日志过滤开关为发送，发送日志级别仅发送严重的日志，观察日志服务器接收情况。【check2】
7、配置开启WEB防护日志的日志过滤开关为发送，发送日志级别仅发送所有级别的日志，观察日志服务器接收情况。【check3】</t>
  </si>
  <si>
    <t>1、【check1】日志服务器不能接收到任何WEB防护日志的日志
2、【check2】日志服务器仅可以接收到该过滤级别的WEB防护日志，接收到日志的所有字段与写入的字段完全相同
3、【check3】日志服务器可以接收到所有级别的WEB防护日志，接收到日志的所有字段与写入的字段完全相同</t>
  </si>
  <si>
    <t>log.logserver.filter.sec.ptc7</t>
  </si>
  <si>
    <t>1、持续向日志侦听端口写入弱密码日志的日志，日志级别包含信息所有级别，观察日志服务器的日志接收。【check1】
2、配置开启弱密码日志的日志过滤开关为发送，发送日志级别仅发送信息的日志，观察日志服务器接收情况。【check2】
3、配置开启弱密码日志的日志过滤开关为发送，发送日志级别仅发送低危的日志，观察日志服务器接收情况。【check2】
4、配置开启弱密码日志的日志过滤开关为发送，发送日志级别仅发送中危的日志，观察日志服务器接收情况。【check2】
5、配置开启弱密码日志的日志过滤开关为发送，发送日志级别仅发送高危的日志，观察日志服务器接收情况。【check2】
6、配置开启弱密码日志的日志过滤开关为发送，发送日志级别仅发送严重的日志，观察日志服务器接收情况。【check2】
7、配置开启弱密码日志的日志过滤开关为发送，发送日志级别仅发送所有级别的日志，观察日志服务器接收情况。【check3】</t>
  </si>
  <si>
    <t>1、【check1】日志服务器不能接收到任何弱密码日志的日志
2、【check2】日志服务器仅可以接收到该过滤级别的弱密码日志，接收到日志的所有字段与写入的字段完全相同
3、【check3】日志服务器可以接收到所有级别的弱密码日志，接收到日志的所有字段与写入的字段完全相同</t>
  </si>
  <si>
    <t>log.logserver.filter.sec.ptc8</t>
  </si>
  <si>
    <t>1、持续向日志侦听端口写入防暴力破解日志的日志，日志级别包含信息所有级别，观察日志服务器的日志接收。【check1】
2、配置开启防暴力破解日志的日志过滤开关为发送，发送日志级别仅发送信息的日志，观察日志服务器接收情况。【check2】
3、配置开启防暴力破解日志的日志过滤开关为发送，发送日志级别仅发送低危的日志，观察日志服务器接收情况。【check2】
4、配置开启防暴力破解日志的日志过滤开关为发送，发送日志级别仅发送中危的日志，观察日志服务器接收情况。【check2】
5、配置开启防暴力破解日志的日志过滤开关为发送，发送日志级别仅发送高危的日志，观察日志服务器接收情况。【check2】
6、配置开启防暴力破解日志的日志过滤开关为发送，发送日志级别仅发送严重的日志，观察日志服务器接收情况。【check2】
7、配置开启防暴力破解日志的日志过滤开关为发送，发送日志级别仅发送所有级别的日志，观察日志服务器接收情况。【check3】</t>
  </si>
  <si>
    <t>1、【check1】日志服务器不能接收到任何防暴力破解日志的日志
2、【check2】日志服务器仅可以接收到该过滤级别的防暴力破解日志，接收到日志的所有字段与写入的字段完全相同
3、【check3】日志服务器可以接收到所有级别的防暴力破解日志，接收到日志的所有字段与写入的字段完全相同</t>
  </si>
  <si>
    <t>log.logserver.filter.system.ptc1</t>
  </si>
  <si>
    <t>1、持续向日志侦听端口写入系统日志的日志，日志级别包含调试所有级别，观察日志服务器的日志接收。【check1】
2、配置开启系统日志的日志过滤开关为发送，发送日志级别仅发送调试的日志，观察日志服务器接收情况。【check2】
3、配置开启系统日志的日志过滤开关为发送，发送日志级别仅发送信息的日志，观察日志服务器接收情况。【check2】
4、配置开启系统日志的日志过滤开关为发送，发送日志级别仅发送警告的日志，观察日志服务器接收情况。【check2】
5、配置开启系统日志的日志过滤开关为发送，发送日志级别仅发送错误的日志，观察日志服务器接收情况。【check2】
6、配置开启系统日志的日志过滤开关为发送，发送日志级别仅发送致命错误的日志，观察日志服务器接收情况。【check2】
7、配置开启系统日志的日志过滤开关为发送，发送日志级别仅发送严重错误的日志，观察日志服务器接收情况。【check2】
8、配置开启系统日志的日志过滤开关为发送，发送日志级别仅发送所有级别的日志，观察日志服务器接收情况。【check3】</t>
  </si>
  <si>
    <t>1、【check1】日志服务器不能接收到任何系统日志的日志
2、【check2】日志服务器仅可以接收到该过滤级别的系统日志，接收到日志的所有字段与写入的字段完全相同
3、【check3】日志服务器可以接收到所有级别的系统日志，接收到日志的所有字段与写入的字段完全相同</t>
  </si>
  <si>
    <t>log.logserver.filter.system.ptc2</t>
  </si>
  <si>
    <t>1、持续向日志侦听端口写入操作日志的日志，日志级别包含调试所有级别，观察日志服务器的日志接收。【check1】
2、配置开启操作日志的日志过滤开关为发送，发送日志级别仅发送调试的日志，观察日志服务器接收情况。【check2】
3、配置开启操作日志的日志过滤开关为发送，发送日志级别仅发送信息的日志，观察日志服务器接收情况。【check2】
4、配置开启操作日志的日志过滤开关为发送，发送日志级别仅发送警告的日志，观察日志服务器接收情况。【check2】
5、配置开启操作日志的日志过滤开关为发送，发送日志级别仅发送错误的日志，观察日志服务器接收情况。【check2】
6、配置开启操作日志的日志过滤开关为发送，发送日志级别仅发送致命错误的日志，观察日志服务器接收情况。【check2】
7、配置开启操作日志的日志过滤开关为发送，发送日志级别仅发送严重错误的日志，观察日志服务器接收情况。【check2】
8、配置开启操作日志的日志过滤开关为发送，发送日志级别仅发送所有级别的日志，观察日志服务器接收情况。【check3】</t>
  </si>
  <si>
    <t>1、【check1】日志服务器不能接收到任何操作日志的日志
2、【check2】日志服务器仅可以接收到该过滤级别的操作日志，接收到日志的所有字段与写入的字段完全相同
3、【check3】日志服务器可以接收到所有级别的操作日志，接收到日志的所有字段与写入的字段完全相同</t>
  </si>
  <si>
    <t>log.logserver.filter.center.sec.ptc1.001</t>
  </si>
  <si>
    <t>1、持续向日志侦听端口写入单包防护日志的日志
2、配置开启单包防护日志的日志过滤开关为不发送，发送日志级别仅发送$[过滤级别]的日志，观察日志服务器接收情况。【check1】
3、配置开启单包防护日志的日志过滤开关为发送，观察日志服务器接收情况。【check3】</t>
  </si>
  <si>
    <t>1、【check1】日志服务器不能接收到任何单包防护日志的日志
2、【check2】日志服务器可以接收到单包防护日志的日志，接收到日志的所有字段与写入的字段完全相同</t>
  </si>
  <si>
    <t>log.logserver.filter.center.sec.ptc1.002</t>
  </si>
  <si>
    <t>1、持续向日志侦听端口写入Flood攻击日志的日志
2、配置开启Flood攻击日志的日志过滤开关为不发送，发送日志级别仅发送$[过滤级别]的日志，观察日志服务器接收情况。【check1】
3、配置开启Flood攻击日志的日志过滤开关为发送，观察日志服务器接收情况。【check3】</t>
  </si>
  <si>
    <t>1、【check1】日志服务器不能接收到任何Flood攻击日志的日志
2、【check2】日志服务器可以接收到Flood攻击日志的日志，接收到日志的所有字段与写入的字段完全相同</t>
  </si>
  <si>
    <t>log.logserver.filter.center.sec.ptc1.003</t>
  </si>
  <si>
    <t>1、持续向日志侦听端口写入黑白名单日志的日志
2、配置开启黑白名单日志的日志过滤开关为不发送，发送日志级别仅发送$[过滤级别]的日志，观察日志服务器接收情况。【check1】
3、配置开启黑白名单日志的日志过滤开关为发送，观察日志服务器接收情况。【check3】</t>
  </si>
  <si>
    <t>1、【check1】日志服务器不能接收到任何黑白名单日志的日志
2、【check2】日志服务器可以接收到黑白名单日志的日志，接收到日志的所有字段与写入的字段完全相同</t>
  </si>
  <si>
    <t>log.logserver.filter.center.sec.ptc1.004</t>
  </si>
  <si>
    <t>1、持续向日志侦听端口写入EDR推广日志的日志
2、配置开启EDR推广日志的日志过滤开关为不发送，发送日志级别仅发送$[过滤级别]的日志，观察日志服务器接收情况。【check1】
3、配置开启EDR推广日志的日志过滤开关为发送，观察日志服务器接收情况。【check3】</t>
  </si>
  <si>
    <t>1、【check1】日志服务器不能接收到任何EDR推广日志的日志
2、【check2】日志服务器可以接收到EDR推广日志的日志，接收到日志的所有字段与写入的字段完全相同</t>
  </si>
  <si>
    <t>验证标准格式IPSecVpn日志过滤功能</t>
    <phoneticPr fontId="16" type="noConversion"/>
  </si>
  <si>
    <t>log.logserver.filter.center.sec.ptc1.005</t>
  </si>
  <si>
    <t>1、网元正常启动
2、配置静态路由保证日志服务器网络可达
3、开启日志服务器</t>
    <phoneticPr fontId="16" type="noConversion"/>
  </si>
  <si>
    <t>1、持续向日志侦听端口写入IPSecVpn日志的日志
2、配置开启IPSecVpn日志的日志过滤开关为不发送，发送日志级别仅发送$[过滤级别]的日志，观察日志服务器接收情况。【check1】
3、配置开启IPSecVpn日志的日志过滤开关为发送，观察日志服务器接收情况。【check3】</t>
    <phoneticPr fontId="16" type="noConversion"/>
  </si>
  <si>
    <t>1、【check1】日志服务器不能接收到任何IPSecVpn日志的日志
2、【check2】日志服务器可以接收到IPSecVpn日志的日志，接收到日志的所有字段与写入的字段完全相同</t>
  </si>
  <si>
    <t>DFX</t>
    <phoneticPr fontId="16" type="noConversion"/>
  </si>
  <si>
    <t>log.dfx.capcity.ptc1</t>
  </si>
  <si>
    <t xml:space="preserve">1、向日志侦听端口写入系统日志,操作日志,入侵防御日志,防病毒日志,内容过滤日志,文件过滤日志,URL过滤日志,WEB防护日志,防暴力破解日志,弱密码日志,控制策略阻断日志,本地控制策略日志,单包防护日志,Flood攻击日志,黑白名单日志,EDR推广日志,IPSecVPN日志中任意一种日志，使其达到该种日志的最大数量-1，使用接口查询日志。【check1】
2、再向日志端口写入另外一种日志，使其达到最大规格的30%，并使用接口查询日志。【check1】
3、遍历所有日志日类型，均写入最大数量的30%，并使用接口查询日志。【check1】【check2】
</t>
  </si>
  <si>
    <t>1、【check1】日志写入成功，查询日志与写入的数量和内容一致。
2、【check2】日志响应时间无明显降低</t>
  </si>
  <si>
    <t>log.dfx.rps.ptc1</t>
  </si>
  <si>
    <t xml:space="preserve">1、选取系统日志,操作日志,入侵防御日志,防病毒日志,内容过滤日志,文件过滤日志,URL过滤日志,WEB防护日志,防暴力破解日志,弱密码日志,控制策略阻断日志,本地控制策略日志,单包防护日志,Flood攻击日志,黑白名单日志,EDR推广日志,IPSecVPN日志中任意两种以上日志。
2、持续以200条/s的速率向日志侦听端口写入步骤1中选取的日志，使用接口观察日志。【check1】
3、持续以超过1000条/s的速率向日志侦听端口写入步骤1中选取的日志，使用接口观察日志。【check2】【check3】
4、持续以超过1000条/s的速率写入日志，同时没过10s查询一次日志，持续2小时以上。【check2】【chekc3】
</t>
  </si>
  <si>
    <t>1、【check1】日志写入成功，查询日志与写入的数量和内容一致。
2、【check2】部分日志会被丢弃，但是写入的日志数据正确
3、【check3】设备CPU、内容、磁盘无异常</t>
  </si>
  <si>
    <t>log.dfx.rps.send.ptc1</t>
  </si>
  <si>
    <t xml:space="preserve">1、选取系统日志,操作日志,入侵防御日志,防病毒日志,内容过滤日志,文件过滤日志,URL过滤日志,WEB防护日志,防暴力破解日志,弱密码日志,控制策略阻断日志,本地控制策略日志,单包防护日志,Flood攻击日志,黑白名单日志,EDR推广日志,IPSecVPN日志中任意两种以上需要外发的日志。
2、持续以200条/s的速率向日志侦听端口写入步骤1中选取的日志，使用接口观察日志，观察日志服务器。【check1】
3、持续以超过1000条/s的速率向日志侦听端口写入步骤1中选取的日志，观察日志服务。【check2】【check3】
4、持续以超过1000条/s的速率写入日志，持续2小时以上。【check2】【chekc3】
</t>
  </si>
  <si>
    <t>1、【check1】日志写入成功，查询日志与写入的数量和内容一致。
2、【check2】日志服务器只能收到部分写入的日志，接收到的部分日志内容正确
3、【check3】设备CPU、内容、磁盘无异常</t>
  </si>
  <si>
    <t>log.dfx.reliability.format.ptc1.001</t>
  </si>
  <si>
    <t xml:space="preserve">1、选取系统日志,操作日志,入侵防御日志,防病毒日志,内容过滤日志,文件过滤日志,URL过滤日志,WEB防护日志,防暴力破解日志,弱密码日志,控制策略阻断日志,本地控制策略日志,单包防护日志,Flood攻击日志,黑白名单日志,EDR推广日志,IPSecVPN日志中任意两种以上日志。
2、持续以200条/s的速率向日志侦听端口写入步骤1中选取的日志，使用接口观察日志。【check1】
3、反复修改日志格式持续时间2小时以上，修改次数超过200次
4、观察设备和使用接口观察日志【check1】【chekc2】
</t>
  </si>
  <si>
    <t>1、【check1】日志写入成功，查询日志与写入的数量和内容一致。
2、【check2】设备CPU、内容、磁盘无异常</t>
  </si>
  <si>
    <t>log.dfx.reliability.format.ptc1.002</t>
  </si>
  <si>
    <t xml:space="preserve">1、选取系统日志,操作日志,入侵防御日志,防病毒日志,内容过滤日志,文件过滤日志,URL过滤日志,WEB防护日志,防暴力破解日志,弱密码日志,控制策略阻断日志,本地控制策略日志,单包防护日志,Flood攻击日志,黑白名单日志,EDR推广日志,IPSecVPN日志中任意两种以上日志。
2、持续以200条/s的速率向日志侦听端口写入步骤1中选取的日志，使用接口观察日志。【check1】
3、反复修改日志过滤持续时间2小时以上，修改次数超过200次
4、观察设备和使用接口观察日志【check1】【chekc2】
</t>
  </si>
  <si>
    <t>log.dfx.reliability.logmng.ptc1.001</t>
  </si>
  <si>
    <t xml:space="preserve">1、选取系统日志,操作日志,入侵防御日志,防病毒日志,内容过滤日志,文件过滤日志,URL过滤日志,WEB防护日志,防暴力破解日志,弱密码日志,控制策略阻断日志,本地控制策略日志,单包防护日志,Flood攻击日志,黑白名单日志,EDR推广日志,IPSecVPN日志中任意两种以上日志。
2、持续以200条/s的速率向日志侦听端口写入步骤1中选取的日志，使用接口观察日志。【check1】
3、反复$修改{操作}持续时间2小时以上，修改次数超过200次
4、观察日志导出【check2】【chekc3】
</t>
  </si>
  <si>
    <t>1、【check1】日志写入成功，查询日志与写入的数量和内容一致。
2、【check2】日志导出功能正常
3、【check3】设备CPU、内容、磁盘无异常</t>
  </si>
  <si>
    <t>log.dfx.reliability.logmng.ptc1.002</t>
  </si>
  <si>
    <t xml:space="preserve">1、选取系统日志,操作日志,入侵防御日志,防病毒日志,内容过滤日志,文件过滤日志,URL过滤日志,WEB防护日志,防暴力破解日志,弱密码日志,控制策略阻断日志,本地控制策略日志,单包防护日志,Flood攻击日志,黑白名单日志,EDR推广日志,IPSecVPN日志中任意两种以上日志。
2、持续以200条/s的速率向日志侦听端口写入步骤1中选取的日志，使用接口观察日志。【check1】
3、反复$修改{操作}持续时间2小时以上，修改次数超过200次
4、观察日志归并【check2】【chekc3】
</t>
  </si>
  <si>
    <t>1、【check1】日志写入成功，查询日志与写入的数量和内容一致。
2、【check2】日志归并功能正常
3、【check3】设备CPU、内容、磁盘无异常</t>
  </si>
  <si>
    <t>log.dfx.reliability.logmng.ptc1.003</t>
  </si>
  <si>
    <t xml:space="preserve">1、选取系统日志,操作日志,入侵防御日志,防病毒日志,内容过滤日志,文件过滤日志,URL过滤日志,WEB防护日志,防暴力破解日志,弱密码日志,控制策略阻断日志,本地控制策略日志,单包防护日志,Flood攻击日志,黑白名单日志,EDR推广日志,IPSecVPN日志中任意两种以上日志。
2、持续以200条/s的速率向日志侦听端口写入步骤1中选取的日志，使用接口观察日志。【check1】
3、反复$修改{操作}持续时间2小时以上，修改次数超过200次
4、观察日志备份【check2】【chekc3】
</t>
  </si>
  <si>
    <t>1、【check1】日志写入成功，查询日志与写入的数量和内容一致。
2、【check2】日志备份功能正常
3、【check3】设备CPU、内容、磁盘无异常</t>
  </si>
  <si>
    <t>log.dfx.reliability.logmng.ptc1.004</t>
  </si>
  <si>
    <t xml:space="preserve">1、选取系统日志,操作日志,入侵防御日志,防病毒日志,内容过滤日志,文件过滤日志,URL过滤日志,WEB防护日志,防暴力破解日志,弱密码日志,控制策略阻断日志,本地控制策略日志,单包防护日志,Flood攻击日志,黑白名单日志,EDR推广日志,IPSecVPN日志中任意两种以上日志。
2、持续以200条/s的速率向日志侦听端口写入步骤1中选取的日志，使用接口观察日志。【check1】
3、反复$修改{操作}持续时间2小时以上，修改次数超过200次
4、观察【check2】【chekc3】
</t>
  </si>
  <si>
    <t>1、【check1】日志写入成功，查询日志与写入的数量和内容一致。
2、【check2】功能正常
3、【check3】设备CPU、内容、磁盘无异常</t>
  </si>
  <si>
    <t>log.dfx.reliability.log.query.ptc1</t>
  </si>
  <si>
    <t xml:space="preserve">1、选取系统日志,操作日志,入侵防御日志,防病毒日志,内容过滤日志,文件过滤日志,URL过滤日志,WEB防护日志,防暴力破解日志,弱密码日志,控制策略阻断日志,本地控制策略日志,单包防护日志,Flood攻击日志,黑白名单日志,EDR推广日志,IPSecVPN日志中任意两种以上日志。
2、持续以200条/s的速率向日志侦听端口写入步骤1中选取的日志，使用接口观察日志。【check1】
3、反复日志查询持续时间2小时以上，查询次数超过200次。【check1】【check2】
</t>
  </si>
  <si>
    <t>log.dfx.reliability.info.ptc1.001</t>
  </si>
  <si>
    <t xml:space="preserve">1、检查设备调试日志和信息收集功能。【check1】
2、反复修改信息收集，持续2小时以上，次数超过200次
3、验证调试日志记录和信息收集功能【check1】【chekc2】
</t>
  </si>
  <si>
    <t>1、【check1】调试信息记录和信息收集功能正常
2、【check2】设备CPU、内容、磁盘无异常</t>
  </si>
  <si>
    <t>log.dfx.reliability.info.ptc1.002</t>
  </si>
  <si>
    <t xml:space="preserve">1、检查设备调试日志和信息收集功能。【check1】
2、反复开启关闭调试日志，持续2小时以上，次数超过200次
3、验证调试日志记录和信息收集功能【check1】【chekc2】
</t>
  </si>
  <si>
    <t>log.dfx.reliability.info.ptc1.003</t>
  </si>
  <si>
    <t xml:space="preserve">1、检查设备调试日志和信息收集功能。【check1】
2、反复手动信息收集，持续2小时以上，次数超过200次
3、验证调试日志记录和信息收集功能【check1】【chekc2】
</t>
  </si>
  <si>
    <t>log.dfx.conf.recover.ptc1.001</t>
  </si>
  <si>
    <t xml:space="preserve">1、配置日志服务器、日志过滤、日志备份（无盘系统不支持不需要配置），日志归并，信息收集方式、日志格式（CLI配置）与默认值不一样
2、验证反复命令重启10次以上。
3、防火墙启动后观察配置【check1】
4、验证日志查询、日志外发、日志备份、日志归并功能【chekc2】
5、验证信息收集功能【check3】
</t>
  </si>
  <si>
    <t>1、【check1】日志服务器、日志过滤、日志备份（无盘系统不支持不需要配置），日志归并，信息收集方式、日志格式（CLI配置）的配置与重启前相同。
2、【check2】日志查询、日志外发、日志备份、日志归并功能正常
3、【check3】信息收集功能正常</t>
  </si>
  <si>
    <t>log.dfx.conf.recover.ptc1.002</t>
  </si>
  <si>
    <t xml:space="preserve">1、配置日志服务器、日志过滤、日志备份（无盘系统不支持不需要配置），日志归并，信息收集方式、日志格式（CLI配置）与默认值不一样
2、验证反复掉电重启10次以上。
3、防火墙启动后观察配置【check1】
4、验证日志查询、日志外发、日志备份、日志归并功能【chekc2】
5、验证信息收集功能【check3】
</t>
  </si>
  <si>
    <t>log.dfx.conf.import.outport.ptc1</t>
  </si>
  <si>
    <t>1、配置日志服务器、日志过滤、日志备份（无盘系统不支持不需要配置），日志归并，信息收集方式、日志格式（CLI配置）与默认值不一样，导出配置。【check1】
2、验证日志查询、日志外发、日志备份、日志归并功能【chekc2】
3、修改日志服务器、日志过滤、日志备份、日志归并、日志信息收集方式、日志格式配置与步骤1中的配置不一样。
4、将步骤1中导出的配置文件导入防火墙。
5、防火墙重启动后观察防火墙配置配置【check3】
6、验证日志查询、日志外发、日志备份、日志归并功能【chekc2】
7、验证信息收集功能【check4】</t>
  </si>
  <si>
    <t>1、【check1】配置导出功能正常
2、【check2】日志查询、日志外发、日志备份、日志归并功能正常
3、【check3】日志服务器、日志过滤、日志备份（无盘系统不支持不需要配置），日志归并，信息收集方式、日志格式（CLI配置）的配置与步骤1中导出的配置相同。
4、【check4】信息收集功能正常</t>
  </si>
  <si>
    <t>log.dfx.conf.upgrade.ptc1</t>
  </si>
  <si>
    <t xml:space="preserve">1、配置日志服务器、日志过滤、日志备份（无盘系统不支持不需要配置），日志归并，信息收集方式、日志格式（CLI配置）与默认值不一样
2、升级防火墙
3、防火墙升级后观察配置【check1】
4、验证日志查询、日志外发、日志备份、日志归并功能【chekc2】
5、验证信息收集功能【check3】
</t>
  </si>
  <si>
    <t>log.dfx.conf.reset.ptc1</t>
  </si>
  <si>
    <t>1、配置日志服务器、日志过滤、日志备份（无盘系统不支持不需要配置），日志归并，信息收集方式、日志格式（CLI配置）与默认值不一样
2、重置防火墙配置
3、防火墙启动后观察配置【check1】</t>
  </si>
  <si>
    <t>1、【check1】日志服务器、日志过滤、日志备份（无盘系统不支持不需要配置），日志归并，信息收集方式、日志格式（CLI配置）的配置还原默认值</t>
  </si>
  <si>
    <t>log.dfx.ha.ptc1.001</t>
  </si>
  <si>
    <t>1、在配置主机上配置日志服务器、日志过滤、日志备份（无盘系统不支持不需要配置），日志归并，信息收集方式、日志格式（CLI配置）与默认值不一样。【check1】
2、在配置备机上观察日志配置，并发起配置修改。【check2】【check3】
3、在双机上观察日志查询、日志外发、日志备份、日志归并功能【check4】
4、在双机上观察调试日志和信息收集功能【check5】
5、发起主备切换，重复步骤3和步骤4。【check4】【check5】
6、发起主备回切，，重复步骤3和步骤4。【check4】【check5】</t>
  </si>
  <si>
    <t>1、【check1】日志服务器、日志过滤、日志备份（无盘系统不支持不需要配置），日志归并，信息收集方式、日志格式（CLI配置）的配置成功
2、【check2】日志服务器、日志过滤、日志备份（无盘系统不支持不需要配置），日志归并，信息收集方式、日志格式（CLI配置）的配置同步到备机
3、【check3】备机不允许修改日志服务器、日志过滤、日志备份（无盘系统不支持不需要配置），日志归并，信息收集方式、日志格式（CLI配置）配置，提示信息正确。
4、【check4】双机的日志查询、日志外发（双机都外发）、日志备份、日志归并功能均正常
5、【check5】双机调试日志和信息收集功能正常。调试日志开关双机不同步且备机可以开始调试日志记录功能。</t>
  </si>
  <si>
    <t>log.dfx.ha.ptc1.002</t>
  </si>
  <si>
    <t>设备日志管理</t>
    <phoneticPr fontId="16" type="noConversion"/>
  </si>
  <si>
    <t>调试日志管理</t>
    <phoneticPr fontId="16" type="noConversion"/>
  </si>
  <si>
    <t>验证vpp异常重启记录die日志功能</t>
    <phoneticPr fontId="16" type="noConversion"/>
  </si>
  <si>
    <t>log.devlog.debug.die.ptc1.001</t>
    <phoneticPr fontId="16" type="noConversion"/>
  </si>
  <si>
    <t>P4</t>
    <phoneticPr fontId="16" type="noConversion"/>
  </si>
  <si>
    <t>1、网元正常启动</t>
    <phoneticPr fontId="16" type="noConversion"/>
  </si>
  <si>
    <t>1、通过kill组件vpp的进程模拟异常重启
2、观察/trace/log目录【check1】
3、30分钟内再次kill组件vpp的进程模拟异常重启，观察/trace/log目录【check2】
4、超过30分钟以上再次kill组件vpp的进程模拟异常重启，观察/trace/log目录【check1】</t>
    <phoneticPr fontId="16" type="noConversion"/>
  </si>
  <si>
    <t>【check1】生成vpp对应的die日志
【check2】不会生成对应的die日志</t>
    <phoneticPr fontId="16" type="noConversion"/>
  </si>
  <si>
    <t>可靠性测试</t>
    <phoneticPr fontId="16" type="noConversion"/>
  </si>
  <si>
    <t>不实现</t>
    <phoneticPr fontId="16" type="noConversion"/>
  </si>
  <si>
    <t>验证agent异常重启记录die日志功能</t>
    <phoneticPr fontId="16" type="noConversion"/>
  </si>
  <si>
    <t>log.devlog.debug.die.ptc1.002</t>
    <phoneticPr fontId="16" type="noConversion"/>
  </si>
  <si>
    <t>1、通过kill组件agent的进程模拟异常重启
2、观察/trace/log目录【check1】
3、30分钟内再次kill组件agent的进程模拟异常重启，观察/trace/log目录【check2】
4、超过30分钟以上再次kill组件agent的进程模拟异常重启，观察/trace/log目录【check1】</t>
    <phoneticPr fontId="16" type="noConversion"/>
  </si>
  <si>
    <t>【check1】生成agent对应的die日志
【check2】不会生成对应的die日志</t>
    <phoneticPr fontId="16" type="noConversion"/>
  </si>
  <si>
    <t>验证influxdb异常重启记录die日志功能</t>
    <phoneticPr fontId="16" type="noConversion"/>
  </si>
  <si>
    <t>log.devlog.debug.die.ptc1.003</t>
    <phoneticPr fontId="16" type="noConversion"/>
  </si>
  <si>
    <t>1、通过kill组件influxdb的进程模拟异常重启
2、观察/trace/log目录【check1】
3、30分钟内再次kill组件influxdb的进程模拟异常重启，观察/trace/log目录【check2】
4、超过30分钟以上再次kill组件influxdb的进程模拟异常重启，观察/trace/log目录【check1】</t>
    <phoneticPr fontId="16" type="noConversion"/>
  </si>
  <si>
    <t>【check1】生成influxdb对应的die日志
【check2】不会生成对应的die日志</t>
    <phoneticPr fontId="16" type="noConversion"/>
  </si>
  <si>
    <t>验证瀚高异常重启记录die日志功能</t>
    <phoneticPr fontId="16" type="noConversion"/>
  </si>
  <si>
    <t>log.devlog.debug.die.ptc1.004</t>
    <phoneticPr fontId="16" type="noConversion"/>
  </si>
  <si>
    <t>1、通过kill组件瀚高的进程模拟异常重启
2、观察/trace/log目录【check1】
3、30分钟内再次kill组件瀚高的进程模拟异常重启，观察/trace/log目录【check2】
4、超过30分钟以上再次kill组件瀚高的进程模拟异常重启，观察/trace/log目录【check1】</t>
    <phoneticPr fontId="16" type="noConversion"/>
  </si>
  <si>
    <t>【check1】生成瀚高对应的die日志
【check2】不会生成对应的die日志</t>
    <phoneticPr fontId="16" type="noConversion"/>
  </si>
  <si>
    <t>验证sslvpn异常重启记录die日志功能</t>
    <phoneticPr fontId="16" type="noConversion"/>
  </si>
  <si>
    <t>log.devlog.debug.die.ptc1.005</t>
    <phoneticPr fontId="16" type="noConversion"/>
  </si>
  <si>
    <t>1、通过kill组件sslvpn的进程模拟异常重启
2、观察/trace/log目录【check1】
3、30分钟内再次kill组件sslvpn的进程模拟异常重启，观察/trace/log目录【check2】
4、超过30分钟以上再次kill组件sslvpn的进程模拟异常重启，观察/trace/log目录【check1】</t>
    <phoneticPr fontId="16" type="noConversion"/>
  </si>
  <si>
    <t>【check1】生成sslvpn对应的die日志
【check2】不会生成对应的die日志</t>
    <phoneticPr fontId="16" type="noConversion"/>
  </si>
  <si>
    <t>验证frr异常重启记录die日志功能</t>
    <phoneticPr fontId="16" type="noConversion"/>
  </si>
  <si>
    <t>log.devlog.debug.die.ptc1.006</t>
    <phoneticPr fontId="16" type="noConversion"/>
  </si>
  <si>
    <t>1、通过kill组件frr的进程模拟异常重启
2、观察/trace/log目录【check1】
3、30分钟内再次kill组件frr的进程模拟异常重启，观察/trace/log目录【check2】
4、超过30分钟以上再次kill组件frr的进程模拟异常重启，观察/trace/log目录【check1】</t>
    <phoneticPr fontId="16" type="noConversion"/>
  </si>
  <si>
    <t>【check1】生成frr对应的die日志
【check2】不会生成对应的die日志</t>
    <phoneticPr fontId="16" type="noConversion"/>
  </si>
  <si>
    <t>验证nginx异常重启记录die日志功能</t>
    <phoneticPr fontId="16" type="noConversion"/>
  </si>
  <si>
    <t>log.devlog.debug.die.ptc1.007</t>
    <phoneticPr fontId="16" type="noConversion"/>
  </si>
  <si>
    <t>1、通过kill组件nginx的进程模拟异常重启
2、观察/trace/log目录【check1】
3、30分钟内再次kill组件nginx的进程模拟异常重启，观察/trace/log目录【check2】
4、超过30分钟以上再次kill组件nginx的进程模拟异常重启，观察/trace/log目录【check1】</t>
    <phoneticPr fontId="16" type="noConversion"/>
  </si>
  <si>
    <t>【check1】生成nginx对应的die日志
【check2】不会生成对应的die日志</t>
    <phoneticPr fontId="16" type="noConversion"/>
  </si>
  <si>
    <t>验证调试日志开关默认值和重启恢复</t>
    <phoneticPr fontId="16" type="noConversion"/>
  </si>
  <si>
    <t>log.devlog.debug.switch.dfault.ptc1</t>
    <phoneticPr fontId="16" type="noConversion"/>
  </si>
  <si>
    <t>1、观察调试日志开关和调试日志记录情况。【check1】【check2】
2、开启调试日志，观察调试日志记录情况。【check3】
3、重启防火墙
4、防火墙启动后观察调试日志开关和调试日志记录情况。【check1】【check2】</t>
    <phoneticPr fontId="16" type="noConversion"/>
  </si>
  <si>
    <t>1、【check1】调试日志开关为关闭
2、【check2】防火墙后台目录中/appdata/etc/agentcfg/supervisor.conf描述所有进程不会记录调试日志
3、【check2】防火墙后台目录中/appdata/etc/agentcfg/supervisor.conf描述所有进程开始记录调试日志</t>
    <phoneticPr fontId="16" type="noConversion"/>
  </si>
  <si>
    <t>验证调试日志开启和关闭功能</t>
    <phoneticPr fontId="16" type="noConversion"/>
  </si>
  <si>
    <t>log.devlog.debug.switch.ptc1</t>
    <phoneticPr fontId="16" type="noConversion"/>
  </si>
  <si>
    <t>P3</t>
    <phoneticPr fontId="16" type="noConversion"/>
  </si>
  <si>
    <t>1、网元正常启动
2、调试日志开关为关闭</t>
    <phoneticPr fontId="16" type="noConversion"/>
  </si>
  <si>
    <t>1、观察/trace/log目录。【check1】
2、开启调试日志【check2】
3、关闭调试日志【check1】【check3】</t>
    <phoneticPr fontId="16" type="noConversion"/>
  </si>
  <si>
    <t>1、【check1】防火墙后台目录中/appdata/etc/agentcfg/supervisor.conf描述所有进程不会记录调试日志
2、【check2】防火墙后台目录中/appdata/etc/agentcfg/supervisor.conf描述所有进程开始记录调试日志
3、【check3】防火墙后台目录中/userdata/userfile/gatherinfo，会生成collection_当前时间戳.zip的文件</t>
    <phoneticPr fontId="16" type="noConversion"/>
  </si>
  <si>
    <t>信息收集</t>
    <phoneticPr fontId="16" type="noConversion"/>
  </si>
  <si>
    <t>验证防火墙异常信息收集功能</t>
    <phoneticPr fontId="16" type="noConversion"/>
  </si>
  <si>
    <t>log.devlog.gather.abnormal.ptc1</t>
    <phoneticPr fontId="16" type="noConversion"/>
  </si>
  <si>
    <t>1、使用dd命令在/trace/coredump目录下构造11个core文件，使得/trace分区使用率在85%到90%之间
2、打开异常信息收集【check1】
3、下载最大和最小的core文件【check2】
4、删除最大和最小的core文件【check3】</t>
    <phoneticPr fontId="16" type="noConversion"/>
  </si>
  <si>
    <t>1、【check1】页面可以查看到所有的core文件
2、【check2】下载成功，下载的文件与构造的文件完全一致
3、【check3】删除成功，在linux后台产看core文件被删除</t>
    <phoneticPr fontId="16" type="noConversion"/>
  </si>
  <si>
    <t>验证防火墙手动收集信息功能</t>
    <phoneticPr fontId="16" type="noConversion"/>
  </si>
  <si>
    <t>log.devlog.gather.info.manual.ptc1</t>
    <phoneticPr fontId="16" type="noConversion"/>
  </si>
  <si>
    <t>1、网元正常启动
2、在防火墙上开启调试日志</t>
    <phoneticPr fontId="16" type="noConversion"/>
  </si>
  <si>
    <t xml:space="preserve">1、在防火墙发起手动收集信息，查看防火墙的信息文件列表。【check1】【check2】
2、重复发起超过3次信息收集【check1】【check2】
3、下载第一个和最后一个信息收集文件。【check3】
4、删除任意信息收集文件。【check4】
5、再次下载任意信息收集文件。【check3】
</t>
    <phoneticPr fontId="16" type="noConversion"/>
  </si>
  <si>
    <t>1、【check1】防火墙的上能够查当前时刻信息收集文件
2、【check2】防火墙后台目录中/userdata/userfile/gatherinfo，会生成collection_当前时间戳.zip的文件
3、【check3】下载成功
4、【check4】删除成功</t>
    <phoneticPr fontId="16" type="noConversion"/>
  </si>
  <si>
    <t>log.devlog.gather.info.auto.ptc1</t>
  </si>
  <si>
    <t>1、配置信息收集方式为自动化，时间为60-720s任意值x，不启用自动化收集，在超过x秒周期观察信息收集文件。【check1】
2、配置防火墙自动化收集信息周期为x，状态为启用。
3、在超过11*x秒周期观察日志收集文件。【check2】
4、删除任意信息收集文件，在下一周期观察信息收集文件。【check3】</t>
  </si>
  <si>
    <t>1、【check1】防火墙前端和后台（/userdata/userfile/gatherinfo）均不会自动生成信息收集文件
2、【check2】防火墙的前台和后台会查询到10个信息收集文件。且第11个周期的文件会覆盖第一个（时间最早的）收集的文件。文件的时间戳间隔与配置的x秒相同。
3、【check3】信息收集文件在前端和后台会达到10个，不会删除任何信息收集文件。</t>
  </si>
  <si>
    <t>log.devlog.gather.info.auto.long.ptc1</t>
  </si>
  <si>
    <t>1、配置信息收集方式为自动化，时间为60-720s任意值x，不启用自动化收集，在超过x秒周期观察信息收集文件。【check1】【check3】
2、配置防火墙自动化收集信息周期为x，状态为启用。
3、保持防护墙开启自动化信息收集超过12小时。【check2】【check3】</t>
  </si>
  <si>
    <t>1、【check1】防火墙前端和后台（/userdata/userfile/gatherinfo）均不会自动生成信息收集文件
2、【check2】防火墙的前台和后台会查询到10个信息收集文件。文件的时间戳间隔与配置的x秒相同。
3、【check3】收集内存和cpu信息，设别无cpu和内存泄漏</t>
  </si>
  <si>
    <t>log.devlog.gather.info.context.ptc1</t>
  </si>
  <si>
    <t>1、在防火墙发起手动收集信息
2、下载手动收集到的信息文件，解压观察收集到的信息。【check1】【check2】
3、配置防火墙为自动化收集信息，且等待期完成至少1次自动化信息收。
4、下载自动收集的信息，解压观察收集到的信息。【check1】【check2】</t>
  </si>
  <si>
    <t>1、【check1】文件解压需要密码，密码为ngfw123!@#
2、【check2】收集信息包含/appdata/etc/version,/appdata/etc/ngfwfeatureinfo,/apdata/etc/license/cliclienseinfo.txt,系统时间,CPU使用率,uptime,free -lh,df -lh,ps -aux | grep /opt,top -n 3,cat /appdata/etc/agentcfg/*,etcd配置(少于2k配置),操作日志（最少1个月）,系统日志（最少1个月）,dmesg,/var/log/messages,vpp下的show logging,最近一周的CPU、内存、磁盘使用率,设备流量大小（收集当时）,每个接口的pps（收集当时）会话总数（收集当时）</t>
  </si>
  <si>
    <t>log.devlog.gather.info.limit.file.ptc1</t>
    <phoneticPr fontId="16" type="noConversion"/>
  </si>
  <si>
    <t>1、在防火墙发起手动或者自动收集信息
2、下载手动收集到的信息文件，解压观察收集到的信息。【check1】【check2】
3、在防火墙配置任意配置使防火墙的etcd配置草果2000个（etcdctl get --prefix / --keys-only | wc -l ）返回值大于2000
4、在防火墙发起手动或者自动收集信息【check1】【check3】</t>
  </si>
  <si>
    <t>1、【check1】文件解压需要密码，密码为ngfw123!@#
2、【check2】收集信息包含/appdata/etc/version,/appdata/etc/ngfwfeatureinfo,/apdata/etc/license/cliclienseinfo.txt,系统时间,CPU使用率,uptime,free -lh,df -lh,ps -aux | grep /opt,top -n 3,cat /appdata/etc/agentcfg/*,etcd配置(少于2k配置),操作日志（最少1个月）,系统日志（最少1个月）,dmesg,/var/log/messages,vpp下的show logging,最近一周的CPU、内存、磁盘使用率,设备流量大小（收集当时）,每个接口的pps（收集当时）会话总数（收集当时），且信息正确
3、【check3】信息收集叫check2中少了etcd配置，其他信息相同且信息正确</t>
  </si>
  <si>
    <t>日志进程管理</t>
    <phoneticPr fontId="16" type="noConversion"/>
  </si>
  <si>
    <t>验证influxdb进程守护功能</t>
    <phoneticPr fontId="16" type="noConversion"/>
  </si>
  <si>
    <t>log.dfx.process.guard.ptc1.001</t>
  </si>
  <si>
    <t>1、linux后台查看进程启动情况【check1】
2、kill -9 influxdb进程对应的进程号，linux后台查看进程【check2】
3、构造产生任意操作日志，观察日志记录情况。【check3】
4、频繁kill influxdb200次以上，重复步骤2和步骤3。【check2】【check3】</t>
  </si>
  <si>
    <t>1、【check1】influxdb进程正常启动
2、【check2】influxdb进程在5s内正常启动
3、【check3】操作日志正常记录</t>
  </si>
  <si>
    <t>log.dfx.process.guard.ptc1.002</t>
  </si>
  <si>
    <t>1、linux后台查看进程启动情况【check1】
2、kill -9 dbtask进程对应的进程号，linux后台查看进程【check2】
3、构造产生任意操作日志，观察日志记录情况。【check3】
4、频繁kill dbtask200次以上，重复步骤2和步骤3。【check2】【check3】</t>
  </si>
  <si>
    <t>1、【check1】dbtask进程正常启动
2、【check2】dbtask进程在5s内正常启动
3、【check3】操作日志正常记录</t>
  </si>
  <si>
    <t>验证logservr进程守护功能</t>
    <phoneticPr fontId="16" type="noConversion"/>
  </si>
  <si>
    <t>log.dfx.process.guard.ptc1.003</t>
  </si>
  <si>
    <t>1、linux后台查看进程启动情况【check1】
2、kill -9 logservr进程对应的进程号，linux后台查看进程【check2】
3、构造产生任意操作日志，观察日志记录情况。【check3】
4、频繁kill logservr200次以上，重复步骤2和步骤3。【check2】【check3】</t>
    <phoneticPr fontId="16" type="noConversion"/>
  </si>
  <si>
    <t>1、【check1】logservr进程正常启动
2、【check2】logservr进程在5s内正常启动
3、【check3】操作日志正常记录</t>
    <phoneticPr fontId="16" type="noConversion"/>
  </si>
  <si>
    <t>验证influxdb组件在有存储设备上的启动参数</t>
    <phoneticPr fontId="16" type="noConversion"/>
  </si>
  <si>
    <t>log.devlog.debug.hour.truncate.trace.ptc1</t>
    <phoneticPr fontId="16" type="noConversion"/>
  </si>
  <si>
    <t>1、使用ps进程观察influxdb的启动参数【check1】
2、在/appdata/etc/agentcfg/supervisor.conf中观察influxdb的启动参数【check1】
3、使用ll观察/userdata/influxdbdata和/userdata/userfile/influxTask目录【check3】</t>
  </si>
  <si>
    <t>1、【check1】启动参数为"--bolt-path /appdata/etc/influxd.bolt --engine-path /userdata/influxdbdata/ --http-bind-address 127.0.0.1:8086 --http-idle-timeout 3m0s --http-read-timeout 10s --http-write-timeout 10s --query-memory-bytes 7730941132 --influxql-max-select-point 0"
2、【check2】存在软件链接/userdata/userfile/influxTask -&gt; /exdisk/userfile/influxTask和/userdata/influxdbdata -&gt; /exdisk/influxdbdata</t>
  </si>
  <si>
    <t>TGFW-160，TGFW-A100-FU</t>
    <phoneticPr fontId="16" type="noConversion"/>
  </si>
  <si>
    <t>log.devlog.debug.hour.truncate.trace.ptc2</t>
  </si>
  <si>
    <t>1、【check1】启动参数为"--bolt-path /appdata/etc/influxd.bolt --engine-path /userdata/influxdbdata/ --http-bind-address 127.0.0.1:8086 --http-idle-timeout 3m0s --http-read-timeout 10s --http-write-timeout 10s --query-memory-bytes 1932735283 --influxql-max-select-point 0"
2、【check2】两个文件不存在软链接</t>
  </si>
  <si>
    <t>TGFW-EX-STORAGE</t>
    <phoneticPr fontId="16"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</si>
</sst>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宋体"/>
      <family val="2"/>
      <charset val="134"/>
      <scheme val="minor"/>
    </font>
    <font>
      <sz val="9"/>
      <name val="宋体"/>
      <family val="2"/>
      <charset val="134"/>
      <scheme val="minor"/>
    </font>
    <font>
      <b/>
      <sz val="34"/>
      <color theme="1"/>
      <name val="华文细黑"/>
      <family val="3"/>
      <charset val="134"/>
    </font>
    <font>
      <b/>
      <sz val="14"/>
      <color theme="1"/>
      <name val="华文细黑"/>
      <family val="3"/>
      <charset val="134"/>
    </font>
    <font>
      <sz val="14"/>
      <color theme="1"/>
      <name val="宋体"/>
      <family val="3"/>
      <charset val="134"/>
      <scheme val="minor"/>
    </font>
    <font>
      <b/>
      <sz val="14"/>
      <color theme="1"/>
      <name val="宋体"/>
      <family val="3"/>
      <charset val="134"/>
      <scheme val="minor"/>
    </font>
    <font>
      <b/>
      <sz val="16"/>
      <color theme="1"/>
      <name val="华文细黑"/>
      <family val="3"/>
      <charset val="134"/>
    </font>
    <font>
      <sz val="11"/>
      <color theme="1"/>
      <name val="华文细黑"/>
      <family val="3"/>
      <charset val="134"/>
    </font>
    <font>
      <sz val="11"/>
      <name val="宋体"/>
      <family val="3"/>
      <charset val="134"/>
      <scheme val="minor"/>
    </font>
    <font>
      <b/>
      <sz val="11"/>
      <color theme="1"/>
      <name val="宋体"/>
      <family val="3"/>
      <charset val="134"/>
      <scheme val="minor"/>
    </font>
    <font>
      <b/>
      <sz val="11"/>
      <name val="宋体"/>
      <family val="3"/>
      <charset val="134"/>
      <scheme val="minor"/>
    </font>
    <font>
      <sz val="11"/>
      <color theme="1"/>
      <name val="宋体"/>
      <family val="2"/>
      <charset val="134"/>
      <scheme val="minor"/>
    </font>
    <font>
      <strike/>
      <sz val="11"/>
      <color theme="1"/>
      <name val="宋体"/>
      <family val="2"/>
      <charset val="134"/>
      <scheme val="minor"/>
    </font>
    <font>
      <strike/>
      <sz val="11"/>
      <color theme="1"/>
      <name val="宋体"/>
      <family val="3"/>
      <charset val="134"/>
      <scheme val="minor"/>
    </font>
    <font>
      <strike/>
      <sz val="11"/>
      <color rgb="FFFF0000"/>
      <name val="宋体"/>
      <family val="3"/>
      <charset val="134"/>
      <scheme val="minor"/>
    </font>
    <font>
      <sz val="11"/>
      <color theme="1"/>
      <name val="宋体"/>
      <family val="3"/>
      <charset val="134"/>
      <scheme val="minor"/>
    </font>
    <font>
      <sz val="9"/>
      <name val="宋体"/>
      <family val="3"/>
      <charset val="134"/>
      <scheme val="minor"/>
    </font>
    <font>
      <strike/>
      <sz val="11"/>
      <name val="宋体"/>
      <family val="3"/>
      <charset val="134"/>
      <scheme val="minor"/>
    </font>
    <font>
      <b/>
      <strike/>
      <sz val="11"/>
      <name val="宋体"/>
      <family val="3"/>
      <charset val="134"/>
      <scheme val="minor"/>
    </font>
    <font>
      <sz val="11"/>
      <color rgb="FFFF0000"/>
      <name val="宋体"/>
      <family val="2"/>
      <charset val="134"/>
      <scheme val="minor"/>
    </font>
  </fonts>
  <fills count="9">
    <fill>
      <patternFill patternType="none"/>
    </fill>
    <fill>
      <patternFill patternType="gray125"/>
    </fill>
    <fill>
      <patternFill patternType="solid">
        <fgColor theme="0"/>
        <bgColor indexed="64"/>
      </patternFill>
    </fill>
    <fill>
      <patternFill patternType="solid">
        <fgColor theme="9" tint="0.59999389629810485"/>
        <bgColor indexed="64"/>
      </patternFill>
    </fill>
    <fill>
      <patternFill patternType="solid">
        <fgColor theme="8" tint="0.79998168889431442"/>
        <bgColor indexed="64"/>
      </patternFill>
    </fill>
    <fill>
      <patternFill patternType="solid">
        <fgColor theme="9" tint="0.79998168889431442"/>
        <bgColor indexed="64"/>
      </patternFill>
    </fill>
    <fill>
      <patternFill patternType="solid">
        <fgColor theme="9" tint="0.39997558519241921"/>
        <bgColor indexed="64"/>
      </patternFill>
    </fill>
    <fill>
      <patternFill patternType="solid">
        <fgColor theme="9"/>
        <bgColor indexed="64"/>
      </patternFill>
    </fill>
    <fill>
      <patternFill patternType="solid">
        <fgColor theme="0" tint="-0.249977111117893"/>
        <bgColor indexed="64"/>
      </patternFill>
    </fill>
  </fills>
  <borders count="27">
    <border>
      <left/>
      <right/>
      <top/>
      <bottom/>
      <diagonal/>
    </border>
    <border>
      <left style="thin">
        <color indexed="64"/>
      </left>
      <right style="thin">
        <color indexed="64"/>
      </right>
      <top style="thin">
        <color indexed="64"/>
      </top>
      <bottom style="thin">
        <color indexed="64"/>
      </bottom>
      <diagonal/>
    </border>
    <border>
      <left style="thick">
        <color auto="1"/>
      </left>
      <right/>
      <top style="thick">
        <color auto="1"/>
      </top>
      <bottom/>
      <diagonal/>
    </border>
    <border>
      <left/>
      <right/>
      <top style="thick">
        <color auto="1"/>
      </top>
      <bottom/>
      <diagonal/>
    </border>
    <border>
      <left/>
      <right style="thick">
        <color auto="1"/>
      </right>
      <top style="thick">
        <color auto="1"/>
      </top>
      <bottom/>
      <diagonal/>
    </border>
    <border>
      <left style="thick">
        <color auto="1"/>
      </left>
      <right/>
      <top/>
      <bottom/>
      <diagonal/>
    </border>
    <border>
      <left/>
      <right style="thick">
        <color auto="1"/>
      </right>
      <top/>
      <bottom/>
      <diagonal/>
    </border>
    <border>
      <left/>
      <right/>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ck">
        <color auto="1"/>
      </left>
      <right/>
      <top/>
      <bottom style="thick">
        <color auto="1"/>
      </bottom>
      <diagonal/>
    </border>
    <border>
      <left/>
      <right/>
      <top/>
      <bottom style="thick">
        <color auto="1"/>
      </bottom>
      <diagonal/>
    </border>
    <border>
      <left/>
      <right style="thick">
        <color auto="1"/>
      </right>
      <top/>
      <bottom style="thick">
        <color auto="1"/>
      </bottom>
      <diagonal/>
    </border>
    <border>
      <left style="thin">
        <color indexed="64"/>
      </left>
      <right style="thin">
        <color indexed="64"/>
      </right>
      <top style="thin">
        <color indexed="64"/>
      </top>
      <bottom/>
      <diagonal/>
    </border>
    <border>
      <left style="thin">
        <color auto="1"/>
      </left>
      <right style="thin">
        <color auto="1"/>
      </right>
      <top style="thin">
        <color auto="1"/>
      </top>
      <bottom style="thin">
        <color auto="1"/>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auto="1"/>
      </left>
      <right style="thin">
        <color auto="1"/>
      </right>
      <top/>
      <bottom/>
      <diagonal/>
    </border>
    <border>
      <left style="thin">
        <color indexed="64"/>
      </left>
      <right style="thin">
        <color indexed="64"/>
      </right>
      <top style="thin">
        <color indexed="64"/>
      </top>
      <bottom style="thin">
        <color auto="1"/>
      </bottom>
      <diagonal/>
    </border>
    <border>
      <left style="thin">
        <color indexed="64"/>
      </left>
      <right style="thin">
        <color indexed="64"/>
      </right>
      <top/>
      <bottom style="thin">
        <color auto="1"/>
      </bottom>
      <diagonal/>
    </border>
    <border>
      <left/>
      <right style="thin">
        <color indexed="64"/>
      </right>
      <top style="thin">
        <color indexed="64"/>
      </top>
      <bottom style="thin">
        <color auto="1"/>
      </bottom>
      <diagonal/>
    </border>
    <border>
      <left/>
      <right/>
      <top style="thin">
        <color indexed="64"/>
      </top>
      <bottom style="thin">
        <color auto="1"/>
      </bottom>
      <diagonal/>
    </border>
    <border>
      <left style="thin">
        <color rgb="FF000000"/>
      </left>
      <right style="thin">
        <color rgb="FF000000"/>
      </right>
      <top style="thin">
        <color rgb="FF000000"/>
      </top>
      <bottom style="thin">
        <color rgb="FF000000"/>
      </bottom>
      <diagonal/>
    </border>
    <border>
      <left style="thin">
        <color auto="1"/>
      </left>
      <right/>
      <top style="thin">
        <color auto="1"/>
      </top>
      <bottom style="thin">
        <color auto="1"/>
      </bottom>
      <diagonal/>
    </border>
    <border>
      <left/>
      <right/>
      <top style="thin">
        <color indexed="64"/>
      </top>
      <bottom/>
      <diagonal/>
    </border>
    <border>
      <left/>
      <right style="thin">
        <color indexed="64"/>
      </right>
      <top style="thin">
        <color indexed="64"/>
      </top>
      <bottom/>
      <diagonal/>
    </border>
    <border>
      <left/>
      <right style="thin">
        <color indexed="64"/>
      </right>
      <top/>
      <bottom style="thin">
        <color auto="1"/>
      </bottom>
      <diagonal/>
    </border>
  </borders>
  <cellStyleXfs count="2">
    <xf numFmtId="0" fontId="0" fillId="0" borderId="0">
      <alignment vertical="center"/>
    </xf>
    <xf numFmtId="9" fontId="11" fillId="0" borderId="0">
      <alignment vertical="center"/>
    </xf>
  </cellStyleXfs>
  <cellXfs count="172">
    <xf numFmtId="0" fontId="0" fillId="0" borderId="0" xfId="0">
      <alignment vertical="center"/>
    </xf>
    <xf numFmtId="0" fontId="0" fillId="2" borderId="2" xfId="0" applyFill="1" applyBorder="1">
      <alignment vertical="center"/>
    </xf>
    <xf numFmtId="0" fontId="0" fillId="2" borderId="3" xfId="0" applyFill="1" applyBorder="1">
      <alignment vertical="center"/>
    </xf>
    <xf numFmtId="0" fontId="0" fillId="2" borderId="4" xfId="0" applyFill="1" applyBorder="1">
      <alignment vertical="center"/>
    </xf>
    <xf numFmtId="0" fontId="0" fillId="2" borderId="5" xfId="0" applyFill="1" applyBorder="1">
      <alignment vertical="center"/>
    </xf>
    <xf numFmtId="0" fontId="0" fillId="2" borderId="6" xfId="0" applyFill="1" applyBorder="1">
      <alignment vertical="center"/>
    </xf>
    <xf numFmtId="0" fontId="3" fillId="2" borderId="0" xfId="0" applyFont="1" applyFill="1" applyAlignment="1">
      <alignment horizontal="center" vertical="center"/>
    </xf>
    <xf numFmtId="0" fontId="4" fillId="2" borderId="7" xfId="0" applyFont="1" applyFill="1" applyBorder="1">
      <alignment vertical="center"/>
    </xf>
    <xf numFmtId="0" fontId="4" fillId="2" borderId="0" xfId="0" applyFont="1" applyFill="1" applyAlignment="1">
      <alignment horizontal="center" vertical="center"/>
    </xf>
    <xf numFmtId="0" fontId="5" fillId="2" borderId="0" xfId="0" applyFont="1" applyFill="1" applyAlignment="1">
      <alignment horizontal="center" vertical="center"/>
    </xf>
    <xf numFmtId="0" fontId="4" fillId="2" borderId="0" xfId="0" applyFont="1" applyFill="1">
      <alignment vertical="center"/>
    </xf>
    <xf numFmtId="14" fontId="7" fillId="2" borderId="1" xfId="0" applyNumberFormat="1" applyFont="1" applyFill="1" applyBorder="1" applyAlignment="1">
      <alignment horizontal="center" vertical="center"/>
    </xf>
    <xf numFmtId="0" fontId="0" fillId="2" borderId="10" xfId="0" applyFill="1" applyBorder="1">
      <alignment vertical="center"/>
    </xf>
    <xf numFmtId="0" fontId="0" fillId="2" borderId="11" xfId="0" applyFill="1" applyBorder="1">
      <alignment vertical="center"/>
    </xf>
    <xf numFmtId="0" fontId="0" fillId="2" borderId="12" xfId="0" applyFill="1" applyBorder="1">
      <alignment vertical="center"/>
    </xf>
    <xf numFmtId="0" fontId="0" fillId="0" borderId="1" xfId="0" applyBorder="1">
      <alignment vertical="center"/>
    </xf>
    <xf numFmtId="0" fontId="9" fillId="3" borderId="1" xfId="0" applyFont="1" applyFill="1" applyBorder="1" applyAlignment="1">
      <alignment horizontal="center" vertical="center"/>
    </xf>
    <xf numFmtId="0" fontId="9" fillId="7" borderId="1" xfId="0" applyFont="1" applyFill="1" applyBorder="1">
      <alignment vertical="center"/>
    </xf>
    <xf numFmtId="9" fontId="0" fillId="0" borderId="0" xfId="0" applyNumberFormat="1" applyAlignment="1">
      <alignment horizontal="center" vertical="center"/>
    </xf>
    <xf numFmtId="0" fontId="9" fillId="6" borderId="1" xfId="0" applyFont="1" applyFill="1" applyBorder="1">
      <alignment vertical="center"/>
    </xf>
    <xf numFmtId="0" fontId="0" fillId="6" borderId="1" xfId="0" applyFill="1" applyBorder="1" applyAlignment="1">
      <alignment horizontal="center" vertical="center"/>
    </xf>
    <xf numFmtId="9" fontId="0" fillId="5" borderId="1" xfId="0" applyNumberFormat="1" applyFill="1" applyBorder="1" applyAlignment="1">
      <alignment horizontal="center" vertical="center"/>
    </xf>
    <xf numFmtId="10" fontId="0" fillId="5" borderId="1" xfId="0" applyNumberFormat="1" applyFill="1" applyBorder="1" applyAlignment="1">
      <alignment horizontal="center" vertical="center"/>
    </xf>
    <xf numFmtId="9" fontId="0" fillId="0" borderId="1" xfId="0" applyNumberFormat="1" applyBorder="1" applyAlignment="1">
      <alignment horizontal="center" vertical="center"/>
    </xf>
    <xf numFmtId="0" fontId="0" fillId="8" borderId="1" xfId="0" applyFill="1" applyBorder="1" applyAlignment="1">
      <alignment horizontal="left" vertical="center"/>
    </xf>
    <xf numFmtId="9" fontId="0" fillId="8" borderId="1" xfId="1" applyFont="1" applyFill="1" applyBorder="1" applyAlignment="1">
      <alignment horizontal="left" vertical="center"/>
    </xf>
    <xf numFmtId="0" fontId="0" fillId="0" borderId="0" xfId="0" applyAlignment="1">
      <alignment horizontal="center" vertical="center"/>
    </xf>
    <xf numFmtId="0" fontId="9" fillId="7" borderId="0" xfId="0" applyFont="1" applyFill="1">
      <alignment vertical="center"/>
    </xf>
    <xf numFmtId="0" fontId="0" fillId="0" borderId="0" xfId="0" applyAlignment="1">
      <alignment horizontal="center" vertical="center" wrapText="1"/>
    </xf>
    <xf numFmtId="0" fontId="0" fillId="0" borderId="0" xfId="0" applyAlignment="1"/>
    <xf numFmtId="0" fontId="0" fillId="0" borderId="0" xfId="0" applyAlignment="1">
      <alignment wrapText="1"/>
    </xf>
    <xf numFmtId="0" fontId="8" fillId="5" borderId="18" xfId="0" applyFont="1" applyFill="1" applyBorder="1">
      <alignment vertical="center"/>
    </xf>
    <xf numFmtId="0" fontId="10" fillId="5" borderId="18" xfId="0" applyFont="1" applyFill="1" applyBorder="1" applyAlignment="1">
      <alignment vertical="center" wrapText="1"/>
    </xf>
    <xf numFmtId="0" fontId="8" fillId="0" borderId="18" xfId="0" applyFont="1" applyBorder="1">
      <alignment vertical="center"/>
    </xf>
    <xf numFmtId="0" fontId="0" fillId="0" borderId="18" xfId="0" applyBorder="1" applyAlignment="1">
      <alignment vertical="center" wrapText="1"/>
    </xf>
    <xf numFmtId="0" fontId="8" fillId="4" borderId="18" xfId="0" applyFont="1" applyFill="1" applyBorder="1" applyAlignment="1">
      <alignment vertical="center" wrapText="1"/>
    </xf>
    <xf numFmtId="0" fontId="13" fillId="0" borderId="18" xfId="0" applyFont="1" applyBorder="1" applyAlignment="1">
      <alignment horizontal="center" vertical="center"/>
    </xf>
    <xf numFmtId="0" fontId="10" fillId="5" borderId="18" xfId="0" applyFont="1" applyFill="1" applyBorder="1">
      <alignment vertical="center"/>
    </xf>
    <xf numFmtId="0" fontId="8" fillId="0" borderId="18" xfId="0" quotePrefix="1" applyFont="1" applyBorder="1" applyAlignment="1">
      <alignment vertical="center" wrapText="1"/>
    </xf>
    <xf numFmtId="0" fontId="0" fillId="0" borderId="18" xfId="0" applyBorder="1">
      <alignment vertical="center"/>
    </xf>
    <xf numFmtId="0" fontId="0" fillId="2" borderId="0" xfId="0" applyFill="1">
      <alignment vertical="center"/>
    </xf>
    <xf numFmtId="0" fontId="7" fillId="2" borderId="1" xfId="0" applyFont="1" applyFill="1" applyBorder="1" applyAlignment="1">
      <alignment horizontal="center" vertical="center"/>
    </xf>
    <xf numFmtId="0" fontId="8" fillId="0" borderId="18" xfId="0" applyFont="1" applyBorder="1" applyAlignment="1">
      <alignment horizontal="center" vertical="center" wrapText="1"/>
    </xf>
    <xf numFmtId="0" fontId="10" fillId="5" borderId="18" xfId="0" applyFont="1" applyFill="1" applyBorder="1" applyAlignment="1">
      <alignment horizontal="left" vertical="center" wrapText="1"/>
    </xf>
    <xf numFmtId="0" fontId="9" fillId="6" borderId="18" xfId="0" applyFont="1" applyFill="1" applyBorder="1" applyAlignment="1">
      <alignment horizontal="center" vertical="center"/>
    </xf>
    <xf numFmtId="0" fontId="8" fillId="0" borderId="18" xfId="0" applyFont="1" applyBorder="1" applyAlignment="1">
      <alignment vertical="center" wrapText="1"/>
    </xf>
    <xf numFmtId="0" fontId="0" fillId="0" borderId="1" xfId="0" applyBorder="1" applyAlignment="1">
      <alignment horizontal="center" vertical="center"/>
    </xf>
    <xf numFmtId="0" fontId="9" fillId="6" borderId="1" xfId="0" applyFont="1" applyFill="1" applyBorder="1" applyAlignment="1">
      <alignment horizontal="center" vertical="center"/>
    </xf>
    <xf numFmtId="0" fontId="9" fillId="3" borderId="22" xfId="0" applyFont="1" applyFill="1" applyBorder="1" applyAlignment="1">
      <alignment horizontal="center" vertical="center"/>
    </xf>
    <xf numFmtId="49" fontId="9" fillId="3" borderId="22" xfId="0" applyNumberFormat="1" applyFont="1" applyFill="1" applyBorder="1" applyAlignment="1">
      <alignment horizontal="center" vertical="center"/>
    </xf>
    <xf numFmtId="0" fontId="9" fillId="3" borderId="22" xfId="0" applyFont="1" applyFill="1" applyBorder="1" applyAlignment="1">
      <alignment horizontal="center" vertical="center" wrapText="1"/>
    </xf>
    <xf numFmtId="0" fontId="0" fillId="2" borderId="18" xfId="0" applyFill="1" applyBorder="1" applyAlignment="1">
      <alignment vertical="top"/>
    </xf>
    <xf numFmtId="0" fontId="0" fillId="0" borderId="18" xfId="0" applyBorder="1" applyAlignment="1">
      <alignment horizontal="center" vertical="center"/>
    </xf>
    <xf numFmtId="0" fontId="12" fillId="0" borderId="18" xfId="0" applyFont="1" applyBorder="1">
      <alignment vertical="center"/>
    </xf>
    <xf numFmtId="0" fontId="13" fillId="0" borderId="18" xfId="0" applyFont="1" applyBorder="1">
      <alignment vertical="center"/>
    </xf>
    <xf numFmtId="0" fontId="15" fillId="0" borderId="18" xfId="0" applyFont="1" applyBorder="1">
      <alignment vertical="center"/>
    </xf>
    <xf numFmtId="0" fontId="0" fillId="0" borderId="18" xfId="0" applyBorder="1" applyAlignment="1"/>
    <xf numFmtId="0" fontId="0" fillId="5" borderId="18" xfId="0" applyFill="1" applyBorder="1">
      <alignment vertical="center"/>
    </xf>
    <xf numFmtId="0" fontId="0" fillId="0" borderId="18" xfId="0" applyBorder="1" applyAlignment="1">
      <alignment horizontal="left" vertical="center"/>
    </xf>
    <xf numFmtId="0" fontId="0" fillId="5" borderId="18" xfId="0" applyFill="1" applyBorder="1" applyAlignment="1">
      <alignment horizontal="left" vertical="center"/>
    </xf>
    <xf numFmtId="0" fontId="10" fillId="0" borderId="18" xfId="0" applyFont="1" applyBorder="1">
      <alignment vertical="center"/>
    </xf>
    <xf numFmtId="0" fontId="8" fillId="0" borderId="17" xfId="0" applyFont="1" applyBorder="1" applyAlignment="1">
      <alignment vertical="center" wrapText="1"/>
    </xf>
    <xf numFmtId="0" fontId="0" fillId="0" borderId="18" xfId="0" applyBorder="1" applyAlignment="1">
      <alignment horizontal="left" vertical="center" wrapText="1"/>
    </xf>
    <xf numFmtId="0" fontId="0" fillId="0" borderId="20" xfId="0" applyBorder="1" applyAlignment="1"/>
    <xf numFmtId="0" fontId="13" fillId="0" borderId="18" xfId="0" applyFont="1" applyBorder="1" applyAlignment="1">
      <alignment horizontal="left" vertical="center" wrapText="1"/>
    </xf>
    <xf numFmtId="0" fontId="0" fillId="0" borderId="21" xfId="0" applyBorder="1">
      <alignment vertical="center"/>
    </xf>
    <xf numFmtId="0" fontId="8" fillId="4" borderId="17" xfId="0" applyFont="1" applyFill="1" applyBorder="1" applyAlignment="1">
      <alignment vertical="center" wrapText="1"/>
    </xf>
    <xf numFmtId="0" fontId="8" fillId="0" borderId="18" xfId="0" applyFont="1" applyBorder="1" applyAlignment="1">
      <alignment horizontal="left" vertical="center" wrapText="1"/>
    </xf>
    <xf numFmtId="0" fontId="8" fillId="0" borderId="18" xfId="0" applyFont="1" applyBorder="1" applyAlignment="1">
      <alignment horizontal="center" vertical="center"/>
    </xf>
    <xf numFmtId="0" fontId="8" fillId="0" borderId="13" xfId="0" applyFont="1" applyBorder="1" applyAlignment="1">
      <alignment horizontal="center" vertical="center" wrapText="1"/>
    </xf>
    <xf numFmtId="0" fontId="8" fillId="0" borderId="13" xfId="0" applyFont="1" applyBorder="1" applyAlignment="1">
      <alignment horizontal="left" vertical="center" wrapText="1"/>
    </xf>
    <xf numFmtId="0" fontId="15" fillId="0" borderId="18" xfId="0" applyFont="1" applyBorder="1" applyAlignment="1">
      <alignment horizontal="center" vertical="center"/>
    </xf>
    <xf numFmtId="0" fontId="8" fillId="0" borderId="20" xfId="0" applyFont="1" applyBorder="1" applyAlignment="1">
      <alignment vertical="center" wrapText="1"/>
    </xf>
    <xf numFmtId="0" fontId="17" fillId="0" borderId="20" xfId="0" applyFont="1" applyBorder="1" applyAlignment="1">
      <alignment vertical="center" wrapText="1"/>
    </xf>
    <xf numFmtId="0" fontId="17" fillId="0" borderId="18" xfId="0" applyFont="1" applyBorder="1">
      <alignment vertical="center"/>
    </xf>
    <xf numFmtId="0" fontId="13" fillId="0" borderId="21" xfId="0" applyFont="1" applyBorder="1" applyAlignment="1"/>
    <xf numFmtId="0" fontId="14" fillId="0" borderId="18" xfId="0" applyFont="1" applyBorder="1" applyAlignment="1">
      <alignment horizontal="left" vertical="center" wrapText="1"/>
    </xf>
    <xf numFmtId="0" fontId="8" fillId="0" borderId="13" xfId="0" applyFont="1" applyBorder="1" applyAlignment="1">
      <alignment horizontal="center" vertical="center"/>
    </xf>
    <xf numFmtId="0" fontId="12" fillId="8" borderId="18" xfId="0" applyFont="1" applyFill="1" applyBorder="1">
      <alignment vertical="center"/>
    </xf>
    <xf numFmtId="0" fontId="17" fillId="8" borderId="18" xfId="0" applyFont="1" applyFill="1" applyBorder="1">
      <alignment vertical="center"/>
    </xf>
    <xf numFmtId="0" fontId="13" fillId="0" borderId="0" xfId="0" applyFont="1">
      <alignment vertical="center"/>
    </xf>
    <xf numFmtId="0" fontId="18" fillId="5" borderId="18" xfId="0" applyFont="1" applyFill="1" applyBorder="1" applyAlignment="1">
      <alignment horizontal="left" vertical="center" wrapText="1"/>
    </xf>
    <xf numFmtId="0" fontId="18" fillId="5" borderId="18" xfId="0" applyFont="1" applyFill="1" applyBorder="1" applyAlignment="1">
      <alignment vertical="center" wrapText="1"/>
    </xf>
    <xf numFmtId="0" fontId="13" fillId="0" borderId="18" xfId="0" applyFont="1" applyBorder="1" applyAlignment="1">
      <alignment vertical="center" wrapText="1"/>
    </xf>
    <xf numFmtId="0" fontId="17" fillId="0" borderId="21" xfId="0" applyFont="1" applyBorder="1" applyAlignment="1">
      <alignment horizontal="left" vertical="center"/>
    </xf>
    <xf numFmtId="0" fontId="13" fillId="0" borderId="21" xfId="0" applyFont="1" applyBorder="1">
      <alignment vertical="center"/>
    </xf>
    <xf numFmtId="0" fontId="17" fillId="5" borderId="18" xfId="0" applyFont="1" applyFill="1" applyBorder="1">
      <alignment vertical="center"/>
    </xf>
    <xf numFmtId="0" fontId="17" fillId="4" borderId="18" xfId="0" applyFont="1" applyFill="1" applyBorder="1" applyAlignment="1">
      <alignment vertical="center" wrapText="1"/>
    </xf>
    <xf numFmtId="0" fontId="8" fillId="0" borderId="13" xfId="0" applyFont="1" applyBorder="1" applyAlignment="1">
      <alignment horizontal="left" vertical="center"/>
    </xf>
    <xf numFmtId="0" fontId="8" fillId="0" borderId="13" xfId="0" applyFont="1" applyBorder="1">
      <alignment vertical="center"/>
    </xf>
    <xf numFmtId="0" fontId="19" fillId="0" borderId="17" xfId="0" applyFont="1" applyBorder="1">
      <alignment vertical="center"/>
    </xf>
    <xf numFmtId="0" fontId="15" fillId="0" borderId="18" xfId="0" applyFont="1" applyBorder="1" applyAlignment="1">
      <alignment vertical="center" wrapText="1"/>
    </xf>
    <xf numFmtId="0" fontId="0" fillId="0" borderId="18" xfId="0" applyBorder="1" applyAlignment="1">
      <alignment wrapText="1"/>
    </xf>
    <xf numFmtId="0" fontId="7" fillId="2" borderId="14" xfId="0" applyFont="1" applyFill="1" applyBorder="1" applyAlignment="1">
      <alignment horizontal="left" vertical="center"/>
    </xf>
    <xf numFmtId="0" fontId="0" fillId="0" borderId="8" xfId="0" applyBorder="1" applyAlignment="1"/>
    <xf numFmtId="0" fontId="0" fillId="0" borderId="9" xfId="0" applyBorder="1" applyAlignment="1"/>
    <xf numFmtId="0" fontId="2" fillId="2" borderId="0" xfId="0" applyFont="1" applyFill="1" applyAlignment="1">
      <alignment horizontal="center" vertical="center" wrapText="1"/>
    </xf>
    <xf numFmtId="0" fontId="0" fillId="2" borderId="0" xfId="0" applyFill="1">
      <alignment vertical="center"/>
    </xf>
    <xf numFmtId="0" fontId="4" fillId="2" borderId="7" xfId="0" applyFont="1" applyFill="1" applyBorder="1" applyAlignment="1">
      <alignment horizontal="center" vertical="center"/>
    </xf>
    <xf numFmtId="0" fontId="0" fillId="0" borderId="7" xfId="0" applyBorder="1" applyAlignment="1"/>
    <xf numFmtId="0" fontId="6" fillId="2" borderId="0" xfId="0" applyFont="1" applyFill="1" applyAlignment="1">
      <alignment horizontal="center" vertical="center"/>
    </xf>
    <xf numFmtId="0" fontId="7" fillId="2" borderId="1" xfId="0" applyFont="1" applyFill="1" applyBorder="1" applyAlignment="1">
      <alignment horizontal="center" vertical="center"/>
    </xf>
    <xf numFmtId="0" fontId="0" fillId="0" borderId="15" xfId="0" applyBorder="1" applyAlignment="1"/>
    <xf numFmtId="0" fontId="0" fillId="0" borderId="16" xfId="0" applyBorder="1" applyAlignment="1"/>
    <xf numFmtId="14" fontId="4" fillId="2" borderId="7" xfId="0" applyNumberFormat="1" applyFont="1" applyFill="1" applyBorder="1" applyAlignment="1">
      <alignment horizontal="center" vertical="center"/>
    </xf>
    <xf numFmtId="0" fontId="0" fillId="0" borderId="18" xfId="0" applyBorder="1" applyAlignment="1">
      <alignment horizontal="left" vertical="center" wrapText="1"/>
    </xf>
    <xf numFmtId="0" fontId="9" fillId="3" borderId="18" xfId="0" applyFont="1" applyFill="1" applyBorder="1" applyAlignment="1">
      <alignment horizontal="center" vertical="center"/>
    </xf>
    <xf numFmtId="0" fontId="0" fillId="0" borderId="20" xfId="0" applyBorder="1" applyAlignment="1"/>
    <xf numFmtId="0" fontId="13" fillId="0" borderId="18" xfId="0" applyFont="1" applyBorder="1" applyAlignment="1">
      <alignment horizontal="left" vertical="center" wrapText="1"/>
    </xf>
    <xf numFmtId="0" fontId="0" fillId="0" borderId="23" xfId="0" applyBorder="1" applyAlignment="1">
      <alignment horizontal="left" vertical="center" wrapText="1"/>
    </xf>
    <xf numFmtId="0" fontId="0" fillId="0" borderId="20" xfId="0" applyBorder="1" applyAlignment="1">
      <alignment horizontal="left" vertical="center" wrapText="1"/>
    </xf>
    <xf numFmtId="0" fontId="0" fillId="2" borderId="23" xfId="0" applyFill="1" applyBorder="1" applyAlignment="1">
      <alignment horizontal="left" vertical="top"/>
    </xf>
    <xf numFmtId="0" fontId="0" fillId="2" borderId="21" xfId="0" applyFill="1" applyBorder="1" applyAlignment="1">
      <alignment horizontal="left" vertical="top"/>
    </xf>
    <xf numFmtId="0" fontId="0" fillId="2" borderId="20" xfId="0" applyFill="1" applyBorder="1" applyAlignment="1">
      <alignment horizontal="left" vertical="top"/>
    </xf>
    <xf numFmtId="0" fontId="0" fillId="2" borderId="18" xfId="0" applyFill="1" applyBorder="1">
      <alignment vertical="center"/>
    </xf>
    <xf numFmtId="0" fontId="0" fillId="2" borderId="18" xfId="0" applyFill="1" applyBorder="1" applyAlignment="1">
      <alignment horizontal="center" vertical="top"/>
    </xf>
    <xf numFmtId="0" fontId="8" fillId="0" borderId="23" xfId="0" applyFont="1" applyBorder="1" applyAlignment="1">
      <alignment horizontal="left" vertical="center"/>
    </xf>
    <xf numFmtId="0" fontId="8" fillId="0" borderId="21" xfId="0" applyFont="1" applyBorder="1" applyAlignment="1">
      <alignment horizontal="left" vertical="center"/>
    </xf>
    <xf numFmtId="0" fontId="17" fillId="0" borderId="18" xfId="0" applyFont="1" applyBorder="1" applyAlignment="1">
      <alignment horizontal="center" vertical="center" wrapText="1"/>
    </xf>
    <xf numFmtId="0" fontId="13" fillId="0" borderId="17" xfId="0" applyFont="1" applyBorder="1" applyAlignment="1"/>
    <xf numFmtId="0" fontId="13" fillId="0" borderId="19" xfId="0" applyFont="1" applyBorder="1" applyAlignment="1"/>
    <xf numFmtId="0" fontId="18" fillId="3" borderId="18" xfId="0" applyFont="1" applyFill="1" applyBorder="1" applyAlignment="1">
      <alignment horizontal="center" vertical="center" wrapText="1"/>
    </xf>
    <xf numFmtId="0" fontId="13" fillId="0" borderId="21" xfId="0" applyFont="1" applyBorder="1" applyAlignment="1"/>
    <xf numFmtId="0" fontId="13" fillId="0" borderId="20" xfId="0" applyFont="1" applyBorder="1" applyAlignment="1"/>
    <xf numFmtId="0" fontId="18" fillId="5" borderId="18" xfId="0" applyFont="1" applyFill="1" applyBorder="1" applyAlignment="1">
      <alignment horizontal="left" vertical="center" wrapText="1"/>
    </xf>
    <xf numFmtId="0" fontId="17" fillId="0" borderId="18" xfId="0" applyFont="1" applyBorder="1" applyAlignment="1">
      <alignment horizontal="left" vertical="center"/>
    </xf>
    <xf numFmtId="0" fontId="18" fillId="3" borderId="18" xfId="0" applyFont="1" applyFill="1" applyBorder="1" applyAlignment="1">
      <alignment horizontal="left" vertical="center" wrapText="1"/>
    </xf>
    <xf numFmtId="0" fontId="9" fillId="6" borderId="1" xfId="0" applyFont="1" applyFill="1" applyBorder="1" applyAlignment="1">
      <alignment horizontal="center" vertical="center"/>
    </xf>
    <xf numFmtId="0" fontId="10" fillId="3" borderId="18" xfId="0" applyFont="1" applyFill="1" applyBorder="1" applyAlignment="1">
      <alignment horizontal="center" vertical="center" wrapText="1"/>
    </xf>
    <xf numFmtId="0" fontId="0" fillId="0" borderId="21" xfId="0" applyBorder="1" applyAlignment="1"/>
    <xf numFmtId="0" fontId="10" fillId="5" borderId="18" xfId="0" applyFont="1" applyFill="1" applyBorder="1" applyAlignment="1">
      <alignment horizontal="left" vertical="center" wrapText="1"/>
    </xf>
    <xf numFmtId="0" fontId="0" fillId="0" borderId="13" xfId="0" applyBorder="1" applyAlignment="1">
      <alignment horizontal="center" vertical="center"/>
    </xf>
    <xf numFmtId="0" fontId="0" fillId="0" borderId="17" xfId="0" applyBorder="1" applyAlignment="1">
      <alignment horizontal="center" vertical="center"/>
    </xf>
    <xf numFmtId="0" fontId="0" fillId="0" borderId="19" xfId="0" applyBorder="1" applyAlignment="1">
      <alignment horizontal="center" vertical="center"/>
    </xf>
    <xf numFmtId="0" fontId="8" fillId="0" borderId="18" xfId="0" applyFont="1" applyBorder="1" applyAlignment="1">
      <alignment horizontal="center" vertical="center" wrapText="1"/>
    </xf>
    <xf numFmtId="0" fontId="0" fillId="0" borderId="17" xfId="0" applyBorder="1" applyAlignment="1"/>
    <xf numFmtId="0" fontId="0" fillId="0" borderId="19" xfId="0" applyBorder="1" applyAlignment="1"/>
    <xf numFmtId="0" fontId="8" fillId="0" borderId="18" xfId="0" applyFont="1" applyBorder="1" applyAlignment="1">
      <alignment horizontal="left" vertical="center"/>
    </xf>
    <xf numFmtId="0" fontId="10" fillId="3" borderId="18" xfId="0" applyFont="1" applyFill="1" applyBorder="1" applyAlignment="1">
      <alignment horizontal="left" vertical="center" wrapText="1"/>
    </xf>
    <xf numFmtId="0" fontId="10" fillId="0" borderId="18" xfId="0" applyFont="1" applyBorder="1" applyAlignment="1">
      <alignment horizontal="center" vertical="center" wrapText="1"/>
    </xf>
    <xf numFmtId="0" fontId="8" fillId="0" borderId="17" xfId="0" applyFont="1" applyBorder="1" applyAlignment="1"/>
    <xf numFmtId="0" fontId="8" fillId="0" borderId="18" xfId="0" applyFont="1" applyBorder="1" applyAlignment="1">
      <alignment horizontal="left" vertical="center" wrapText="1"/>
    </xf>
    <xf numFmtId="0" fontId="8" fillId="0" borderId="17" xfId="0" applyFont="1" applyBorder="1" applyAlignment="1">
      <alignment horizontal="center" vertical="center" wrapText="1"/>
    </xf>
    <xf numFmtId="0" fontId="8" fillId="0" borderId="17" xfId="0" applyFont="1" applyBorder="1" applyAlignment="1">
      <alignment horizontal="left" vertical="center" wrapText="1"/>
    </xf>
    <xf numFmtId="0" fontId="0" fillId="0" borderId="18" xfId="0" applyBorder="1" applyAlignment="1">
      <alignment horizontal="center" vertical="center"/>
    </xf>
    <xf numFmtId="0" fontId="10" fillId="3" borderId="13" xfId="0" applyFont="1" applyFill="1" applyBorder="1" applyAlignment="1">
      <alignment horizontal="left" vertical="center" wrapText="1"/>
    </xf>
    <xf numFmtId="0" fontId="0" fillId="0" borderId="24" xfId="0" applyBorder="1" applyAlignment="1"/>
    <xf numFmtId="0" fontId="0" fillId="0" borderId="25" xfId="0" applyBorder="1" applyAlignment="1"/>
    <xf numFmtId="0" fontId="10" fillId="3" borderId="19" xfId="0" applyFont="1" applyFill="1" applyBorder="1" applyAlignment="1">
      <alignment horizontal="center" vertical="center" wrapText="1"/>
    </xf>
    <xf numFmtId="0" fontId="0" fillId="0" borderId="26" xfId="0" applyBorder="1" applyAlignment="1"/>
    <xf numFmtId="0" fontId="10" fillId="0" borderId="17" xfId="0" applyFont="1" applyBorder="1" applyAlignment="1">
      <alignment horizontal="center" vertical="center" wrapText="1"/>
    </xf>
    <xf numFmtId="0" fontId="0" fillId="0" borderId="18" xfId="0" applyBorder="1" applyAlignment="1"/>
    <xf numFmtId="0" fontId="8" fillId="0" borderId="18" xfId="0" applyFont="1" applyBorder="1" applyAlignment="1"/>
    <xf numFmtId="0" fontId="10" fillId="0" borderId="19" xfId="0" applyFont="1" applyBorder="1" applyAlignment="1">
      <alignment horizontal="center" vertical="center" wrapText="1"/>
    </xf>
    <xf numFmtId="0" fontId="8" fillId="0" borderId="18" xfId="0" applyFont="1" applyBorder="1" applyAlignment="1">
      <alignment horizontal="center" vertical="center"/>
    </xf>
    <xf numFmtId="0" fontId="8" fillId="0" borderId="13" xfId="0" applyFont="1" applyBorder="1" applyAlignment="1">
      <alignment horizontal="center" vertical="center" wrapText="1"/>
    </xf>
    <xf numFmtId="0" fontId="8" fillId="0" borderId="19" xfId="0" applyFont="1" applyBorder="1" applyAlignment="1">
      <alignment horizontal="center" vertical="center" wrapText="1"/>
    </xf>
    <xf numFmtId="0" fontId="8" fillId="0" borderId="13" xfId="0" applyFont="1" applyBorder="1" applyAlignment="1">
      <alignment horizontal="left" vertical="center" wrapText="1"/>
    </xf>
    <xf numFmtId="0" fontId="8" fillId="0" borderId="19" xfId="0" applyFont="1" applyBorder="1" applyAlignment="1">
      <alignment horizontal="left" vertical="center" wrapText="1"/>
    </xf>
    <xf numFmtId="0" fontId="14" fillId="0" borderId="18" xfId="0" applyFont="1" applyBorder="1" applyAlignment="1">
      <alignment horizontal="left" vertical="center" wrapText="1"/>
    </xf>
    <xf numFmtId="0" fontId="10" fillId="0" borderId="13" xfId="0" applyFont="1" applyBorder="1" applyAlignment="1">
      <alignment horizontal="center" vertical="center" wrapText="1"/>
    </xf>
    <xf numFmtId="0" fontId="15" fillId="0" borderId="23" xfId="0" applyFont="1" applyBorder="1" applyAlignment="1">
      <alignment horizontal="left" vertical="center" wrapText="1"/>
    </xf>
    <xf numFmtId="0" fontId="15" fillId="0" borderId="20" xfId="0" applyFont="1" applyBorder="1" applyAlignment="1">
      <alignment horizontal="left" vertical="center" wrapText="1"/>
    </xf>
    <xf numFmtId="0" fontId="15" fillId="0" borderId="18" xfId="0" applyFont="1" applyBorder="1" applyAlignment="1">
      <alignment horizontal="left" vertical="center" wrapText="1"/>
    </xf>
    <xf numFmtId="0" fontId="0" fillId="4" borderId="23" xfId="0" applyFill="1" applyBorder="1" applyAlignment="1">
      <alignment horizontal="left" vertical="center"/>
    </xf>
    <xf numFmtId="0" fontId="0" fillId="4" borderId="21" xfId="0" applyFill="1" applyBorder="1" applyAlignment="1">
      <alignment horizontal="left" vertical="center"/>
    </xf>
    <xf numFmtId="0" fontId="0" fillId="4" borderId="20" xfId="0" applyFill="1" applyBorder="1" applyAlignment="1">
      <alignment horizontal="left" vertical="center"/>
    </xf>
    <xf numFmtId="0" fontId="0" fillId="4" borderId="23" xfId="0" applyFill="1" applyBorder="1" applyAlignment="1">
      <alignment horizontal="left" vertical="center" wrapText="1"/>
    </xf>
    <xf numFmtId="0" fontId="15" fillId="4" borderId="18" xfId="0" applyFont="1" applyFill="1" applyBorder="1" applyAlignment="1">
      <alignment horizontal="left" vertical="center"/>
    </xf>
    <xf numFmtId="0" fontId="0" fillId="4" borderId="18" xfId="0" applyFill="1" applyBorder="1" applyAlignment="1">
      <alignment horizontal="left" vertical="center"/>
    </xf>
    <xf numFmtId="0" fontId="0" fillId="5" borderId="18" xfId="0" applyFill="1" applyBorder="1" applyAlignment="1">
      <alignment horizontal="left" vertical="center"/>
    </xf>
    <xf numFmtId="0" fontId="0" fillId="0" borderId="18" xfId="0" applyBorder="1" applyAlignment="1">
      <alignment horizontal="left" vertical="center"/>
    </xf>
  </cellXfs>
  <cellStyles count="2">
    <cellStyle name="百分比" xfId="1" builtinId="5"/>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drawings/_rels/vmlDrawing1.vml.rels><?xml version="1.0" encoding="UTF-8" standalone="yes"?>
<Relationships xmlns="http://schemas.openxmlformats.org/package/2006/relationships"><Relationship Id="rId3" Type="http://schemas.openxmlformats.org/officeDocument/2006/relationships/image" Target="../media/image3.emf"/><Relationship Id="rId2" Type="http://schemas.openxmlformats.org/officeDocument/2006/relationships/image" Target="../media/image2.emf"/><Relationship Id="rId1" Type="http://schemas.openxmlformats.org/officeDocument/2006/relationships/image" Target="../media/image1.emf"/><Relationship Id="rId4"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xdr:col>
          <xdr:colOff>638175</xdr:colOff>
          <xdr:row>1</xdr:row>
          <xdr:rowOff>161925</xdr:rowOff>
        </xdr:from>
        <xdr:to>
          <xdr:col>5</xdr:col>
          <xdr:colOff>447675</xdr:colOff>
          <xdr:row>7</xdr:row>
          <xdr:rowOff>9525</xdr:rowOff>
        </xdr:to>
        <xdr:sp macro="" textlink="">
          <xdr:nvSpPr>
            <xdr:cNvPr id="3073" name="Object 1" hidden="1">
              <a:extLst>
                <a:ext uri="{63B3BB69-23CF-44E3-9099-C40C66FF867C}">
                  <a14:compatExt spid="_x0000_s3073"/>
                </a:ext>
                <a:ext uri="{FF2B5EF4-FFF2-40B4-BE49-F238E27FC236}">
                  <a16:creationId xmlns:a16="http://schemas.microsoft.com/office/drawing/2014/main" id="{00000000-0008-0000-0200-0000010C0000}"/>
                </a:ext>
              </a:extLst>
            </xdr:cNvPr>
            <xdr:cNvSpPr/>
          </xdr:nvSpPr>
          <xdr:spPr bwMode="auto">
            <a:xfrm>
              <a:off x="0" y="0"/>
              <a:ext cx="0" cy="0"/>
            </a:xfrm>
            <a:prstGeom prst="rect">
              <a:avLst/>
            </a:prstGeom>
            <a:solidFill>
              <a:srgbClr val="FFFFFF" mc:Ignorable="a14" a14:legacySpreadsheetColorIndex="65"/>
            </a:solidFill>
            <a:ln>
              <a:noFill/>
            </a:ln>
            <a:extLs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504825</xdr:colOff>
          <xdr:row>26</xdr:row>
          <xdr:rowOff>66675</xdr:rowOff>
        </xdr:from>
        <xdr:to>
          <xdr:col>4</xdr:col>
          <xdr:colOff>161925</xdr:colOff>
          <xdr:row>32</xdr:row>
          <xdr:rowOff>66675</xdr:rowOff>
        </xdr:to>
        <xdr:sp macro="" textlink="">
          <xdr:nvSpPr>
            <xdr:cNvPr id="3074" name="Object 2" hidden="1">
              <a:extLst>
                <a:ext uri="{63B3BB69-23CF-44E3-9099-C40C66FF867C}">
                  <a14:compatExt spid="_x0000_s3074"/>
                </a:ext>
                <a:ext uri="{FF2B5EF4-FFF2-40B4-BE49-F238E27FC236}">
                  <a16:creationId xmlns:a16="http://schemas.microsoft.com/office/drawing/2014/main" id="{00000000-0008-0000-0200-0000020C0000}"/>
                </a:ext>
              </a:extLst>
            </xdr:cNvPr>
            <xdr:cNvSpPr/>
          </xdr:nvSpPr>
          <xdr:spPr bwMode="auto">
            <a:xfrm>
              <a:off x="0" y="0"/>
              <a:ext cx="0" cy="0"/>
            </a:xfrm>
            <a:prstGeom prst="rect">
              <a:avLst/>
            </a:prstGeom>
            <a:solidFill>
              <a:srgbClr val="FFFFFF" mc:Ignorable="a14" a14:legacySpreadsheetColorIndex="65"/>
            </a:solidFill>
            <a:ln>
              <a:noFill/>
            </a:ln>
            <a:extLs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142875</xdr:colOff>
          <xdr:row>48</xdr:row>
          <xdr:rowOff>47625</xdr:rowOff>
        </xdr:from>
        <xdr:to>
          <xdr:col>4</xdr:col>
          <xdr:colOff>409575</xdr:colOff>
          <xdr:row>55</xdr:row>
          <xdr:rowOff>142875</xdr:rowOff>
        </xdr:to>
        <xdr:sp macro="" textlink="">
          <xdr:nvSpPr>
            <xdr:cNvPr id="3075" name="Object 3" hidden="1">
              <a:extLst>
                <a:ext uri="{63B3BB69-23CF-44E3-9099-C40C66FF867C}">
                  <a14:compatExt spid="_x0000_s3075"/>
                </a:ext>
                <a:ext uri="{FF2B5EF4-FFF2-40B4-BE49-F238E27FC236}">
                  <a16:creationId xmlns:a16="http://schemas.microsoft.com/office/drawing/2014/main" id="{00000000-0008-0000-0200-0000030C0000}"/>
                </a:ext>
              </a:extLst>
            </xdr:cNvPr>
            <xdr:cNvSpPr/>
          </xdr:nvSpPr>
          <xdr:spPr bwMode="auto">
            <a:xfrm>
              <a:off x="0" y="0"/>
              <a:ext cx="0" cy="0"/>
            </a:xfrm>
            <a:prstGeom prst="rect">
              <a:avLst/>
            </a:prstGeom>
            <a:solidFill>
              <a:srgbClr val="FFFFFF" mc:Ignorable="a14" a14:legacySpreadsheetColorIndex="65"/>
            </a:solidFill>
            <a:ln>
              <a:noFill/>
            </a:ln>
            <a:extLs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304800</xdr:colOff>
          <xdr:row>68</xdr:row>
          <xdr:rowOff>85725</xdr:rowOff>
        </xdr:from>
        <xdr:to>
          <xdr:col>8</xdr:col>
          <xdr:colOff>257175</xdr:colOff>
          <xdr:row>85</xdr:row>
          <xdr:rowOff>66675</xdr:rowOff>
        </xdr:to>
        <xdr:sp macro="" textlink="">
          <xdr:nvSpPr>
            <xdr:cNvPr id="3076" name="Object 4" hidden="1">
              <a:extLst>
                <a:ext uri="{63B3BB69-23CF-44E3-9099-C40C66FF867C}">
                  <a14:compatExt spid="_x0000_s3076"/>
                </a:ext>
                <a:ext uri="{FF2B5EF4-FFF2-40B4-BE49-F238E27FC236}">
                  <a16:creationId xmlns:a16="http://schemas.microsoft.com/office/drawing/2014/main" id="{00000000-0008-0000-0200-0000040C0000}"/>
                </a:ext>
              </a:extLst>
            </xdr:cNvPr>
            <xdr:cNvSpPr/>
          </xdr:nvSpPr>
          <xdr:spPr bwMode="auto">
            <a:xfrm>
              <a:off x="0" y="0"/>
              <a:ext cx="0" cy="0"/>
            </a:xfrm>
            <a:prstGeom prst="rect">
              <a:avLst/>
            </a:prstGeom>
            <a:solidFill>
              <a:srgbClr val="FFFFFF" mc:Ignorable="a14" a14:legacySpreadsheetColorIndex="65"/>
            </a:solidFill>
            <a:ln>
              <a:noFill/>
            </a:ln>
            <a:extLs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8" Type="http://schemas.openxmlformats.org/officeDocument/2006/relationships/package" Target="../embeddings/Microsoft_Visio_Drawing2.vsdx"/><Relationship Id="rId3" Type="http://schemas.openxmlformats.org/officeDocument/2006/relationships/vmlDrawing" Target="../drawings/vmlDrawing1.vml"/><Relationship Id="rId7" Type="http://schemas.openxmlformats.org/officeDocument/2006/relationships/image" Target="../media/image2.emf"/><Relationship Id="rId2" Type="http://schemas.openxmlformats.org/officeDocument/2006/relationships/drawing" Target="../drawings/drawing1.xml"/><Relationship Id="rId1" Type="http://schemas.openxmlformats.org/officeDocument/2006/relationships/printerSettings" Target="../printerSettings/printerSettings2.bin"/><Relationship Id="rId6" Type="http://schemas.openxmlformats.org/officeDocument/2006/relationships/package" Target="../embeddings/Microsoft_Visio_Drawing1.vsdx"/><Relationship Id="rId11" Type="http://schemas.openxmlformats.org/officeDocument/2006/relationships/image" Target="../media/image4.emf"/><Relationship Id="rId5" Type="http://schemas.openxmlformats.org/officeDocument/2006/relationships/image" Target="../media/image1.emf"/><Relationship Id="rId10" Type="http://schemas.openxmlformats.org/officeDocument/2006/relationships/package" Target="../embeddings/Microsoft_Visio_Drawing3.vsdx"/><Relationship Id="rId4" Type="http://schemas.openxmlformats.org/officeDocument/2006/relationships/package" Target="../embeddings/Microsoft_Visio_Drawing.vsdx"/><Relationship Id="rId9" Type="http://schemas.openxmlformats.org/officeDocument/2006/relationships/image" Target="../media/image3.emf"/></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1:J35"/>
  <sheetViews>
    <sheetView workbookViewId="0">
      <selection activeCell="E21" sqref="E21"/>
    </sheetView>
  </sheetViews>
  <sheetFormatPr defaultColWidth="9" defaultRowHeight="13.5" x14ac:dyDescent="0.15"/>
  <cols>
    <col min="1" max="1" width="2.375" style="40" customWidth="1"/>
    <col min="2" max="2" width="9" style="40" customWidth="1"/>
    <col min="3" max="3" width="11.875" style="40" customWidth="1"/>
    <col min="4" max="6" width="9" style="40" customWidth="1"/>
    <col min="7" max="7" width="13.125" style="40" customWidth="1"/>
    <col min="8" max="23" width="9" style="40" customWidth="1"/>
    <col min="24" max="16384" width="9" style="40"/>
  </cols>
  <sheetData>
    <row r="1" spans="2:10" ht="14.45" customHeight="1" thickBot="1" x14ac:dyDescent="0.2"/>
    <row r="2" spans="2:10" ht="14.45" customHeight="1" thickTop="1" x14ac:dyDescent="0.15">
      <c r="B2" s="1"/>
      <c r="C2" s="2"/>
      <c r="D2" s="2"/>
      <c r="E2" s="2"/>
      <c r="F2" s="2"/>
      <c r="G2" s="2"/>
      <c r="H2" s="2"/>
      <c r="I2" s="2"/>
      <c r="J2" s="3"/>
    </row>
    <row r="3" spans="2:10" ht="14.1" customHeight="1" x14ac:dyDescent="0.15">
      <c r="B3" s="4"/>
      <c r="J3" s="5"/>
    </row>
    <row r="4" spans="2:10" ht="13.5" customHeight="1" x14ac:dyDescent="0.15">
      <c r="B4" s="4"/>
      <c r="C4" s="96" t="s">
        <v>176</v>
      </c>
      <c r="D4" s="97"/>
      <c r="E4" s="97"/>
      <c r="F4" s="97"/>
      <c r="G4" s="97"/>
      <c r="H4" s="97"/>
      <c r="I4" s="97"/>
      <c r="J4" s="5"/>
    </row>
    <row r="5" spans="2:10" ht="13.5" customHeight="1" x14ac:dyDescent="0.15">
      <c r="B5" s="4"/>
      <c r="C5" s="97"/>
      <c r="D5" s="97"/>
      <c r="E5" s="97"/>
      <c r="F5" s="97"/>
      <c r="G5" s="97"/>
      <c r="H5" s="97"/>
      <c r="I5" s="97"/>
      <c r="J5" s="5"/>
    </row>
    <row r="6" spans="2:10" ht="13.5" customHeight="1" x14ac:dyDescent="0.15">
      <c r="B6" s="4"/>
      <c r="C6" s="97"/>
      <c r="D6" s="97"/>
      <c r="E6" s="97"/>
      <c r="F6" s="97"/>
      <c r="G6" s="97"/>
      <c r="H6" s="97"/>
      <c r="I6" s="97"/>
      <c r="J6" s="5"/>
    </row>
    <row r="7" spans="2:10" ht="13.5" customHeight="1" x14ac:dyDescent="0.15">
      <c r="B7" s="4"/>
      <c r="C7" s="97"/>
      <c r="D7" s="97"/>
      <c r="E7" s="97"/>
      <c r="F7" s="97"/>
      <c r="G7" s="97"/>
      <c r="H7" s="97"/>
      <c r="I7" s="97"/>
      <c r="J7" s="5"/>
    </row>
    <row r="8" spans="2:10" ht="13.5" customHeight="1" x14ac:dyDescent="0.15">
      <c r="B8" s="4"/>
      <c r="C8" s="97"/>
      <c r="D8" s="97"/>
      <c r="E8" s="97"/>
      <c r="F8" s="97"/>
      <c r="G8" s="97"/>
      <c r="H8" s="97"/>
      <c r="I8" s="97"/>
      <c r="J8" s="5"/>
    </row>
    <row r="9" spans="2:10" ht="13.5" customHeight="1" x14ac:dyDescent="0.15">
      <c r="B9" s="4"/>
      <c r="C9" s="97"/>
      <c r="D9" s="97"/>
      <c r="E9" s="97"/>
      <c r="F9" s="97"/>
      <c r="G9" s="97"/>
      <c r="H9" s="97"/>
      <c r="I9" s="97"/>
      <c r="J9" s="5"/>
    </row>
    <row r="10" spans="2:10" ht="13.5" customHeight="1" x14ac:dyDescent="0.15">
      <c r="B10" s="4"/>
      <c r="C10" s="97"/>
      <c r="D10" s="97"/>
      <c r="E10" s="97"/>
      <c r="F10" s="97"/>
      <c r="G10" s="97"/>
      <c r="H10" s="97"/>
      <c r="I10" s="97"/>
      <c r="J10" s="5"/>
    </row>
    <row r="11" spans="2:10" ht="13.5" customHeight="1" x14ac:dyDescent="0.15">
      <c r="B11" s="4"/>
      <c r="C11" s="97"/>
      <c r="D11" s="97"/>
      <c r="E11" s="97"/>
      <c r="F11" s="97"/>
      <c r="G11" s="97"/>
      <c r="H11" s="97"/>
      <c r="I11" s="97"/>
      <c r="J11" s="5"/>
    </row>
    <row r="12" spans="2:10" ht="14.1" customHeight="1" x14ac:dyDescent="0.15">
      <c r="B12" s="4"/>
      <c r="J12" s="5"/>
    </row>
    <row r="13" spans="2:10" ht="14.1" customHeight="1" x14ac:dyDescent="0.15">
      <c r="B13" s="4"/>
      <c r="J13" s="5"/>
    </row>
    <row r="14" spans="2:10" ht="14.1" customHeight="1" x14ac:dyDescent="0.15">
      <c r="B14" s="4"/>
      <c r="J14" s="5"/>
    </row>
    <row r="15" spans="2:10" ht="20.45" customHeight="1" x14ac:dyDescent="0.15">
      <c r="B15" s="4"/>
      <c r="C15" s="6" t="s">
        <v>0</v>
      </c>
      <c r="D15" s="98" t="s">
        <v>1</v>
      </c>
      <c r="E15" s="99"/>
      <c r="F15" s="6" t="s">
        <v>2</v>
      </c>
      <c r="G15" s="104">
        <v>45575</v>
      </c>
      <c r="H15" s="99"/>
      <c r="J15" s="5"/>
    </row>
    <row r="16" spans="2:10" ht="17.45" customHeight="1" x14ac:dyDescent="0.15">
      <c r="B16" s="4"/>
      <c r="C16" s="8"/>
      <c r="D16" s="10"/>
      <c r="E16" s="10"/>
      <c r="F16" s="9"/>
      <c r="G16" s="10"/>
      <c r="H16" s="10"/>
      <c r="J16" s="5"/>
    </row>
    <row r="17" spans="2:10" ht="20.45" customHeight="1" x14ac:dyDescent="0.15">
      <c r="B17" s="4"/>
      <c r="C17" s="6" t="s">
        <v>3</v>
      </c>
      <c r="D17" s="98"/>
      <c r="E17" s="99"/>
      <c r="F17" s="6" t="s">
        <v>2</v>
      </c>
      <c r="G17" s="104" t="s">
        <v>4</v>
      </c>
      <c r="H17" s="99"/>
      <c r="J17" s="5"/>
    </row>
    <row r="18" spans="2:10" ht="17.45" customHeight="1" x14ac:dyDescent="0.15">
      <c r="B18" s="4"/>
      <c r="C18" s="8"/>
      <c r="D18" s="10"/>
      <c r="E18" s="10"/>
      <c r="F18" s="9"/>
      <c r="G18" s="10"/>
      <c r="H18" s="10"/>
      <c r="J18" s="5"/>
    </row>
    <row r="19" spans="2:10" ht="20.45" customHeight="1" x14ac:dyDescent="0.15">
      <c r="B19" s="4"/>
      <c r="C19" s="6" t="s">
        <v>5</v>
      </c>
      <c r="D19" s="7"/>
      <c r="E19" s="7"/>
      <c r="F19" s="6" t="s">
        <v>2</v>
      </c>
      <c r="G19" s="7"/>
      <c r="H19" s="7"/>
      <c r="J19" s="5"/>
    </row>
    <row r="20" spans="2:10" ht="14.1" customHeight="1" x14ac:dyDescent="0.15">
      <c r="B20" s="4"/>
      <c r="J20" s="5"/>
    </row>
    <row r="21" spans="2:10" ht="14.1" customHeight="1" x14ac:dyDescent="0.15">
      <c r="B21" s="4"/>
      <c r="J21" s="5"/>
    </row>
    <row r="22" spans="2:10" ht="14.1" customHeight="1" x14ac:dyDescent="0.15">
      <c r="B22" s="4"/>
      <c r="J22" s="5"/>
    </row>
    <row r="23" spans="2:10" ht="24" customHeight="1" x14ac:dyDescent="0.15">
      <c r="B23" s="4"/>
      <c r="E23" s="100" t="s">
        <v>6</v>
      </c>
      <c r="F23" s="97"/>
      <c r="J23" s="5"/>
    </row>
    <row r="24" spans="2:10" ht="14.1" customHeight="1" x14ac:dyDescent="0.15">
      <c r="B24" s="4"/>
      <c r="J24" s="5"/>
    </row>
    <row r="25" spans="2:10" ht="17.100000000000001" customHeight="1" x14ac:dyDescent="0.15">
      <c r="B25" s="4"/>
      <c r="C25" s="41" t="s">
        <v>2</v>
      </c>
      <c r="D25" s="41" t="s">
        <v>7</v>
      </c>
      <c r="E25" s="101" t="s">
        <v>8</v>
      </c>
      <c r="F25" s="102"/>
      <c r="G25" s="102"/>
      <c r="H25" s="103"/>
      <c r="I25" s="41" t="s">
        <v>9</v>
      </c>
      <c r="J25" s="5"/>
    </row>
    <row r="26" spans="2:10" ht="17.100000000000001" customHeight="1" x14ac:dyDescent="0.15">
      <c r="B26" s="4"/>
      <c r="C26" s="11">
        <v>44764</v>
      </c>
      <c r="D26" s="41" t="s">
        <v>10</v>
      </c>
      <c r="E26" s="93" t="s">
        <v>11</v>
      </c>
      <c r="F26" s="94"/>
      <c r="G26" s="94"/>
      <c r="H26" s="95"/>
      <c r="I26" s="41" t="s">
        <v>1</v>
      </c>
      <c r="J26" s="5"/>
    </row>
    <row r="27" spans="2:10" ht="17.100000000000001" customHeight="1" x14ac:dyDescent="0.15">
      <c r="B27" s="4"/>
      <c r="C27" s="11"/>
      <c r="D27" s="41"/>
      <c r="E27" s="93"/>
      <c r="F27" s="94"/>
      <c r="G27" s="94"/>
      <c r="H27" s="95"/>
      <c r="I27" s="41"/>
      <c r="J27" s="5"/>
    </row>
    <row r="28" spans="2:10" ht="17.100000000000001" customHeight="1" x14ac:dyDescent="0.15">
      <c r="B28" s="4"/>
      <c r="C28" s="41"/>
      <c r="D28" s="41"/>
      <c r="E28" s="93"/>
      <c r="F28" s="94"/>
      <c r="G28" s="94"/>
      <c r="H28" s="95"/>
      <c r="I28" s="41"/>
      <c r="J28" s="5"/>
    </row>
    <row r="29" spans="2:10" ht="17.100000000000001" customHeight="1" x14ac:dyDescent="0.15">
      <c r="B29" s="4"/>
      <c r="C29" s="41"/>
      <c r="D29" s="41"/>
      <c r="E29" s="93"/>
      <c r="F29" s="94"/>
      <c r="G29" s="94"/>
      <c r="H29" s="95"/>
      <c r="I29" s="41"/>
      <c r="J29" s="5"/>
    </row>
    <row r="30" spans="2:10" ht="17.100000000000001" customHeight="1" x14ac:dyDescent="0.15">
      <c r="B30" s="4"/>
      <c r="C30" s="41"/>
      <c r="D30" s="41"/>
      <c r="E30" s="93"/>
      <c r="F30" s="94"/>
      <c r="G30" s="94"/>
      <c r="H30" s="95"/>
      <c r="I30" s="41"/>
      <c r="J30" s="5"/>
    </row>
    <row r="31" spans="2:10" ht="17.100000000000001" customHeight="1" x14ac:dyDescent="0.15">
      <c r="B31" s="4"/>
      <c r="C31" s="41"/>
      <c r="D31" s="41"/>
      <c r="E31" s="93"/>
      <c r="F31" s="94"/>
      <c r="G31" s="94"/>
      <c r="H31" s="95"/>
      <c r="I31" s="41"/>
      <c r="J31" s="5"/>
    </row>
    <row r="32" spans="2:10" ht="14.1" customHeight="1" x14ac:dyDescent="0.15">
      <c r="B32" s="4"/>
      <c r="J32" s="5"/>
    </row>
    <row r="33" spans="2:10" ht="14.1" customHeight="1" x14ac:dyDescent="0.15">
      <c r="B33" s="4"/>
      <c r="J33" s="5"/>
    </row>
    <row r="34" spans="2:10" ht="14.45" customHeight="1" thickBot="1" x14ac:dyDescent="0.2">
      <c r="B34" s="12"/>
      <c r="C34" s="13"/>
      <c r="D34" s="13"/>
      <c r="E34" s="13"/>
      <c r="F34" s="13"/>
      <c r="G34" s="13"/>
      <c r="H34" s="13"/>
      <c r="I34" s="13"/>
      <c r="J34" s="14"/>
    </row>
    <row r="35" spans="2:10" ht="14.45" customHeight="1" thickTop="1" x14ac:dyDescent="0.15"/>
  </sheetData>
  <mergeCells count="13">
    <mergeCell ref="E29:H29"/>
    <mergeCell ref="E30:H30"/>
    <mergeCell ref="E31:H31"/>
    <mergeCell ref="C4:I11"/>
    <mergeCell ref="D15:E15"/>
    <mergeCell ref="D17:E17"/>
    <mergeCell ref="E27:H27"/>
    <mergeCell ref="E28:H28"/>
    <mergeCell ref="E23:F23"/>
    <mergeCell ref="E25:H25"/>
    <mergeCell ref="E26:H26"/>
    <mergeCell ref="G15:H15"/>
    <mergeCell ref="G17:H17"/>
  </mergeCells>
  <phoneticPr fontId="1"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filterMode="1"/>
  <dimension ref="A1:H85"/>
  <sheetViews>
    <sheetView zoomScaleNormal="100" workbookViewId="0">
      <pane xSplit="1" ySplit="1" topLeftCell="B2" activePane="bottomRight" state="frozen"/>
      <selection pane="topRight" activeCell="B1" sqref="B1"/>
      <selection pane="bottomLeft" activeCell="A2" sqref="A2"/>
      <selection pane="bottomRight" activeCell="C61" sqref="C61"/>
    </sheetView>
  </sheetViews>
  <sheetFormatPr defaultColWidth="9" defaultRowHeight="13.5" x14ac:dyDescent="0.15"/>
  <cols>
    <col min="1" max="1" width="10" customWidth="1"/>
    <col min="2" max="2" width="22.375" customWidth="1"/>
    <col min="3" max="3" width="40" customWidth="1"/>
    <col min="4" max="4" width="19.875" customWidth="1"/>
    <col min="5" max="5" width="10.5" hidden="1" customWidth="1"/>
    <col min="6" max="6" width="16.375" style="26" customWidth="1"/>
    <col min="7" max="7" width="53.875" customWidth="1"/>
    <col min="8" max="9" width="9" customWidth="1"/>
    <col min="10" max="10" width="11.625" bestFit="1" customWidth="1"/>
    <col min="11" max="26" width="9" customWidth="1"/>
  </cols>
  <sheetData>
    <row r="1" spans="1:8" ht="27.75" customHeight="1" x14ac:dyDescent="0.15">
      <c r="A1" s="16" t="s">
        <v>12</v>
      </c>
      <c r="B1" s="16" t="s">
        <v>13</v>
      </c>
      <c r="C1" s="16" t="s">
        <v>14</v>
      </c>
      <c r="D1" s="16" t="s">
        <v>15</v>
      </c>
      <c r="E1" s="16" t="s">
        <v>16</v>
      </c>
      <c r="F1" s="16" t="s">
        <v>17</v>
      </c>
      <c r="G1" s="106" t="s">
        <v>18</v>
      </c>
      <c r="H1" s="107"/>
    </row>
    <row r="2" spans="1:8" x14ac:dyDescent="0.15">
      <c r="A2" s="39" t="s">
        <v>177</v>
      </c>
      <c r="B2" s="39"/>
      <c r="C2" s="39"/>
      <c r="D2" s="39"/>
      <c r="E2" s="39"/>
      <c r="F2" s="52"/>
      <c r="G2" s="105"/>
      <c r="H2" s="105"/>
    </row>
    <row r="3" spans="1:8" x14ac:dyDescent="0.15">
      <c r="A3" s="39"/>
      <c r="B3" s="39" t="s">
        <v>178</v>
      </c>
      <c r="C3" s="39"/>
      <c r="D3" s="39"/>
      <c r="E3" s="39"/>
      <c r="F3" s="52"/>
      <c r="G3" s="105"/>
      <c r="H3" s="105"/>
    </row>
    <row r="4" spans="1:8" x14ac:dyDescent="0.15">
      <c r="A4" s="39"/>
      <c r="B4" s="39" t="s">
        <v>179</v>
      </c>
      <c r="C4" s="39"/>
      <c r="D4" s="39"/>
      <c r="E4" s="39"/>
      <c r="F4" s="52"/>
      <c r="G4" s="105"/>
      <c r="H4" s="105"/>
    </row>
    <row r="5" spans="1:8" ht="14.1" customHeight="1" x14ac:dyDescent="0.15">
      <c r="A5" s="39"/>
      <c r="B5" s="39" t="s">
        <v>180</v>
      </c>
      <c r="C5" s="39"/>
      <c r="D5" s="39"/>
      <c r="E5" s="39"/>
      <c r="F5" s="52"/>
      <c r="G5" s="105"/>
      <c r="H5" s="105"/>
    </row>
    <row r="6" spans="1:8" x14ac:dyDescent="0.15">
      <c r="A6" s="39"/>
      <c r="B6" s="39" t="s">
        <v>181</v>
      </c>
      <c r="C6" s="39"/>
      <c r="D6" s="39"/>
      <c r="E6" s="39"/>
      <c r="F6" s="52"/>
      <c r="G6" s="105"/>
      <c r="H6" s="105"/>
    </row>
    <row r="7" spans="1:8" x14ac:dyDescent="0.15">
      <c r="A7" s="39"/>
      <c r="B7" s="39" t="s">
        <v>182</v>
      </c>
      <c r="C7" s="39"/>
      <c r="D7" s="39"/>
      <c r="E7" s="39"/>
      <c r="F7" s="52"/>
      <c r="G7" s="105"/>
      <c r="H7" s="105"/>
    </row>
    <row r="8" spans="1:8" ht="14.45" customHeight="1" x14ac:dyDescent="0.15">
      <c r="A8" s="39"/>
      <c r="B8" s="39" t="s">
        <v>183</v>
      </c>
      <c r="C8" s="39"/>
      <c r="D8" s="39"/>
      <c r="E8" s="39"/>
      <c r="F8" s="52"/>
      <c r="G8" s="105"/>
      <c r="H8" s="105"/>
    </row>
    <row r="9" spans="1:8" x14ac:dyDescent="0.15">
      <c r="A9" s="39"/>
      <c r="B9" s="39" t="s">
        <v>184</v>
      </c>
      <c r="C9" s="39"/>
      <c r="D9" s="39"/>
      <c r="E9" s="39"/>
      <c r="F9" s="52"/>
      <c r="G9" s="105"/>
      <c r="H9" s="105"/>
    </row>
    <row r="10" spans="1:8" x14ac:dyDescent="0.15">
      <c r="A10" s="39"/>
      <c r="B10" s="39" t="s">
        <v>185</v>
      </c>
      <c r="C10" s="39"/>
      <c r="D10" s="39"/>
      <c r="E10" s="39"/>
      <c r="F10" s="52"/>
      <c r="G10" s="105"/>
      <c r="H10" s="105"/>
    </row>
    <row r="11" spans="1:8" ht="14.1" customHeight="1" x14ac:dyDescent="0.15">
      <c r="A11" s="39" t="s">
        <v>186</v>
      </c>
      <c r="B11" s="39"/>
      <c r="C11" s="39"/>
      <c r="D11" s="39"/>
      <c r="E11" s="39"/>
      <c r="F11" s="52"/>
      <c r="G11" s="105"/>
      <c r="H11" s="105"/>
    </row>
    <row r="12" spans="1:8" x14ac:dyDescent="0.15">
      <c r="A12" s="39"/>
      <c r="B12" s="39" t="s">
        <v>957</v>
      </c>
      <c r="C12" s="39"/>
      <c r="D12" s="39"/>
      <c r="E12" s="39"/>
      <c r="F12" s="52"/>
      <c r="G12" s="105"/>
      <c r="H12" s="105"/>
    </row>
    <row r="13" spans="1:8" ht="14.1" hidden="1" customHeight="1" x14ac:dyDescent="0.15">
      <c r="A13" s="39"/>
      <c r="B13" s="39"/>
      <c r="C13" s="39" t="s">
        <v>187</v>
      </c>
      <c r="D13" s="39" t="s">
        <v>19</v>
      </c>
      <c r="E13" s="39"/>
      <c r="F13" s="52">
        <v>17</v>
      </c>
      <c r="G13" s="105" t="s">
        <v>188</v>
      </c>
      <c r="H13" s="105"/>
    </row>
    <row r="14" spans="1:8" ht="14.1" hidden="1" customHeight="1" x14ac:dyDescent="0.15">
      <c r="A14" s="39"/>
      <c r="B14" s="39"/>
      <c r="C14" s="39" t="s">
        <v>455</v>
      </c>
      <c r="D14" s="39" t="s">
        <v>19</v>
      </c>
      <c r="E14" s="39"/>
      <c r="F14" s="52">
        <v>17</v>
      </c>
      <c r="G14" s="105" t="s">
        <v>188</v>
      </c>
      <c r="H14" s="105"/>
    </row>
    <row r="15" spans="1:8" ht="14.1" hidden="1" customHeight="1" x14ac:dyDescent="0.15">
      <c r="A15" s="39"/>
      <c r="B15" s="39"/>
      <c r="C15" s="39" t="s">
        <v>456</v>
      </c>
      <c r="D15" s="39" t="s">
        <v>19</v>
      </c>
      <c r="E15" s="39"/>
      <c r="F15" s="52">
        <v>17</v>
      </c>
      <c r="G15" s="105" t="s">
        <v>188</v>
      </c>
      <c r="H15" s="105"/>
    </row>
    <row r="16" spans="1:8" ht="14.1" hidden="1" customHeight="1" x14ac:dyDescent="0.15">
      <c r="A16" s="39"/>
      <c r="B16" s="39"/>
      <c r="C16" s="39" t="s">
        <v>499</v>
      </c>
      <c r="D16" s="39" t="s">
        <v>19</v>
      </c>
      <c r="E16" s="39"/>
      <c r="F16" s="52">
        <v>2</v>
      </c>
      <c r="G16" s="105" t="s">
        <v>500</v>
      </c>
      <c r="H16" s="105"/>
    </row>
    <row r="17" spans="1:8" hidden="1" x14ac:dyDescent="0.15">
      <c r="A17" s="39"/>
      <c r="B17" s="39"/>
      <c r="C17" s="39" t="s">
        <v>189</v>
      </c>
      <c r="D17" s="39" t="s">
        <v>20</v>
      </c>
      <c r="E17" s="39"/>
      <c r="F17" s="52">
        <v>16</v>
      </c>
      <c r="G17" s="105" t="s">
        <v>269</v>
      </c>
      <c r="H17" s="105"/>
    </row>
    <row r="18" spans="1:8" x14ac:dyDescent="0.15">
      <c r="A18" s="39"/>
      <c r="B18" s="39" t="s">
        <v>190</v>
      </c>
      <c r="C18" s="39"/>
      <c r="D18" s="39"/>
      <c r="E18" s="39"/>
      <c r="F18" s="52"/>
      <c r="G18" s="105"/>
      <c r="H18" s="105"/>
    </row>
    <row r="19" spans="1:8" hidden="1" x14ac:dyDescent="0.15">
      <c r="A19" s="39"/>
      <c r="B19" s="39"/>
      <c r="C19" s="39" t="s">
        <v>191</v>
      </c>
      <c r="D19" s="39" t="s">
        <v>20</v>
      </c>
      <c r="E19" s="39"/>
      <c r="F19" s="52">
        <v>9</v>
      </c>
      <c r="G19" s="105" t="s">
        <v>192</v>
      </c>
      <c r="H19" s="105"/>
    </row>
    <row r="20" spans="1:8" ht="14.1" hidden="1" customHeight="1" x14ac:dyDescent="0.15">
      <c r="A20" s="39"/>
      <c r="B20" s="39"/>
      <c r="C20" s="39" t="s">
        <v>193</v>
      </c>
      <c r="D20" s="39" t="s">
        <v>19</v>
      </c>
      <c r="E20" s="39"/>
      <c r="F20" s="52">
        <v>3</v>
      </c>
      <c r="G20" s="105" t="s">
        <v>194</v>
      </c>
      <c r="H20" s="105"/>
    </row>
    <row r="21" spans="1:8" hidden="1" x14ac:dyDescent="0.15">
      <c r="A21" s="39"/>
      <c r="B21" s="39"/>
      <c r="C21" s="39" t="s">
        <v>195</v>
      </c>
      <c r="D21" s="39" t="s">
        <v>20</v>
      </c>
      <c r="E21" s="39"/>
      <c r="F21" s="52">
        <v>1</v>
      </c>
      <c r="G21" s="105"/>
      <c r="H21" s="105"/>
    </row>
    <row r="22" spans="1:8" hidden="1" x14ac:dyDescent="0.15">
      <c r="A22" s="39"/>
      <c r="B22" s="39"/>
      <c r="C22" s="39" t="s">
        <v>196</v>
      </c>
      <c r="D22" s="39" t="s">
        <v>20</v>
      </c>
      <c r="E22" s="39"/>
      <c r="F22" s="52">
        <v>1</v>
      </c>
      <c r="G22" s="105"/>
      <c r="H22" s="105"/>
    </row>
    <row r="23" spans="1:8" x14ac:dyDescent="0.15">
      <c r="A23" s="39"/>
      <c r="B23" s="39" t="s">
        <v>197</v>
      </c>
      <c r="C23" s="39"/>
      <c r="D23" s="39"/>
      <c r="E23" s="39"/>
      <c r="F23" s="52"/>
      <c r="G23" s="105"/>
      <c r="H23" s="105"/>
    </row>
    <row r="24" spans="1:8" hidden="1" x14ac:dyDescent="0.15">
      <c r="A24" s="39"/>
      <c r="B24" s="39"/>
      <c r="C24" s="39" t="s">
        <v>198</v>
      </c>
      <c r="D24" s="39" t="s">
        <v>20</v>
      </c>
      <c r="E24" s="39"/>
      <c r="F24" s="52">
        <v>16</v>
      </c>
      <c r="G24" s="105" t="s">
        <v>199</v>
      </c>
      <c r="H24" s="105"/>
    </row>
    <row r="25" spans="1:8" ht="67.5" hidden="1" customHeight="1" x14ac:dyDescent="0.15">
      <c r="A25" s="39"/>
      <c r="B25" s="39"/>
      <c r="C25" s="39" t="s">
        <v>560</v>
      </c>
      <c r="D25" s="39" t="s">
        <v>20</v>
      </c>
      <c r="E25" s="39"/>
      <c r="F25" s="52">
        <v>16</v>
      </c>
      <c r="G25" s="109" t="s">
        <v>561</v>
      </c>
      <c r="H25" s="110"/>
    </row>
    <row r="26" spans="1:8" hidden="1" x14ac:dyDescent="0.15">
      <c r="A26" s="39"/>
      <c r="B26" s="39"/>
      <c r="C26" s="54" t="s">
        <v>200</v>
      </c>
      <c r="D26" s="54" t="s">
        <v>20</v>
      </c>
      <c r="E26" s="54"/>
      <c r="F26" s="36">
        <v>1</v>
      </c>
      <c r="G26" s="108" t="s">
        <v>558</v>
      </c>
      <c r="H26" s="108"/>
    </row>
    <row r="27" spans="1:8" x14ac:dyDescent="0.15">
      <c r="A27" s="39"/>
      <c r="B27" s="39" t="s">
        <v>201</v>
      </c>
      <c r="C27" s="39"/>
      <c r="D27" s="39"/>
      <c r="E27" s="39"/>
      <c r="F27" s="52"/>
      <c r="G27" s="105"/>
      <c r="H27" s="105"/>
    </row>
    <row r="28" spans="1:8" hidden="1" x14ac:dyDescent="0.15">
      <c r="A28" s="39"/>
      <c r="B28" s="39"/>
      <c r="C28" s="39" t="s">
        <v>202</v>
      </c>
      <c r="D28" s="39" t="s">
        <v>20</v>
      </c>
      <c r="E28" s="39"/>
      <c r="F28" s="52">
        <v>3</v>
      </c>
      <c r="G28" s="105" t="s">
        <v>203</v>
      </c>
      <c r="H28" s="105"/>
    </row>
    <row r="29" spans="1:8" ht="14.1" hidden="1" customHeight="1" x14ac:dyDescent="0.15">
      <c r="A29" s="39"/>
      <c r="B29" s="39"/>
      <c r="C29" s="39" t="s">
        <v>204</v>
      </c>
      <c r="D29" s="39" t="s">
        <v>20</v>
      </c>
      <c r="E29" s="39"/>
      <c r="F29" s="52">
        <v>2</v>
      </c>
      <c r="G29" s="105" t="s">
        <v>205</v>
      </c>
      <c r="H29" s="105"/>
    </row>
    <row r="30" spans="1:8" hidden="1" x14ac:dyDescent="0.15">
      <c r="A30" s="39"/>
      <c r="B30" s="39"/>
      <c r="C30" s="39" t="s">
        <v>563</v>
      </c>
      <c r="D30" s="39" t="s">
        <v>20</v>
      </c>
      <c r="E30" s="39"/>
      <c r="F30" s="52">
        <v>2</v>
      </c>
      <c r="G30" s="105" t="s">
        <v>565</v>
      </c>
      <c r="H30" s="105"/>
    </row>
    <row r="31" spans="1:8" hidden="1" x14ac:dyDescent="0.15">
      <c r="A31" s="39"/>
      <c r="B31" s="39"/>
      <c r="C31" s="39" t="s">
        <v>564</v>
      </c>
      <c r="D31" s="39" t="s">
        <v>20</v>
      </c>
      <c r="E31" s="39"/>
      <c r="F31" s="52">
        <v>17</v>
      </c>
      <c r="G31" s="105" t="s">
        <v>566</v>
      </c>
      <c r="H31" s="105"/>
    </row>
    <row r="32" spans="1:8" hidden="1" x14ac:dyDescent="0.15">
      <c r="A32" s="39"/>
      <c r="B32" s="39"/>
      <c r="C32" s="39" t="s">
        <v>206</v>
      </c>
      <c r="D32" s="39" t="s">
        <v>20</v>
      </c>
      <c r="E32" s="39"/>
      <c r="F32" s="52">
        <v>3</v>
      </c>
      <c r="G32" s="105" t="s">
        <v>207</v>
      </c>
      <c r="H32" s="105"/>
    </row>
    <row r="33" spans="1:8" hidden="1" x14ac:dyDescent="0.15">
      <c r="A33" s="39"/>
      <c r="B33" s="39"/>
      <c r="C33" s="39" t="s">
        <v>208</v>
      </c>
      <c r="D33" s="39" t="s">
        <v>20</v>
      </c>
      <c r="E33" s="39"/>
      <c r="F33" s="52">
        <v>1</v>
      </c>
      <c r="G33" s="105" t="s">
        <v>209</v>
      </c>
      <c r="H33" s="105"/>
    </row>
    <row r="34" spans="1:8" ht="14.1" hidden="1" customHeight="1" x14ac:dyDescent="0.15">
      <c r="A34" s="39"/>
      <c r="B34" s="39"/>
      <c r="C34" s="39" t="s">
        <v>210</v>
      </c>
      <c r="D34" s="39" t="s">
        <v>20</v>
      </c>
      <c r="E34" s="39"/>
      <c r="F34" s="52">
        <v>1</v>
      </c>
      <c r="G34" s="105"/>
      <c r="H34" s="105"/>
    </row>
    <row r="35" spans="1:8" hidden="1" x14ac:dyDescent="0.15">
      <c r="A35" s="39"/>
      <c r="B35" s="39"/>
      <c r="C35" s="39" t="s">
        <v>211</v>
      </c>
      <c r="D35" s="39" t="s">
        <v>20</v>
      </c>
      <c r="E35" s="39"/>
      <c r="F35" s="52">
        <v>1</v>
      </c>
      <c r="G35" s="105"/>
      <c r="H35" s="105"/>
    </row>
    <row r="36" spans="1:8" hidden="1" x14ac:dyDescent="0.15">
      <c r="A36" s="39"/>
      <c r="B36" s="39"/>
      <c r="C36" s="39" t="s">
        <v>212</v>
      </c>
      <c r="D36" s="39" t="s">
        <v>20</v>
      </c>
      <c r="E36" s="39"/>
      <c r="F36" s="52">
        <v>1</v>
      </c>
      <c r="G36" s="105"/>
      <c r="H36" s="105"/>
    </row>
    <row r="37" spans="1:8" x14ac:dyDescent="0.15">
      <c r="A37" s="39"/>
      <c r="B37" s="39" t="s">
        <v>213</v>
      </c>
      <c r="C37" s="39"/>
      <c r="D37" s="39"/>
      <c r="E37" s="39"/>
      <c r="F37" s="52"/>
      <c r="G37" s="105"/>
      <c r="H37" s="105"/>
    </row>
    <row r="38" spans="1:8" hidden="1" x14ac:dyDescent="0.15">
      <c r="A38" s="39"/>
      <c r="B38" s="39"/>
      <c r="C38" s="39" t="s">
        <v>214</v>
      </c>
      <c r="D38" s="39" t="s">
        <v>20</v>
      </c>
      <c r="E38" s="39"/>
      <c r="F38" s="52">
        <v>16</v>
      </c>
      <c r="G38" s="105" t="s">
        <v>215</v>
      </c>
      <c r="H38" s="105"/>
    </row>
    <row r="39" spans="1:8" ht="14.1" hidden="1" customHeight="1" x14ac:dyDescent="0.15">
      <c r="A39" s="39"/>
      <c r="B39" s="39"/>
      <c r="C39" s="39" t="s">
        <v>216</v>
      </c>
      <c r="D39" s="39" t="s">
        <v>20</v>
      </c>
      <c r="E39" s="39"/>
      <c r="F39" s="52">
        <v>1</v>
      </c>
      <c r="G39" s="105"/>
      <c r="H39" s="105"/>
    </row>
    <row r="40" spans="1:8" ht="14.1" hidden="1" customHeight="1" x14ac:dyDescent="0.15">
      <c r="A40" s="39"/>
      <c r="B40" s="39"/>
      <c r="C40" s="39" t="s">
        <v>217</v>
      </c>
      <c r="D40" s="39" t="s">
        <v>20</v>
      </c>
      <c r="E40" s="39"/>
      <c r="F40" s="52">
        <v>1</v>
      </c>
      <c r="G40" s="105"/>
      <c r="H40" s="105"/>
    </row>
    <row r="41" spans="1:8" ht="14.1" customHeight="1" x14ac:dyDescent="0.15">
      <c r="A41" s="39" t="s">
        <v>218</v>
      </c>
      <c r="B41" s="39"/>
      <c r="C41" s="39"/>
      <c r="D41" s="39"/>
      <c r="E41" s="39"/>
      <c r="F41" s="52"/>
      <c r="G41" s="105"/>
      <c r="H41" s="105"/>
    </row>
    <row r="42" spans="1:8" x14ac:dyDescent="0.15">
      <c r="A42" s="39"/>
      <c r="B42" s="39" t="s">
        <v>219</v>
      </c>
      <c r="C42" s="39"/>
      <c r="D42" s="39"/>
      <c r="E42" s="39"/>
      <c r="F42" s="52"/>
      <c r="G42" s="105"/>
      <c r="H42" s="105"/>
    </row>
    <row r="43" spans="1:8" hidden="1" x14ac:dyDescent="0.15">
      <c r="A43" s="39"/>
      <c r="B43" s="39"/>
      <c r="C43" s="39" t="s">
        <v>220</v>
      </c>
      <c r="D43" s="39" t="s">
        <v>19</v>
      </c>
      <c r="E43" s="39"/>
      <c r="F43" s="52">
        <v>5</v>
      </c>
      <c r="G43" s="105" t="s">
        <v>221</v>
      </c>
      <c r="H43" s="105"/>
    </row>
    <row r="44" spans="1:8" hidden="1" x14ac:dyDescent="0.15">
      <c r="A44" s="39"/>
      <c r="B44" s="39"/>
      <c r="C44" s="39" t="s">
        <v>760</v>
      </c>
      <c r="D44" s="39" t="s">
        <v>20</v>
      </c>
      <c r="E44" s="39"/>
      <c r="F44" s="52">
        <v>1</v>
      </c>
      <c r="G44" s="105"/>
      <c r="H44" s="105"/>
    </row>
    <row r="45" spans="1:8" ht="14.1" hidden="1" customHeight="1" x14ac:dyDescent="0.15">
      <c r="A45" s="39"/>
      <c r="B45" s="39"/>
      <c r="C45" s="39" t="s">
        <v>714</v>
      </c>
      <c r="D45" s="39" t="s">
        <v>20</v>
      </c>
      <c r="E45" s="39"/>
      <c r="F45" s="52">
        <v>5</v>
      </c>
      <c r="G45" s="105" t="s">
        <v>222</v>
      </c>
      <c r="H45" s="105"/>
    </row>
    <row r="46" spans="1:8" ht="14.1" hidden="1" customHeight="1" x14ac:dyDescent="0.15">
      <c r="A46" s="39"/>
      <c r="B46" s="39"/>
      <c r="C46" s="39" t="s">
        <v>223</v>
      </c>
      <c r="D46" s="39" t="s">
        <v>20</v>
      </c>
      <c r="E46" s="39"/>
      <c r="F46" s="52">
        <v>1</v>
      </c>
      <c r="G46" s="105" t="s">
        <v>224</v>
      </c>
      <c r="H46" s="105"/>
    </row>
    <row r="47" spans="1:8" x14ac:dyDescent="0.15">
      <c r="A47" s="39"/>
      <c r="B47" s="39" t="s">
        <v>902</v>
      </c>
      <c r="C47" s="39"/>
      <c r="D47" s="39"/>
      <c r="E47" s="39"/>
      <c r="F47" s="52"/>
      <c r="G47" s="105" t="s">
        <v>903</v>
      </c>
      <c r="H47" s="105"/>
    </row>
    <row r="48" spans="1:8" ht="14.1" hidden="1" customHeight="1" x14ac:dyDescent="0.15">
      <c r="A48" s="39"/>
      <c r="B48" s="39"/>
      <c r="C48" s="39" t="s">
        <v>225</v>
      </c>
      <c r="D48" s="39" t="s">
        <v>20</v>
      </c>
      <c r="E48" s="39"/>
      <c r="F48" s="52">
        <v>16</v>
      </c>
      <c r="G48" s="105" t="s">
        <v>788</v>
      </c>
      <c r="H48" s="105"/>
    </row>
    <row r="49" spans="1:8" ht="14.1" hidden="1" customHeight="1" x14ac:dyDescent="0.15">
      <c r="A49" s="39"/>
      <c r="B49" s="39"/>
      <c r="C49" s="39" t="s">
        <v>226</v>
      </c>
      <c r="D49" s="39" t="s">
        <v>20</v>
      </c>
      <c r="E49" s="39"/>
      <c r="F49" s="52">
        <v>4</v>
      </c>
      <c r="G49" s="105" t="s">
        <v>227</v>
      </c>
      <c r="H49" s="105"/>
    </row>
    <row r="50" spans="1:8" hidden="1" x14ac:dyDescent="0.15">
      <c r="A50" s="39"/>
      <c r="B50" s="39"/>
      <c r="C50" s="39" t="s">
        <v>228</v>
      </c>
      <c r="D50" s="39" t="s">
        <v>20</v>
      </c>
      <c r="E50" s="39"/>
      <c r="F50" s="52">
        <v>6</v>
      </c>
      <c r="G50" s="105" t="s">
        <v>229</v>
      </c>
      <c r="H50" s="105"/>
    </row>
    <row r="51" spans="1:8" ht="14.1" hidden="1" customHeight="1" x14ac:dyDescent="0.15">
      <c r="A51" s="39"/>
      <c r="B51" s="39"/>
      <c r="C51" s="39" t="s">
        <v>230</v>
      </c>
      <c r="D51" s="39" t="s">
        <v>20</v>
      </c>
      <c r="E51" s="39"/>
      <c r="F51" s="52"/>
      <c r="G51" s="105" t="s">
        <v>231</v>
      </c>
      <c r="H51" s="105"/>
    </row>
    <row r="52" spans="1:8" hidden="1" x14ac:dyDescent="0.15">
      <c r="A52" s="39"/>
      <c r="B52" s="39"/>
      <c r="C52" s="39" t="s">
        <v>232</v>
      </c>
      <c r="D52" s="39" t="s">
        <v>20</v>
      </c>
      <c r="E52" s="39"/>
      <c r="F52" s="52">
        <v>4</v>
      </c>
      <c r="G52" s="105" t="s">
        <v>233</v>
      </c>
      <c r="H52" s="105"/>
    </row>
    <row r="53" spans="1:8" x14ac:dyDescent="0.15">
      <c r="A53" s="39"/>
      <c r="B53" s="39" t="s">
        <v>958</v>
      </c>
      <c r="C53" s="39"/>
      <c r="D53" s="39"/>
      <c r="E53" s="39"/>
      <c r="F53" s="52"/>
      <c r="G53" s="105" t="s">
        <v>904</v>
      </c>
      <c r="H53" s="105"/>
    </row>
    <row r="54" spans="1:8" hidden="1" x14ac:dyDescent="0.15">
      <c r="A54" s="39"/>
      <c r="B54" s="39"/>
      <c r="C54" s="39" t="s">
        <v>234</v>
      </c>
      <c r="D54" s="39" t="s">
        <v>20</v>
      </c>
      <c r="E54" s="39"/>
      <c r="F54" s="52">
        <v>3</v>
      </c>
      <c r="G54" s="105" t="s">
        <v>235</v>
      </c>
      <c r="H54" s="105"/>
    </row>
    <row r="55" spans="1:8" hidden="1" x14ac:dyDescent="0.15">
      <c r="A55" s="39"/>
      <c r="B55" s="39"/>
      <c r="C55" s="39" t="s">
        <v>236</v>
      </c>
      <c r="D55" s="39" t="s">
        <v>20</v>
      </c>
      <c r="E55" s="39"/>
      <c r="F55" s="52">
        <v>4</v>
      </c>
      <c r="G55" s="105" t="s">
        <v>237</v>
      </c>
      <c r="H55" s="105"/>
    </row>
    <row r="56" spans="1:8" hidden="1" x14ac:dyDescent="0.15">
      <c r="A56" s="39"/>
      <c r="B56" s="39"/>
      <c r="C56" s="39" t="s">
        <v>238</v>
      </c>
      <c r="D56" s="39" t="s">
        <v>20</v>
      </c>
      <c r="E56" s="39"/>
      <c r="F56" s="52">
        <v>12</v>
      </c>
      <c r="G56" s="105" t="s">
        <v>239</v>
      </c>
      <c r="H56" s="105"/>
    </row>
    <row r="57" spans="1:8" hidden="1" x14ac:dyDescent="0.15">
      <c r="A57" s="39"/>
      <c r="B57" s="39"/>
      <c r="C57" s="39" t="s">
        <v>562</v>
      </c>
      <c r="D57" s="39" t="s">
        <v>19</v>
      </c>
      <c r="E57" s="39"/>
      <c r="F57" s="52">
        <v>20</v>
      </c>
      <c r="G57" s="105" t="s">
        <v>240</v>
      </c>
      <c r="H57" s="105"/>
    </row>
    <row r="58" spans="1:8" hidden="1" x14ac:dyDescent="0.15">
      <c r="A58" s="39"/>
      <c r="B58" s="39"/>
      <c r="C58" s="39" t="s">
        <v>241</v>
      </c>
      <c r="D58" s="39" t="s">
        <v>19</v>
      </c>
      <c r="E58" s="39"/>
      <c r="F58" s="52">
        <v>20</v>
      </c>
      <c r="G58" s="105" t="s">
        <v>240</v>
      </c>
      <c r="H58" s="105"/>
    </row>
    <row r="59" spans="1:8" x14ac:dyDescent="0.15">
      <c r="A59" s="39"/>
      <c r="B59" s="53" t="s">
        <v>956</v>
      </c>
      <c r="C59" s="39"/>
      <c r="D59" s="39"/>
      <c r="E59" s="39"/>
      <c r="F59" s="52"/>
      <c r="G59" s="62"/>
      <c r="H59" s="62"/>
    </row>
    <row r="60" spans="1:8" x14ac:dyDescent="0.15">
      <c r="A60" s="39" t="s">
        <v>242</v>
      </c>
      <c r="B60" s="39"/>
      <c r="C60" s="39"/>
      <c r="D60" s="39"/>
      <c r="E60" s="39"/>
      <c r="F60" s="52"/>
      <c r="G60" s="105"/>
      <c r="H60" s="105"/>
    </row>
    <row r="61" spans="1:8" x14ac:dyDescent="0.15">
      <c r="A61" s="39"/>
      <c r="B61" s="39" t="s">
        <v>243</v>
      </c>
      <c r="C61" s="39"/>
      <c r="D61" s="39"/>
      <c r="E61" s="39"/>
      <c r="F61" s="52"/>
      <c r="G61" s="105"/>
      <c r="H61" s="105"/>
    </row>
    <row r="62" spans="1:8" hidden="1" x14ac:dyDescent="0.15">
      <c r="A62" s="39"/>
      <c r="B62" s="39"/>
      <c r="C62" s="39" t="s">
        <v>244</v>
      </c>
      <c r="D62" s="39" t="s">
        <v>20</v>
      </c>
      <c r="E62" s="39"/>
      <c r="F62" s="52">
        <v>2</v>
      </c>
      <c r="G62" s="105" t="s">
        <v>245</v>
      </c>
      <c r="H62" s="105"/>
    </row>
    <row r="63" spans="1:8" hidden="1" x14ac:dyDescent="0.15">
      <c r="A63" s="39"/>
      <c r="B63" s="39"/>
      <c r="C63" s="39" t="s">
        <v>246</v>
      </c>
      <c r="D63" s="39" t="s">
        <v>20</v>
      </c>
      <c r="E63" s="39"/>
      <c r="F63" s="52">
        <v>10</v>
      </c>
      <c r="G63" s="105"/>
      <c r="H63" s="105"/>
    </row>
    <row r="64" spans="1:8" hidden="1" x14ac:dyDescent="0.15">
      <c r="A64" s="39"/>
      <c r="B64" s="39"/>
      <c r="C64" s="39" t="s">
        <v>247</v>
      </c>
      <c r="D64" s="39" t="s">
        <v>20</v>
      </c>
      <c r="E64" s="39"/>
      <c r="F64" s="52">
        <v>6</v>
      </c>
      <c r="G64" s="105" t="s">
        <v>248</v>
      </c>
      <c r="H64" s="105"/>
    </row>
    <row r="65" spans="1:8" hidden="1" x14ac:dyDescent="0.15">
      <c r="A65" s="39"/>
      <c r="B65" s="39"/>
      <c r="C65" s="39" t="s">
        <v>249</v>
      </c>
      <c r="D65" s="39" t="s">
        <v>20</v>
      </c>
      <c r="E65" s="39"/>
      <c r="F65" s="52">
        <v>3</v>
      </c>
      <c r="G65" s="105" t="s">
        <v>322</v>
      </c>
      <c r="H65" s="105"/>
    </row>
    <row r="66" spans="1:8" x14ac:dyDescent="0.15">
      <c r="A66" s="39"/>
      <c r="B66" s="39" t="s">
        <v>250</v>
      </c>
      <c r="C66" s="39"/>
      <c r="D66" s="39"/>
      <c r="E66" s="39"/>
      <c r="F66" s="52"/>
      <c r="G66" s="105"/>
      <c r="H66" s="105"/>
    </row>
    <row r="67" spans="1:8" hidden="1" x14ac:dyDescent="0.15">
      <c r="A67" s="39"/>
      <c r="B67" s="39"/>
      <c r="C67" s="39" t="s">
        <v>251</v>
      </c>
      <c r="D67" s="39" t="s">
        <v>20</v>
      </c>
      <c r="E67" s="39"/>
      <c r="F67" s="52">
        <v>2</v>
      </c>
      <c r="G67" s="105" t="s">
        <v>252</v>
      </c>
      <c r="H67" s="105"/>
    </row>
    <row r="68" spans="1:8" hidden="1" x14ac:dyDescent="0.15">
      <c r="A68" s="39"/>
      <c r="B68" s="39"/>
      <c r="C68" s="39" t="s">
        <v>323</v>
      </c>
      <c r="D68" s="39" t="s">
        <v>20</v>
      </c>
      <c r="E68" s="39"/>
      <c r="F68" s="52">
        <v>2</v>
      </c>
      <c r="G68" s="105" t="s">
        <v>312</v>
      </c>
      <c r="H68" s="105"/>
    </row>
    <row r="69" spans="1:8" x14ac:dyDescent="0.15">
      <c r="A69" s="39" t="s">
        <v>253</v>
      </c>
      <c r="B69" s="39"/>
      <c r="C69" s="39"/>
      <c r="D69" s="39"/>
      <c r="E69" s="39"/>
      <c r="F69" s="52"/>
      <c r="G69" s="105"/>
      <c r="H69" s="105"/>
    </row>
    <row r="70" spans="1:8" x14ac:dyDescent="0.15">
      <c r="A70" s="39"/>
      <c r="B70" s="39" t="s">
        <v>21</v>
      </c>
      <c r="C70" s="39"/>
      <c r="D70" s="39"/>
      <c r="E70" s="39"/>
      <c r="F70" s="52"/>
      <c r="G70" s="105"/>
      <c r="H70" s="105"/>
    </row>
    <row r="71" spans="1:8" hidden="1" x14ac:dyDescent="0.15">
      <c r="A71" s="39"/>
      <c r="B71" s="39"/>
      <c r="C71" s="39" t="s">
        <v>254</v>
      </c>
      <c r="D71" s="39" t="s">
        <v>20</v>
      </c>
      <c r="E71" s="39"/>
      <c r="F71" s="52">
        <v>3</v>
      </c>
      <c r="G71" s="105" t="s">
        <v>255</v>
      </c>
      <c r="H71" s="105"/>
    </row>
    <row r="72" spans="1:8" hidden="1" x14ac:dyDescent="0.15">
      <c r="A72" s="39"/>
      <c r="B72" s="39"/>
      <c r="C72" s="39" t="s">
        <v>256</v>
      </c>
      <c r="D72" s="39" t="s">
        <v>20</v>
      </c>
      <c r="E72" s="39"/>
      <c r="F72" s="52">
        <v>2</v>
      </c>
      <c r="G72" s="105" t="s">
        <v>257</v>
      </c>
      <c r="H72" s="105"/>
    </row>
    <row r="73" spans="1:8" hidden="1" x14ac:dyDescent="0.15">
      <c r="A73" s="39"/>
      <c r="B73" s="39"/>
      <c r="C73" s="39" t="s">
        <v>258</v>
      </c>
      <c r="D73" s="39" t="s">
        <v>20</v>
      </c>
      <c r="E73" s="39"/>
      <c r="F73" s="52">
        <v>9</v>
      </c>
      <c r="G73" s="105" t="s">
        <v>259</v>
      </c>
      <c r="H73" s="105"/>
    </row>
    <row r="74" spans="1:8" hidden="1" x14ac:dyDescent="0.15">
      <c r="A74" s="39"/>
      <c r="B74" s="39"/>
      <c r="C74" s="39" t="s">
        <v>260</v>
      </c>
      <c r="D74" s="39" t="s">
        <v>20</v>
      </c>
      <c r="E74" s="39"/>
      <c r="F74" s="52">
        <v>3</v>
      </c>
      <c r="G74" s="105" t="s">
        <v>261</v>
      </c>
      <c r="H74" s="105"/>
    </row>
    <row r="75" spans="1:8" hidden="1" x14ac:dyDescent="0.15">
      <c r="A75" s="39"/>
      <c r="B75" s="39"/>
      <c r="C75" s="39" t="s">
        <v>262</v>
      </c>
      <c r="D75" s="39" t="s">
        <v>20</v>
      </c>
      <c r="E75" s="39"/>
      <c r="F75" s="52">
        <v>3</v>
      </c>
      <c r="G75" s="105" t="s">
        <v>263</v>
      </c>
      <c r="H75" s="105"/>
    </row>
    <row r="76" spans="1:8" hidden="1" x14ac:dyDescent="0.15">
      <c r="A76" s="39"/>
      <c r="B76" s="39"/>
      <c r="C76" s="34" t="s">
        <v>264</v>
      </c>
      <c r="D76" s="39" t="s">
        <v>20</v>
      </c>
      <c r="E76" s="39"/>
      <c r="F76" s="52">
        <v>1</v>
      </c>
      <c r="G76" s="105" t="s">
        <v>264</v>
      </c>
      <c r="H76" s="105"/>
    </row>
    <row r="77" spans="1:8" hidden="1" x14ac:dyDescent="0.15">
      <c r="A77" s="39"/>
      <c r="B77" s="39"/>
      <c r="C77" s="39" t="s">
        <v>265</v>
      </c>
      <c r="D77" s="39" t="s">
        <v>20</v>
      </c>
      <c r="E77" s="39"/>
      <c r="F77" s="52">
        <v>5</v>
      </c>
      <c r="G77" s="105" t="s">
        <v>266</v>
      </c>
      <c r="H77" s="105"/>
    </row>
    <row r="78" spans="1:8" x14ac:dyDescent="0.15">
      <c r="A78" s="39"/>
      <c r="B78" s="39" t="s">
        <v>267</v>
      </c>
      <c r="C78" s="39"/>
      <c r="D78" s="39"/>
      <c r="E78" s="39"/>
      <c r="F78" s="52"/>
      <c r="G78" s="105"/>
      <c r="H78" s="105"/>
    </row>
    <row r="79" spans="1:8" hidden="1" x14ac:dyDescent="0.15">
      <c r="A79" s="39"/>
      <c r="B79" s="39"/>
      <c r="C79" s="39" t="s">
        <v>268</v>
      </c>
      <c r="D79" s="39" t="s">
        <v>20</v>
      </c>
      <c r="E79" s="39"/>
      <c r="F79" s="52">
        <v>4</v>
      </c>
      <c r="G79" s="105" t="s">
        <v>299</v>
      </c>
      <c r="H79" s="105"/>
    </row>
    <row r="80" spans="1:8" hidden="1" x14ac:dyDescent="0.15">
      <c r="A80" s="39"/>
      <c r="B80" s="39"/>
      <c r="C80" s="39" t="s">
        <v>300</v>
      </c>
      <c r="D80" s="39" t="s">
        <v>20</v>
      </c>
      <c r="E80" s="39"/>
      <c r="F80" s="52">
        <v>2</v>
      </c>
      <c r="G80" s="105" t="s">
        <v>301</v>
      </c>
      <c r="H80" s="105"/>
    </row>
    <row r="81" spans="1:8" x14ac:dyDescent="0.15">
      <c r="A81" s="39"/>
      <c r="B81" s="39"/>
      <c r="C81" s="39"/>
      <c r="D81" s="39"/>
      <c r="E81" s="39"/>
      <c r="F81" s="52"/>
      <c r="G81" s="105"/>
      <c r="H81" s="105"/>
    </row>
    <row r="82" spans="1:8" x14ac:dyDescent="0.15">
      <c r="A82" s="39"/>
      <c r="B82" s="39"/>
      <c r="C82" s="39"/>
      <c r="D82" s="39"/>
      <c r="E82" s="39"/>
      <c r="F82" s="52"/>
      <c r="G82" s="105"/>
      <c r="H82" s="105"/>
    </row>
    <row r="83" spans="1:8" x14ac:dyDescent="0.15">
      <c r="A83" s="39"/>
      <c r="B83" s="39"/>
      <c r="C83" s="39"/>
      <c r="D83" s="39"/>
      <c r="E83" s="39"/>
      <c r="F83" s="52"/>
      <c r="G83" s="105"/>
      <c r="H83" s="105"/>
    </row>
    <row r="84" spans="1:8" x14ac:dyDescent="0.15">
      <c r="A84" s="39"/>
      <c r="B84" s="39"/>
      <c r="C84" s="39"/>
      <c r="D84" s="39"/>
      <c r="E84" s="39"/>
      <c r="F84" s="52"/>
      <c r="G84" s="105"/>
      <c r="H84" s="105"/>
    </row>
    <row r="85" spans="1:8" x14ac:dyDescent="0.15">
      <c r="A85" s="39"/>
      <c r="B85" s="39"/>
      <c r="C85" s="39"/>
      <c r="D85" s="39"/>
      <c r="E85" s="39"/>
      <c r="F85" s="52"/>
      <c r="G85" s="105"/>
      <c r="H85" s="105"/>
    </row>
  </sheetData>
  <autoFilter ref="A1:H80" xr:uid="{00000000-0001-0000-0100-000000000000}">
    <filterColumn colId="2">
      <filters blank="1"/>
    </filterColumn>
    <filterColumn colId="6" showButton="0"/>
  </autoFilter>
  <mergeCells count="84">
    <mergeCell ref="G25:H25"/>
    <mergeCell ref="G31:H31"/>
    <mergeCell ref="G51:H51"/>
    <mergeCell ref="G52:H52"/>
    <mergeCell ref="G46:H46"/>
    <mergeCell ref="G47:H47"/>
    <mergeCell ref="G48:H48"/>
    <mergeCell ref="G49:H49"/>
    <mergeCell ref="G50:H50"/>
    <mergeCell ref="G37:H37"/>
    <mergeCell ref="G38:H38"/>
    <mergeCell ref="G43:H43"/>
    <mergeCell ref="G44:H44"/>
    <mergeCell ref="G45:H45"/>
    <mergeCell ref="G32:H32"/>
    <mergeCell ref="G33:H33"/>
    <mergeCell ref="G34:H34"/>
    <mergeCell ref="G35:H35"/>
    <mergeCell ref="G36:H36"/>
    <mergeCell ref="G26:H26"/>
    <mergeCell ref="G27:H27"/>
    <mergeCell ref="G28:H28"/>
    <mergeCell ref="G29:H29"/>
    <mergeCell ref="G30:H30"/>
    <mergeCell ref="G1:H1"/>
    <mergeCell ref="G2:H2"/>
    <mergeCell ref="G3:H3"/>
    <mergeCell ref="G4:H4"/>
    <mergeCell ref="G5:H5"/>
    <mergeCell ref="G6:H6"/>
    <mergeCell ref="G7:H7"/>
    <mergeCell ref="G8:H8"/>
    <mergeCell ref="G9:H9"/>
    <mergeCell ref="G10:H10"/>
    <mergeCell ref="G11:H11"/>
    <mergeCell ref="G12:H12"/>
    <mergeCell ref="G13:H13"/>
    <mergeCell ref="G17:H17"/>
    <mergeCell ref="G18:H18"/>
    <mergeCell ref="G14:H14"/>
    <mergeCell ref="G15:H15"/>
    <mergeCell ref="G16:H16"/>
    <mergeCell ref="G19:H19"/>
    <mergeCell ref="G20:H20"/>
    <mergeCell ref="G21:H21"/>
    <mergeCell ref="G22:H22"/>
    <mergeCell ref="G64:H64"/>
    <mergeCell ref="G53:H53"/>
    <mergeCell ref="G54:H54"/>
    <mergeCell ref="G55:H55"/>
    <mergeCell ref="G56:H56"/>
    <mergeCell ref="G57:H57"/>
    <mergeCell ref="G39:H39"/>
    <mergeCell ref="G40:H40"/>
    <mergeCell ref="G41:H41"/>
    <mergeCell ref="G42:H42"/>
    <mergeCell ref="G23:H23"/>
    <mergeCell ref="G24:H24"/>
    <mergeCell ref="G65:H65"/>
    <mergeCell ref="G66:H66"/>
    <mergeCell ref="G67:H67"/>
    <mergeCell ref="G68:H68"/>
    <mergeCell ref="G58:H58"/>
    <mergeCell ref="G60:H60"/>
    <mergeCell ref="G61:H61"/>
    <mergeCell ref="G62:H62"/>
    <mergeCell ref="G63:H63"/>
    <mergeCell ref="G74:H74"/>
    <mergeCell ref="G75:H75"/>
    <mergeCell ref="G76:H76"/>
    <mergeCell ref="G77:H77"/>
    <mergeCell ref="G78:H78"/>
    <mergeCell ref="G69:H69"/>
    <mergeCell ref="G70:H70"/>
    <mergeCell ref="G71:H71"/>
    <mergeCell ref="G72:H72"/>
    <mergeCell ref="G73:H73"/>
    <mergeCell ref="G84:H84"/>
    <mergeCell ref="G85:H85"/>
    <mergeCell ref="G79:H79"/>
    <mergeCell ref="G80:H80"/>
    <mergeCell ref="G81:H81"/>
    <mergeCell ref="G82:H82"/>
    <mergeCell ref="G83:H83"/>
  </mergeCells>
  <phoneticPr fontId="1" type="noConversion"/>
  <dataValidations count="1">
    <dataValidation type="list" allowBlank="1" showInputMessage="1" showErrorMessage="1" sqref="D38:D40 D85 D79:D82 D19:D22 D13:D17 D24:D26 D43:D46 D48:D52 D54:D59 D62:D65 D67:D68 D71:D77 D28:D36" xr:uid="{00000000-0002-0000-0100-000000000000}">
      <formula1>"流程图,状态机,等价类划分&amp;数据组合,直接分析"</formula1>
    </dataValidation>
  </dataValidation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N87"/>
  <sheetViews>
    <sheetView topLeftCell="A13" zoomScaleNormal="100" workbookViewId="0">
      <selection activeCell="S17" sqref="S17"/>
    </sheetView>
  </sheetViews>
  <sheetFormatPr defaultColWidth="8.875" defaultRowHeight="13.5" x14ac:dyDescent="0.15"/>
  <sheetData>
    <row r="1" spans="1:14" x14ac:dyDescent="0.15">
      <c r="A1" s="51" t="s">
        <v>122</v>
      </c>
      <c r="B1" s="111" t="s">
        <v>123</v>
      </c>
      <c r="C1" s="112"/>
      <c r="D1" s="112"/>
      <c r="E1" s="112"/>
      <c r="F1" s="112"/>
      <c r="G1" s="112"/>
      <c r="H1" s="112"/>
      <c r="I1" s="112"/>
      <c r="J1" s="112"/>
      <c r="K1" s="112"/>
      <c r="L1" s="112"/>
      <c r="M1" s="112"/>
      <c r="N1" s="113"/>
    </row>
    <row r="2" spans="1:14" x14ac:dyDescent="0.15">
      <c r="A2" s="114" t="s">
        <v>124</v>
      </c>
      <c r="B2" s="115"/>
      <c r="C2" s="115"/>
      <c r="D2" s="115"/>
      <c r="E2" s="115"/>
      <c r="F2" s="115"/>
      <c r="G2" s="115"/>
      <c r="H2" s="115"/>
      <c r="I2" s="115"/>
      <c r="J2" s="115"/>
      <c r="K2" s="115"/>
      <c r="L2" s="115"/>
      <c r="M2" s="115"/>
      <c r="N2" s="115"/>
    </row>
    <row r="3" spans="1:14" x14ac:dyDescent="0.15">
      <c r="A3" s="114"/>
      <c r="B3" s="115"/>
      <c r="C3" s="115"/>
      <c r="D3" s="115"/>
      <c r="E3" s="115"/>
      <c r="F3" s="115"/>
      <c r="G3" s="115"/>
      <c r="H3" s="115"/>
      <c r="I3" s="115"/>
      <c r="J3" s="115"/>
      <c r="K3" s="115"/>
      <c r="L3" s="115"/>
      <c r="M3" s="115"/>
      <c r="N3" s="115"/>
    </row>
    <row r="4" spans="1:14" x14ac:dyDescent="0.15">
      <c r="A4" s="114"/>
      <c r="B4" s="115"/>
      <c r="C4" s="115"/>
      <c r="D4" s="115"/>
      <c r="E4" s="115"/>
      <c r="F4" s="115"/>
      <c r="G4" s="115"/>
      <c r="H4" s="115"/>
      <c r="I4" s="115"/>
      <c r="J4" s="115"/>
      <c r="K4" s="115"/>
      <c r="L4" s="115"/>
      <c r="M4" s="115"/>
      <c r="N4" s="115"/>
    </row>
    <row r="5" spans="1:14" x14ac:dyDescent="0.15">
      <c r="A5" s="114"/>
      <c r="B5" s="115"/>
      <c r="C5" s="115"/>
      <c r="D5" s="115"/>
      <c r="E5" s="115"/>
      <c r="F5" s="115"/>
      <c r="G5" s="115"/>
      <c r="H5" s="115"/>
      <c r="I5" s="115"/>
      <c r="J5" s="115"/>
      <c r="K5" s="115"/>
      <c r="L5" s="115"/>
      <c r="M5" s="115"/>
      <c r="N5" s="115"/>
    </row>
    <row r="6" spans="1:14" x14ac:dyDescent="0.15">
      <c r="A6" s="114"/>
      <c r="B6" s="115"/>
      <c r="C6" s="115"/>
      <c r="D6" s="115"/>
      <c r="E6" s="115"/>
      <c r="F6" s="115"/>
      <c r="G6" s="115"/>
      <c r="H6" s="115"/>
      <c r="I6" s="115"/>
      <c r="J6" s="115"/>
      <c r="K6" s="115"/>
      <c r="L6" s="115"/>
      <c r="M6" s="115"/>
      <c r="N6" s="115"/>
    </row>
    <row r="7" spans="1:14" x14ac:dyDescent="0.15">
      <c r="A7" s="114"/>
      <c r="B7" s="115"/>
      <c r="C7" s="115"/>
      <c r="D7" s="115"/>
      <c r="E7" s="115"/>
      <c r="F7" s="115"/>
      <c r="G7" s="115"/>
      <c r="H7" s="115"/>
      <c r="I7" s="115"/>
      <c r="J7" s="115"/>
      <c r="K7" s="115"/>
      <c r="L7" s="115"/>
      <c r="M7" s="115"/>
      <c r="N7" s="115"/>
    </row>
    <row r="8" spans="1:14" x14ac:dyDescent="0.15">
      <c r="A8" s="114"/>
      <c r="B8" s="115"/>
      <c r="C8" s="115"/>
      <c r="D8" s="115"/>
      <c r="E8" s="115"/>
      <c r="F8" s="115"/>
      <c r="G8" s="115"/>
      <c r="H8" s="115"/>
      <c r="I8" s="115"/>
      <c r="J8" s="115"/>
      <c r="K8" s="115"/>
      <c r="L8" s="115"/>
      <c r="M8" s="115"/>
      <c r="N8" s="115"/>
    </row>
    <row r="9" spans="1:14" x14ac:dyDescent="0.15">
      <c r="A9" s="114"/>
      <c r="B9" s="115"/>
      <c r="C9" s="115"/>
      <c r="D9" s="115"/>
      <c r="E9" s="115"/>
      <c r="F9" s="115"/>
      <c r="G9" s="115"/>
      <c r="H9" s="115"/>
      <c r="I9" s="115"/>
      <c r="J9" s="115"/>
      <c r="K9" s="115"/>
      <c r="L9" s="115"/>
      <c r="M9" s="115"/>
      <c r="N9" s="115"/>
    </row>
    <row r="10" spans="1:14" x14ac:dyDescent="0.15">
      <c r="A10" s="114"/>
      <c r="B10" s="115"/>
      <c r="C10" s="115"/>
      <c r="D10" s="115"/>
      <c r="E10" s="115"/>
      <c r="F10" s="115"/>
      <c r="G10" s="115"/>
      <c r="H10" s="115"/>
      <c r="I10" s="115"/>
      <c r="J10" s="115"/>
      <c r="K10" s="115"/>
      <c r="L10" s="115"/>
      <c r="M10" s="115"/>
      <c r="N10" s="115"/>
    </row>
    <row r="11" spans="1:14" x14ac:dyDescent="0.15">
      <c r="A11" s="114"/>
      <c r="B11" s="115"/>
      <c r="C11" s="115"/>
      <c r="D11" s="115"/>
      <c r="E11" s="115"/>
      <c r="F11" s="115"/>
      <c r="G11" s="115"/>
      <c r="H11" s="115"/>
      <c r="I11" s="115"/>
      <c r="J11" s="115"/>
      <c r="K11" s="115"/>
      <c r="L11" s="115"/>
      <c r="M11" s="115"/>
      <c r="N11" s="115"/>
    </row>
    <row r="12" spans="1:14" x14ac:dyDescent="0.15">
      <c r="A12" s="114"/>
      <c r="B12" s="115"/>
      <c r="C12" s="115"/>
      <c r="D12" s="115"/>
      <c r="E12" s="115"/>
      <c r="F12" s="115"/>
      <c r="G12" s="115"/>
      <c r="H12" s="115"/>
      <c r="I12" s="115"/>
      <c r="J12" s="115"/>
      <c r="K12" s="115"/>
      <c r="L12" s="115"/>
      <c r="M12" s="115"/>
      <c r="N12" s="115"/>
    </row>
    <row r="13" spans="1:14" x14ac:dyDescent="0.15">
      <c r="A13" s="114"/>
      <c r="B13" s="115"/>
      <c r="C13" s="115"/>
      <c r="D13" s="115"/>
      <c r="E13" s="115"/>
      <c r="F13" s="115"/>
      <c r="G13" s="115"/>
      <c r="H13" s="115"/>
      <c r="I13" s="115"/>
      <c r="J13" s="115"/>
      <c r="K13" s="115"/>
      <c r="L13" s="115"/>
      <c r="M13" s="115"/>
      <c r="N13" s="115"/>
    </row>
    <row r="14" spans="1:14" x14ac:dyDescent="0.15">
      <c r="A14" s="114"/>
      <c r="B14" s="115"/>
      <c r="C14" s="115"/>
      <c r="D14" s="115"/>
      <c r="E14" s="115"/>
      <c r="F14" s="115"/>
      <c r="G14" s="115"/>
      <c r="H14" s="115"/>
      <c r="I14" s="115"/>
      <c r="J14" s="115"/>
      <c r="K14" s="115"/>
      <c r="L14" s="115"/>
      <c r="M14" s="115"/>
      <c r="N14" s="115"/>
    </row>
    <row r="15" spans="1:14" x14ac:dyDescent="0.15">
      <c r="A15" s="114"/>
      <c r="B15" s="115"/>
      <c r="C15" s="115"/>
      <c r="D15" s="115"/>
      <c r="E15" s="115"/>
      <c r="F15" s="115"/>
      <c r="G15" s="115"/>
      <c r="H15" s="115"/>
      <c r="I15" s="115"/>
      <c r="J15" s="115"/>
      <c r="K15" s="115"/>
      <c r="L15" s="115"/>
      <c r="M15" s="115"/>
      <c r="N15" s="115"/>
    </row>
    <row r="16" spans="1:14" x14ac:dyDescent="0.15">
      <c r="A16" s="114"/>
      <c r="B16" s="115"/>
      <c r="C16" s="115"/>
      <c r="D16" s="115"/>
      <c r="E16" s="115"/>
      <c r="F16" s="115"/>
      <c r="G16" s="115"/>
      <c r="H16" s="115"/>
      <c r="I16" s="115"/>
      <c r="J16" s="115"/>
      <c r="K16" s="115"/>
      <c r="L16" s="115"/>
      <c r="M16" s="115"/>
      <c r="N16" s="115"/>
    </row>
    <row r="17" spans="1:14" x14ac:dyDescent="0.15">
      <c r="A17" s="114"/>
      <c r="B17" s="115"/>
      <c r="C17" s="115"/>
      <c r="D17" s="115"/>
      <c r="E17" s="115"/>
      <c r="F17" s="115"/>
      <c r="G17" s="115"/>
      <c r="H17" s="115"/>
      <c r="I17" s="115"/>
      <c r="J17" s="115"/>
      <c r="K17" s="115"/>
      <c r="L17" s="115"/>
      <c r="M17" s="115"/>
      <c r="N17" s="115"/>
    </row>
    <row r="18" spans="1:14" x14ac:dyDescent="0.15">
      <c r="A18" s="114"/>
      <c r="B18" s="115"/>
      <c r="C18" s="115"/>
      <c r="D18" s="115"/>
      <c r="E18" s="115"/>
      <c r="F18" s="115"/>
      <c r="G18" s="115"/>
      <c r="H18" s="115"/>
      <c r="I18" s="115"/>
      <c r="J18" s="115"/>
      <c r="K18" s="115"/>
      <c r="L18" s="115"/>
      <c r="M18" s="115"/>
      <c r="N18" s="115"/>
    </row>
    <row r="19" spans="1:14" x14ac:dyDescent="0.15">
      <c r="A19" s="114"/>
      <c r="B19" s="115"/>
      <c r="C19" s="115"/>
      <c r="D19" s="115"/>
      <c r="E19" s="115"/>
      <c r="F19" s="115"/>
      <c r="G19" s="115"/>
      <c r="H19" s="115"/>
      <c r="I19" s="115"/>
      <c r="J19" s="115"/>
      <c r="K19" s="115"/>
      <c r="L19" s="115"/>
      <c r="M19" s="115"/>
      <c r="N19" s="115"/>
    </row>
    <row r="20" spans="1:14" x14ac:dyDescent="0.15">
      <c r="A20" s="114"/>
      <c r="B20" s="115"/>
      <c r="C20" s="115"/>
      <c r="D20" s="115"/>
      <c r="E20" s="115"/>
      <c r="F20" s="115"/>
      <c r="G20" s="115"/>
      <c r="H20" s="115"/>
      <c r="I20" s="115"/>
      <c r="J20" s="115"/>
      <c r="K20" s="115"/>
      <c r="L20" s="115"/>
      <c r="M20" s="115"/>
      <c r="N20" s="115"/>
    </row>
    <row r="21" spans="1:14" x14ac:dyDescent="0.15">
      <c r="A21" s="114"/>
      <c r="B21" s="115"/>
      <c r="C21" s="115"/>
      <c r="D21" s="115"/>
      <c r="E21" s="115"/>
      <c r="F21" s="115"/>
      <c r="G21" s="115"/>
      <c r="H21" s="115"/>
      <c r="I21" s="115"/>
      <c r="J21" s="115"/>
      <c r="K21" s="115"/>
      <c r="L21" s="115"/>
      <c r="M21" s="115"/>
      <c r="N21" s="115"/>
    </row>
    <row r="23" spans="1:14" x14ac:dyDescent="0.15">
      <c r="A23" s="51" t="s">
        <v>122</v>
      </c>
      <c r="B23" s="111" t="s">
        <v>125</v>
      </c>
      <c r="C23" s="112"/>
      <c r="D23" s="112"/>
      <c r="E23" s="112"/>
      <c r="F23" s="112"/>
      <c r="G23" s="112"/>
      <c r="H23" s="112"/>
      <c r="I23" s="112"/>
      <c r="J23" s="112"/>
      <c r="K23" s="112"/>
      <c r="L23" s="112"/>
      <c r="M23" s="112"/>
      <c r="N23" s="113"/>
    </row>
    <row r="24" spans="1:14" x14ac:dyDescent="0.15">
      <c r="A24" s="114" t="s">
        <v>126</v>
      </c>
      <c r="B24" s="115"/>
      <c r="C24" s="115"/>
      <c r="D24" s="115"/>
      <c r="E24" s="115"/>
      <c r="F24" s="115"/>
      <c r="G24" s="115"/>
      <c r="H24" s="115"/>
      <c r="I24" s="115"/>
      <c r="J24" s="115"/>
      <c r="K24" s="115"/>
      <c r="L24" s="115"/>
      <c r="M24" s="115"/>
      <c r="N24" s="115"/>
    </row>
    <row r="25" spans="1:14" x14ac:dyDescent="0.15">
      <c r="A25" s="114"/>
      <c r="B25" s="115"/>
      <c r="C25" s="115"/>
      <c r="D25" s="115"/>
      <c r="E25" s="115"/>
      <c r="F25" s="115"/>
      <c r="G25" s="115"/>
      <c r="H25" s="115"/>
      <c r="I25" s="115"/>
      <c r="J25" s="115"/>
      <c r="K25" s="115"/>
      <c r="L25" s="115"/>
      <c r="M25" s="115"/>
      <c r="N25" s="115"/>
    </row>
    <row r="26" spans="1:14" x14ac:dyDescent="0.15">
      <c r="A26" s="114"/>
      <c r="B26" s="115"/>
      <c r="C26" s="115"/>
      <c r="D26" s="115"/>
      <c r="E26" s="115"/>
      <c r="F26" s="115"/>
      <c r="G26" s="115"/>
      <c r="H26" s="115"/>
      <c r="I26" s="115"/>
      <c r="J26" s="115"/>
      <c r="K26" s="115"/>
      <c r="L26" s="115"/>
      <c r="M26" s="115"/>
      <c r="N26" s="115"/>
    </row>
    <row r="27" spans="1:14" x14ac:dyDescent="0.15">
      <c r="A27" s="114"/>
      <c r="B27" s="115"/>
      <c r="C27" s="115"/>
      <c r="D27" s="115"/>
      <c r="E27" s="115"/>
      <c r="F27" s="115"/>
      <c r="G27" s="115"/>
      <c r="H27" s="115"/>
      <c r="I27" s="115"/>
      <c r="J27" s="115"/>
      <c r="K27" s="115"/>
      <c r="L27" s="115"/>
      <c r="M27" s="115"/>
      <c r="N27" s="115"/>
    </row>
    <row r="28" spans="1:14" x14ac:dyDescent="0.15">
      <c r="A28" s="114"/>
      <c r="B28" s="115"/>
      <c r="C28" s="115"/>
      <c r="D28" s="115"/>
      <c r="E28" s="115"/>
      <c r="F28" s="115"/>
      <c r="G28" s="115"/>
      <c r="H28" s="115"/>
      <c r="I28" s="115"/>
      <c r="J28" s="115"/>
      <c r="K28" s="115"/>
      <c r="L28" s="115"/>
      <c r="M28" s="115"/>
      <c r="N28" s="115"/>
    </row>
    <row r="29" spans="1:14" x14ac:dyDescent="0.15">
      <c r="A29" s="114"/>
      <c r="B29" s="115"/>
      <c r="C29" s="115"/>
      <c r="D29" s="115"/>
      <c r="E29" s="115"/>
      <c r="F29" s="115"/>
      <c r="G29" s="115"/>
      <c r="H29" s="115"/>
      <c r="I29" s="115"/>
      <c r="J29" s="115"/>
      <c r="K29" s="115"/>
      <c r="L29" s="115"/>
      <c r="M29" s="115"/>
      <c r="N29" s="115"/>
    </row>
    <row r="30" spans="1:14" x14ac:dyDescent="0.15">
      <c r="A30" s="114"/>
      <c r="B30" s="115"/>
      <c r="C30" s="115"/>
      <c r="D30" s="115"/>
      <c r="E30" s="115"/>
      <c r="F30" s="115"/>
      <c r="G30" s="115"/>
      <c r="H30" s="115"/>
      <c r="I30" s="115"/>
      <c r="J30" s="115"/>
      <c r="K30" s="115"/>
      <c r="L30" s="115"/>
      <c r="M30" s="115"/>
      <c r="N30" s="115"/>
    </row>
    <row r="31" spans="1:14" x14ac:dyDescent="0.15">
      <c r="A31" s="114"/>
      <c r="B31" s="115"/>
      <c r="C31" s="115"/>
      <c r="D31" s="115"/>
      <c r="E31" s="115"/>
      <c r="F31" s="115"/>
      <c r="G31" s="115"/>
      <c r="H31" s="115"/>
      <c r="I31" s="115"/>
      <c r="J31" s="115"/>
      <c r="K31" s="115"/>
      <c r="L31" s="115"/>
      <c r="M31" s="115"/>
      <c r="N31" s="115"/>
    </row>
    <row r="32" spans="1:14" x14ac:dyDescent="0.15">
      <c r="A32" s="114"/>
      <c r="B32" s="115"/>
      <c r="C32" s="115"/>
      <c r="D32" s="115"/>
      <c r="E32" s="115"/>
      <c r="F32" s="115"/>
      <c r="G32" s="115"/>
      <c r="H32" s="115"/>
      <c r="I32" s="115"/>
      <c r="J32" s="115"/>
      <c r="K32" s="115"/>
      <c r="L32" s="115"/>
      <c r="M32" s="115"/>
      <c r="N32" s="115"/>
    </row>
    <row r="33" spans="1:14" x14ac:dyDescent="0.15">
      <c r="A33" s="114"/>
      <c r="B33" s="115"/>
      <c r="C33" s="115"/>
      <c r="D33" s="115"/>
      <c r="E33" s="115"/>
      <c r="F33" s="115"/>
      <c r="G33" s="115"/>
      <c r="H33" s="115"/>
      <c r="I33" s="115"/>
      <c r="J33" s="115"/>
      <c r="K33" s="115"/>
      <c r="L33" s="115"/>
      <c r="M33" s="115"/>
      <c r="N33" s="115"/>
    </row>
    <row r="34" spans="1:14" x14ac:dyDescent="0.15">
      <c r="A34" s="114"/>
      <c r="B34" s="115"/>
      <c r="C34" s="115"/>
      <c r="D34" s="115"/>
      <c r="E34" s="115"/>
      <c r="F34" s="115"/>
      <c r="G34" s="115"/>
      <c r="H34" s="115"/>
      <c r="I34" s="115"/>
      <c r="J34" s="115"/>
      <c r="K34" s="115"/>
      <c r="L34" s="115"/>
      <c r="M34" s="115"/>
      <c r="N34" s="115"/>
    </row>
    <row r="35" spans="1:14" x14ac:dyDescent="0.15">
      <c r="A35" s="114"/>
      <c r="B35" s="115"/>
      <c r="C35" s="115"/>
      <c r="D35" s="115"/>
      <c r="E35" s="115"/>
      <c r="F35" s="115"/>
      <c r="G35" s="115"/>
      <c r="H35" s="115"/>
      <c r="I35" s="115"/>
      <c r="J35" s="115"/>
      <c r="K35" s="115"/>
      <c r="L35" s="115"/>
      <c r="M35" s="115"/>
      <c r="N35" s="115"/>
    </row>
    <row r="36" spans="1:14" x14ac:dyDescent="0.15">
      <c r="A36" s="114"/>
      <c r="B36" s="115"/>
      <c r="C36" s="115"/>
      <c r="D36" s="115"/>
      <c r="E36" s="115"/>
      <c r="F36" s="115"/>
      <c r="G36" s="115"/>
      <c r="H36" s="115"/>
      <c r="I36" s="115"/>
      <c r="J36" s="115"/>
      <c r="K36" s="115"/>
      <c r="L36" s="115"/>
      <c r="M36" s="115"/>
      <c r="N36" s="115"/>
    </row>
    <row r="37" spans="1:14" x14ac:dyDescent="0.15">
      <c r="A37" s="114"/>
      <c r="B37" s="115"/>
      <c r="C37" s="115"/>
      <c r="D37" s="115"/>
      <c r="E37" s="115"/>
      <c r="F37" s="115"/>
      <c r="G37" s="115"/>
      <c r="H37" s="115"/>
      <c r="I37" s="115"/>
      <c r="J37" s="115"/>
      <c r="K37" s="115"/>
      <c r="L37" s="115"/>
      <c r="M37" s="115"/>
      <c r="N37" s="115"/>
    </row>
    <row r="38" spans="1:14" x14ac:dyDescent="0.15">
      <c r="A38" s="114"/>
      <c r="B38" s="115"/>
      <c r="C38" s="115"/>
      <c r="D38" s="115"/>
      <c r="E38" s="115"/>
      <c r="F38" s="115"/>
      <c r="G38" s="115"/>
      <c r="H38" s="115"/>
      <c r="I38" s="115"/>
      <c r="J38" s="115"/>
      <c r="K38" s="115"/>
      <c r="L38" s="115"/>
      <c r="M38" s="115"/>
      <c r="N38" s="115"/>
    </row>
    <row r="39" spans="1:14" x14ac:dyDescent="0.15">
      <c r="A39" s="114"/>
      <c r="B39" s="115"/>
      <c r="C39" s="115"/>
      <c r="D39" s="115"/>
      <c r="E39" s="115"/>
      <c r="F39" s="115"/>
      <c r="G39" s="115"/>
      <c r="H39" s="115"/>
      <c r="I39" s="115"/>
      <c r="J39" s="115"/>
      <c r="K39" s="115"/>
      <c r="L39" s="115"/>
      <c r="M39" s="115"/>
      <c r="N39" s="115"/>
    </row>
    <row r="40" spans="1:14" x14ac:dyDescent="0.15">
      <c r="A40" s="114"/>
      <c r="B40" s="115"/>
      <c r="C40" s="115"/>
      <c r="D40" s="115"/>
      <c r="E40" s="115"/>
      <c r="F40" s="115"/>
      <c r="G40" s="115"/>
      <c r="H40" s="115"/>
      <c r="I40" s="115"/>
      <c r="J40" s="115"/>
      <c r="K40" s="115"/>
      <c r="L40" s="115"/>
      <c r="M40" s="115"/>
      <c r="N40" s="115"/>
    </row>
    <row r="41" spans="1:14" x14ac:dyDescent="0.15">
      <c r="A41" s="114"/>
      <c r="B41" s="115"/>
      <c r="C41" s="115"/>
      <c r="D41" s="115"/>
      <c r="E41" s="115"/>
      <c r="F41" s="115"/>
      <c r="G41" s="115"/>
      <c r="H41" s="115"/>
      <c r="I41" s="115"/>
      <c r="J41" s="115"/>
      <c r="K41" s="115"/>
      <c r="L41" s="115"/>
      <c r="M41" s="115"/>
      <c r="N41" s="115"/>
    </row>
    <row r="42" spans="1:14" x14ac:dyDescent="0.15">
      <c r="A42" s="114"/>
      <c r="B42" s="115"/>
      <c r="C42" s="115"/>
      <c r="D42" s="115"/>
      <c r="E42" s="115"/>
      <c r="F42" s="115"/>
      <c r="G42" s="115"/>
      <c r="H42" s="115"/>
      <c r="I42" s="115"/>
      <c r="J42" s="115"/>
      <c r="K42" s="115"/>
      <c r="L42" s="115"/>
      <c r="M42" s="115"/>
      <c r="N42" s="115"/>
    </row>
    <row r="43" spans="1:14" x14ac:dyDescent="0.15">
      <c r="A43" s="114"/>
      <c r="B43" s="115"/>
      <c r="C43" s="115"/>
      <c r="D43" s="115"/>
      <c r="E43" s="115"/>
      <c r="F43" s="115"/>
      <c r="G43" s="115"/>
      <c r="H43" s="115"/>
      <c r="I43" s="115"/>
      <c r="J43" s="115"/>
      <c r="K43" s="115"/>
      <c r="L43" s="115"/>
      <c r="M43" s="115"/>
      <c r="N43" s="115"/>
    </row>
    <row r="45" spans="1:14" x14ac:dyDescent="0.15">
      <c r="A45" s="51" t="s">
        <v>121</v>
      </c>
      <c r="B45" s="111" t="s">
        <v>127</v>
      </c>
      <c r="C45" s="112"/>
      <c r="D45" s="112"/>
      <c r="E45" s="112"/>
      <c r="F45" s="112"/>
      <c r="G45" s="112"/>
      <c r="H45" s="112"/>
      <c r="I45" s="112"/>
      <c r="J45" s="112"/>
      <c r="K45" s="112"/>
      <c r="L45" s="112"/>
      <c r="M45" s="112"/>
      <c r="N45" s="113"/>
    </row>
    <row r="46" spans="1:14" x14ac:dyDescent="0.15">
      <c r="A46" s="114" t="s">
        <v>124</v>
      </c>
      <c r="B46" s="115"/>
      <c r="C46" s="115"/>
      <c r="D46" s="115"/>
      <c r="E46" s="115"/>
      <c r="F46" s="115"/>
      <c r="G46" s="115"/>
      <c r="H46" s="115"/>
      <c r="I46" s="115"/>
      <c r="J46" s="115"/>
      <c r="K46" s="115"/>
      <c r="L46" s="115"/>
      <c r="M46" s="115"/>
      <c r="N46" s="115"/>
    </row>
    <row r="47" spans="1:14" x14ac:dyDescent="0.15">
      <c r="A47" s="114"/>
      <c r="B47" s="115"/>
      <c r="C47" s="115"/>
      <c r="D47" s="115"/>
      <c r="E47" s="115"/>
      <c r="F47" s="115"/>
      <c r="G47" s="115"/>
      <c r="H47" s="115"/>
      <c r="I47" s="115"/>
      <c r="J47" s="115"/>
      <c r="K47" s="115"/>
      <c r="L47" s="115"/>
      <c r="M47" s="115"/>
      <c r="N47" s="115"/>
    </row>
    <row r="48" spans="1:14" x14ac:dyDescent="0.15">
      <c r="A48" s="114"/>
      <c r="B48" s="115"/>
      <c r="C48" s="115"/>
      <c r="D48" s="115"/>
      <c r="E48" s="115"/>
      <c r="F48" s="115"/>
      <c r="G48" s="115"/>
      <c r="H48" s="115"/>
      <c r="I48" s="115"/>
      <c r="J48" s="115"/>
      <c r="K48" s="115"/>
      <c r="L48" s="115"/>
      <c r="M48" s="115"/>
      <c r="N48" s="115"/>
    </row>
    <row r="49" spans="1:14" x14ac:dyDescent="0.15">
      <c r="A49" s="114"/>
      <c r="B49" s="115"/>
      <c r="C49" s="115"/>
      <c r="D49" s="115"/>
      <c r="E49" s="115"/>
      <c r="F49" s="115"/>
      <c r="G49" s="115"/>
      <c r="H49" s="115"/>
      <c r="I49" s="115"/>
      <c r="J49" s="115"/>
      <c r="K49" s="115"/>
      <c r="L49" s="115"/>
      <c r="M49" s="115"/>
      <c r="N49" s="115"/>
    </row>
    <row r="50" spans="1:14" x14ac:dyDescent="0.15">
      <c r="A50" s="114"/>
      <c r="B50" s="115"/>
      <c r="C50" s="115"/>
      <c r="D50" s="115"/>
      <c r="E50" s="115"/>
      <c r="F50" s="115"/>
      <c r="G50" s="115"/>
      <c r="H50" s="115"/>
      <c r="I50" s="115"/>
      <c r="J50" s="115"/>
      <c r="K50" s="115"/>
      <c r="L50" s="115"/>
      <c r="M50" s="115"/>
      <c r="N50" s="115"/>
    </row>
    <row r="51" spans="1:14" x14ac:dyDescent="0.15">
      <c r="A51" s="114"/>
      <c r="B51" s="115"/>
      <c r="C51" s="115"/>
      <c r="D51" s="115"/>
      <c r="E51" s="115"/>
      <c r="F51" s="115"/>
      <c r="G51" s="115"/>
      <c r="H51" s="115"/>
      <c r="I51" s="115"/>
      <c r="J51" s="115"/>
      <c r="K51" s="115"/>
      <c r="L51" s="115"/>
      <c r="M51" s="115"/>
      <c r="N51" s="115"/>
    </row>
    <row r="52" spans="1:14" x14ac:dyDescent="0.15">
      <c r="A52" s="114"/>
      <c r="B52" s="115"/>
      <c r="C52" s="115"/>
      <c r="D52" s="115"/>
      <c r="E52" s="115"/>
      <c r="F52" s="115"/>
      <c r="G52" s="115"/>
      <c r="H52" s="115"/>
      <c r="I52" s="115"/>
      <c r="J52" s="115"/>
      <c r="K52" s="115"/>
      <c r="L52" s="115"/>
      <c r="M52" s="115"/>
      <c r="N52" s="115"/>
    </row>
    <row r="53" spans="1:14" x14ac:dyDescent="0.15">
      <c r="A53" s="114"/>
      <c r="B53" s="115"/>
      <c r="C53" s="115"/>
      <c r="D53" s="115"/>
      <c r="E53" s="115"/>
      <c r="F53" s="115"/>
      <c r="G53" s="115"/>
      <c r="H53" s="115"/>
      <c r="I53" s="115"/>
      <c r="J53" s="115"/>
      <c r="K53" s="115"/>
      <c r="L53" s="115"/>
      <c r="M53" s="115"/>
      <c r="N53" s="115"/>
    </row>
    <row r="54" spans="1:14" x14ac:dyDescent="0.15">
      <c r="A54" s="114"/>
      <c r="B54" s="115"/>
      <c r="C54" s="115"/>
      <c r="D54" s="115"/>
      <c r="E54" s="115"/>
      <c r="F54" s="115"/>
      <c r="G54" s="115"/>
      <c r="H54" s="115"/>
      <c r="I54" s="115"/>
      <c r="J54" s="115"/>
      <c r="K54" s="115"/>
      <c r="L54" s="115"/>
      <c r="M54" s="115"/>
      <c r="N54" s="115"/>
    </row>
    <row r="55" spans="1:14" x14ac:dyDescent="0.15">
      <c r="A55" s="114"/>
      <c r="B55" s="115"/>
      <c r="C55" s="115"/>
      <c r="D55" s="115"/>
      <c r="E55" s="115"/>
      <c r="F55" s="115"/>
      <c r="G55" s="115"/>
      <c r="H55" s="115"/>
      <c r="I55" s="115"/>
      <c r="J55" s="115"/>
      <c r="K55" s="115"/>
      <c r="L55" s="115"/>
      <c r="M55" s="115"/>
      <c r="N55" s="115"/>
    </row>
    <row r="56" spans="1:14" x14ac:dyDescent="0.15">
      <c r="A56" s="114"/>
      <c r="B56" s="115"/>
      <c r="C56" s="115"/>
      <c r="D56" s="115"/>
      <c r="E56" s="115"/>
      <c r="F56" s="115"/>
      <c r="G56" s="115"/>
      <c r="H56" s="115"/>
      <c r="I56" s="115"/>
      <c r="J56" s="115"/>
      <c r="K56" s="115"/>
      <c r="L56" s="115"/>
      <c r="M56" s="115"/>
      <c r="N56" s="115"/>
    </row>
    <row r="57" spans="1:14" x14ac:dyDescent="0.15">
      <c r="A57" s="114"/>
      <c r="B57" s="115"/>
      <c r="C57" s="115"/>
      <c r="D57" s="115"/>
      <c r="E57" s="115"/>
      <c r="F57" s="115"/>
      <c r="G57" s="115"/>
      <c r="H57" s="115"/>
      <c r="I57" s="115"/>
      <c r="J57" s="115"/>
      <c r="K57" s="115"/>
      <c r="L57" s="115"/>
      <c r="M57" s="115"/>
      <c r="N57" s="115"/>
    </row>
    <row r="58" spans="1:14" x14ac:dyDescent="0.15">
      <c r="A58" s="114"/>
      <c r="B58" s="115"/>
      <c r="C58" s="115"/>
      <c r="D58" s="115"/>
      <c r="E58" s="115"/>
      <c r="F58" s="115"/>
      <c r="G58" s="115"/>
      <c r="H58" s="115"/>
      <c r="I58" s="115"/>
      <c r="J58" s="115"/>
      <c r="K58" s="115"/>
      <c r="L58" s="115"/>
      <c r="M58" s="115"/>
      <c r="N58" s="115"/>
    </row>
    <row r="59" spans="1:14" x14ac:dyDescent="0.15">
      <c r="A59" s="114"/>
      <c r="B59" s="115"/>
      <c r="C59" s="115"/>
      <c r="D59" s="115"/>
      <c r="E59" s="115"/>
      <c r="F59" s="115"/>
      <c r="G59" s="115"/>
      <c r="H59" s="115"/>
      <c r="I59" s="115"/>
      <c r="J59" s="115"/>
      <c r="K59" s="115"/>
      <c r="L59" s="115"/>
      <c r="M59" s="115"/>
      <c r="N59" s="115"/>
    </row>
    <row r="60" spans="1:14" x14ac:dyDescent="0.15">
      <c r="A60" s="114"/>
      <c r="B60" s="115"/>
      <c r="C60" s="115"/>
      <c r="D60" s="115"/>
      <c r="E60" s="115"/>
      <c r="F60" s="115"/>
      <c r="G60" s="115"/>
      <c r="H60" s="115"/>
      <c r="I60" s="115"/>
      <c r="J60" s="115"/>
      <c r="K60" s="115"/>
      <c r="L60" s="115"/>
      <c r="M60" s="115"/>
      <c r="N60" s="115"/>
    </row>
    <row r="61" spans="1:14" x14ac:dyDescent="0.15">
      <c r="A61" s="114"/>
      <c r="B61" s="115"/>
      <c r="C61" s="115"/>
      <c r="D61" s="115"/>
      <c r="E61" s="115"/>
      <c r="F61" s="115"/>
      <c r="G61" s="115"/>
      <c r="H61" s="115"/>
      <c r="I61" s="115"/>
      <c r="J61" s="115"/>
      <c r="K61" s="115"/>
      <c r="L61" s="115"/>
      <c r="M61" s="115"/>
      <c r="N61" s="115"/>
    </row>
    <row r="62" spans="1:14" x14ac:dyDescent="0.15">
      <c r="A62" s="114"/>
      <c r="B62" s="115"/>
      <c r="C62" s="115"/>
      <c r="D62" s="115"/>
      <c r="E62" s="115"/>
      <c r="F62" s="115"/>
      <c r="G62" s="115"/>
      <c r="H62" s="115"/>
      <c r="I62" s="115"/>
      <c r="J62" s="115"/>
      <c r="K62" s="115"/>
      <c r="L62" s="115"/>
      <c r="M62" s="115"/>
      <c r="N62" s="115"/>
    </row>
    <row r="63" spans="1:14" x14ac:dyDescent="0.15">
      <c r="A63" s="114"/>
      <c r="B63" s="115"/>
      <c r="C63" s="115"/>
      <c r="D63" s="115"/>
      <c r="E63" s="115"/>
      <c r="F63" s="115"/>
      <c r="G63" s="115"/>
      <c r="H63" s="115"/>
      <c r="I63" s="115"/>
      <c r="J63" s="115"/>
      <c r="K63" s="115"/>
      <c r="L63" s="115"/>
      <c r="M63" s="115"/>
      <c r="N63" s="115"/>
    </row>
    <row r="64" spans="1:14" x14ac:dyDescent="0.15">
      <c r="A64" s="114"/>
      <c r="B64" s="115"/>
      <c r="C64" s="115"/>
      <c r="D64" s="115"/>
      <c r="E64" s="115"/>
      <c r="F64" s="115"/>
      <c r="G64" s="115"/>
      <c r="H64" s="115"/>
      <c r="I64" s="115"/>
      <c r="J64" s="115"/>
      <c r="K64" s="115"/>
      <c r="L64" s="115"/>
      <c r="M64" s="115"/>
      <c r="N64" s="115"/>
    </row>
    <row r="65" spans="1:14" x14ac:dyDescent="0.15">
      <c r="A65" s="114"/>
      <c r="B65" s="115"/>
      <c r="C65" s="115"/>
      <c r="D65" s="115"/>
      <c r="E65" s="115"/>
      <c r="F65" s="115"/>
      <c r="G65" s="115"/>
      <c r="H65" s="115"/>
      <c r="I65" s="115"/>
      <c r="J65" s="115"/>
      <c r="K65" s="115"/>
      <c r="L65" s="115"/>
      <c r="M65" s="115"/>
      <c r="N65" s="115"/>
    </row>
    <row r="67" spans="1:14" x14ac:dyDescent="0.15">
      <c r="A67" s="51" t="s">
        <v>121</v>
      </c>
      <c r="B67" s="111" t="s">
        <v>128</v>
      </c>
      <c r="C67" s="112"/>
      <c r="D67" s="112"/>
      <c r="E67" s="112"/>
      <c r="F67" s="112"/>
      <c r="G67" s="112"/>
      <c r="H67" s="112"/>
      <c r="I67" s="112"/>
      <c r="J67" s="112"/>
      <c r="K67" s="112"/>
      <c r="L67" s="112"/>
      <c r="M67" s="112"/>
      <c r="N67" s="113"/>
    </row>
    <row r="68" spans="1:14" x14ac:dyDescent="0.15">
      <c r="A68" s="114" t="s">
        <v>129</v>
      </c>
      <c r="B68" s="115"/>
      <c r="C68" s="115"/>
      <c r="D68" s="115"/>
      <c r="E68" s="115"/>
      <c r="F68" s="115"/>
      <c r="G68" s="115"/>
      <c r="H68" s="115"/>
      <c r="I68" s="115"/>
      <c r="J68" s="115"/>
      <c r="K68" s="115"/>
      <c r="L68" s="115"/>
      <c r="M68" s="115"/>
      <c r="N68" s="115"/>
    </row>
    <row r="69" spans="1:14" x14ac:dyDescent="0.15">
      <c r="A69" s="114"/>
      <c r="B69" s="115"/>
      <c r="C69" s="115"/>
      <c r="D69" s="115"/>
      <c r="E69" s="115"/>
      <c r="F69" s="115"/>
      <c r="G69" s="115"/>
      <c r="H69" s="115"/>
      <c r="I69" s="115"/>
      <c r="J69" s="115"/>
      <c r="K69" s="115"/>
      <c r="L69" s="115"/>
      <c r="M69" s="115"/>
      <c r="N69" s="115"/>
    </row>
    <row r="70" spans="1:14" x14ac:dyDescent="0.15">
      <c r="A70" s="114"/>
      <c r="B70" s="115"/>
      <c r="C70" s="115"/>
      <c r="D70" s="115"/>
      <c r="E70" s="115"/>
      <c r="F70" s="115"/>
      <c r="G70" s="115"/>
      <c r="H70" s="115"/>
      <c r="I70" s="115"/>
      <c r="J70" s="115"/>
      <c r="K70" s="115"/>
      <c r="L70" s="115"/>
      <c r="M70" s="115"/>
      <c r="N70" s="115"/>
    </row>
    <row r="71" spans="1:14" x14ac:dyDescent="0.15">
      <c r="A71" s="114"/>
      <c r="B71" s="115"/>
      <c r="C71" s="115"/>
      <c r="D71" s="115"/>
      <c r="E71" s="115"/>
      <c r="F71" s="115"/>
      <c r="G71" s="115"/>
      <c r="H71" s="115"/>
      <c r="I71" s="115"/>
      <c r="J71" s="115"/>
      <c r="K71" s="115"/>
      <c r="L71" s="115"/>
      <c r="M71" s="115"/>
      <c r="N71" s="115"/>
    </row>
    <row r="72" spans="1:14" x14ac:dyDescent="0.15">
      <c r="A72" s="114"/>
      <c r="B72" s="115"/>
      <c r="C72" s="115"/>
      <c r="D72" s="115"/>
      <c r="E72" s="115"/>
      <c r="F72" s="115"/>
      <c r="G72" s="115"/>
      <c r="H72" s="115"/>
      <c r="I72" s="115"/>
      <c r="J72" s="115"/>
      <c r="K72" s="115"/>
      <c r="L72" s="115"/>
      <c r="M72" s="115"/>
      <c r="N72" s="115"/>
    </row>
    <row r="73" spans="1:14" x14ac:dyDescent="0.15">
      <c r="A73" s="114"/>
      <c r="B73" s="115"/>
      <c r="C73" s="115"/>
      <c r="D73" s="115"/>
      <c r="E73" s="115"/>
      <c r="F73" s="115"/>
      <c r="G73" s="115"/>
      <c r="H73" s="115"/>
      <c r="I73" s="115"/>
      <c r="J73" s="115"/>
      <c r="K73" s="115"/>
      <c r="L73" s="115"/>
      <c r="M73" s="115"/>
      <c r="N73" s="115"/>
    </row>
    <row r="74" spans="1:14" x14ac:dyDescent="0.15">
      <c r="A74" s="114"/>
      <c r="B74" s="115"/>
      <c r="C74" s="115"/>
      <c r="D74" s="115"/>
      <c r="E74" s="115"/>
      <c r="F74" s="115"/>
      <c r="G74" s="115"/>
      <c r="H74" s="115"/>
      <c r="I74" s="115"/>
      <c r="J74" s="115"/>
      <c r="K74" s="115"/>
      <c r="L74" s="115"/>
      <c r="M74" s="115"/>
      <c r="N74" s="115"/>
    </row>
    <row r="75" spans="1:14" x14ac:dyDescent="0.15">
      <c r="A75" s="114"/>
      <c r="B75" s="115"/>
      <c r="C75" s="115"/>
      <c r="D75" s="115"/>
      <c r="E75" s="115"/>
      <c r="F75" s="115"/>
      <c r="G75" s="115"/>
      <c r="H75" s="115"/>
      <c r="I75" s="115"/>
      <c r="J75" s="115"/>
      <c r="K75" s="115"/>
      <c r="L75" s="115"/>
      <c r="M75" s="115"/>
      <c r="N75" s="115"/>
    </row>
    <row r="76" spans="1:14" x14ac:dyDescent="0.15">
      <c r="A76" s="114"/>
      <c r="B76" s="115"/>
      <c r="C76" s="115"/>
      <c r="D76" s="115"/>
      <c r="E76" s="115"/>
      <c r="F76" s="115"/>
      <c r="G76" s="115"/>
      <c r="H76" s="115"/>
      <c r="I76" s="115"/>
      <c r="J76" s="115"/>
      <c r="K76" s="115"/>
      <c r="L76" s="115"/>
      <c r="M76" s="115"/>
      <c r="N76" s="115"/>
    </row>
    <row r="77" spans="1:14" x14ac:dyDescent="0.15">
      <c r="A77" s="114"/>
      <c r="B77" s="115"/>
      <c r="C77" s="115"/>
      <c r="D77" s="115"/>
      <c r="E77" s="115"/>
      <c r="F77" s="115"/>
      <c r="G77" s="115"/>
      <c r="H77" s="115"/>
      <c r="I77" s="115"/>
      <c r="J77" s="115"/>
      <c r="K77" s="115"/>
      <c r="L77" s="115"/>
      <c r="M77" s="115"/>
      <c r="N77" s="115"/>
    </row>
    <row r="78" spans="1:14" x14ac:dyDescent="0.15">
      <c r="A78" s="114"/>
      <c r="B78" s="115"/>
      <c r="C78" s="115"/>
      <c r="D78" s="115"/>
      <c r="E78" s="115"/>
      <c r="F78" s="115"/>
      <c r="G78" s="115"/>
      <c r="H78" s="115"/>
      <c r="I78" s="115"/>
      <c r="J78" s="115"/>
      <c r="K78" s="115"/>
      <c r="L78" s="115"/>
      <c r="M78" s="115"/>
      <c r="N78" s="115"/>
    </row>
    <row r="79" spans="1:14" x14ac:dyDescent="0.15">
      <c r="A79" s="114"/>
      <c r="B79" s="115"/>
      <c r="C79" s="115"/>
      <c r="D79" s="115"/>
      <c r="E79" s="115"/>
      <c r="F79" s="115"/>
      <c r="G79" s="115"/>
      <c r="H79" s="115"/>
      <c r="I79" s="115"/>
      <c r="J79" s="115"/>
      <c r="K79" s="115"/>
      <c r="L79" s="115"/>
      <c r="M79" s="115"/>
      <c r="N79" s="115"/>
    </row>
    <row r="80" spans="1:14" x14ac:dyDescent="0.15">
      <c r="A80" s="114"/>
      <c r="B80" s="115"/>
      <c r="C80" s="115"/>
      <c r="D80" s="115"/>
      <c r="E80" s="115"/>
      <c r="F80" s="115"/>
      <c r="G80" s="115"/>
      <c r="H80" s="115"/>
      <c r="I80" s="115"/>
      <c r="J80" s="115"/>
      <c r="K80" s="115"/>
      <c r="L80" s="115"/>
      <c r="M80" s="115"/>
      <c r="N80" s="115"/>
    </row>
    <row r="81" spans="1:14" x14ac:dyDescent="0.15">
      <c r="A81" s="114"/>
      <c r="B81" s="115"/>
      <c r="C81" s="115"/>
      <c r="D81" s="115"/>
      <c r="E81" s="115"/>
      <c r="F81" s="115"/>
      <c r="G81" s="115"/>
      <c r="H81" s="115"/>
      <c r="I81" s="115"/>
      <c r="J81" s="115"/>
      <c r="K81" s="115"/>
      <c r="L81" s="115"/>
      <c r="M81" s="115"/>
      <c r="N81" s="115"/>
    </row>
    <row r="82" spans="1:14" x14ac:dyDescent="0.15">
      <c r="A82" s="114"/>
      <c r="B82" s="115"/>
      <c r="C82" s="115"/>
      <c r="D82" s="115"/>
      <c r="E82" s="115"/>
      <c r="F82" s="115"/>
      <c r="G82" s="115"/>
      <c r="H82" s="115"/>
      <c r="I82" s="115"/>
      <c r="J82" s="115"/>
      <c r="K82" s="115"/>
      <c r="L82" s="115"/>
      <c r="M82" s="115"/>
      <c r="N82" s="115"/>
    </row>
    <row r="83" spans="1:14" x14ac:dyDescent="0.15">
      <c r="A83" s="114"/>
      <c r="B83" s="115"/>
      <c r="C83" s="115"/>
      <c r="D83" s="115"/>
      <c r="E83" s="115"/>
      <c r="F83" s="115"/>
      <c r="G83" s="115"/>
      <c r="H83" s="115"/>
      <c r="I83" s="115"/>
      <c r="J83" s="115"/>
      <c r="K83" s="115"/>
      <c r="L83" s="115"/>
      <c r="M83" s="115"/>
      <c r="N83" s="115"/>
    </row>
    <row r="84" spans="1:14" x14ac:dyDescent="0.15">
      <c r="A84" s="114"/>
      <c r="B84" s="115"/>
      <c r="C84" s="115"/>
      <c r="D84" s="115"/>
      <c r="E84" s="115"/>
      <c r="F84" s="115"/>
      <c r="G84" s="115"/>
      <c r="H84" s="115"/>
      <c r="I84" s="115"/>
      <c r="J84" s="115"/>
      <c r="K84" s="115"/>
      <c r="L84" s="115"/>
      <c r="M84" s="115"/>
      <c r="N84" s="115"/>
    </row>
    <row r="85" spans="1:14" x14ac:dyDescent="0.15">
      <c r="A85" s="114"/>
      <c r="B85" s="115"/>
      <c r="C85" s="115"/>
      <c r="D85" s="115"/>
      <c r="E85" s="115"/>
      <c r="F85" s="115"/>
      <c r="G85" s="115"/>
      <c r="H85" s="115"/>
      <c r="I85" s="115"/>
      <c r="J85" s="115"/>
      <c r="K85" s="115"/>
      <c r="L85" s="115"/>
      <c r="M85" s="115"/>
      <c r="N85" s="115"/>
    </row>
    <row r="86" spans="1:14" x14ac:dyDescent="0.15">
      <c r="A86" s="114"/>
      <c r="B86" s="115"/>
      <c r="C86" s="115"/>
      <c r="D86" s="115"/>
      <c r="E86" s="115"/>
      <c r="F86" s="115"/>
      <c r="G86" s="115"/>
      <c r="H86" s="115"/>
      <c r="I86" s="115"/>
      <c r="J86" s="115"/>
      <c r="K86" s="115"/>
      <c r="L86" s="115"/>
      <c r="M86" s="115"/>
      <c r="N86" s="115"/>
    </row>
    <row r="87" spans="1:14" x14ac:dyDescent="0.15">
      <c r="A87" s="114"/>
      <c r="B87" s="115"/>
      <c r="C87" s="115"/>
      <c r="D87" s="115"/>
      <c r="E87" s="115"/>
      <c r="F87" s="115"/>
      <c r="G87" s="115"/>
      <c r="H87" s="115"/>
      <c r="I87" s="115"/>
      <c r="J87" s="115"/>
      <c r="K87" s="115"/>
      <c r="L87" s="115"/>
      <c r="M87" s="115"/>
      <c r="N87" s="115"/>
    </row>
  </sheetData>
  <mergeCells count="12">
    <mergeCell ref="B67:N67"/>
    <mergeCell ref="A68:A87"/>
    <mergeCell ref="B68:N87"/>
    <mergeCell ref="B45:N45"/>
    <mergeCell ref="A46:A65"/>
    <mergeCell ref="B46:N65"/>
    <mergeCell ref="B1:N1"/>
    <mergeCell ref="A2:A21"/>
    <mergeCell ref="B2:N21"/>
    <mergeCell ref="B23:N23"/>
    <mergeCell ref="A24:A43"/>
    <mergeCell ref="B24:N43"/>
  </mergeCells>
  <phoneticPr fontId="1" type="noConversion"/>
  <pageMargins left="0.7" right="0.7" top="0.75" bottom="0.75" header="0.3" footer="0.3"/>
  <pageSetup paperSize="9" orientation="portrait" horizontalDpi="1200" verticalDpi="1200" r:id="rId1"/>
  <drawing r:id="rId2"/>
  <legacyDrawing r:id="rId3"/>
  <oleObjects>
    <mc:AlternateContent xmlns:mc="http://schemas.openxmlformats.org/markup-compatibility/2006">
      <mc:Choice Requires="x14">
        <oleObject progId="Visio.Drawing.15" shapeId="3073" r:id="rId4">
          <objectPr defaultSize="0" autoPict="0" r:id="rId5">
            <anchor moveWithCells="1">
              <from>
                <xdr:col>1</xdr:col>
                <xdr:colOff>638175</xdr:colOff>
                <xdr:row>1</xdr:row>
                <xdr:rowOff>161925</xdr:rowOff>
              </from>
              <to>
                <xdr:col>5</xdr:col>
                <xdr:colOff>447675</xdr:colOff>
                <xdr:row>7</xdr:row>
                <xdr:rowOff>9525</xdr:rowOff>
              </to>
            </anchor>
          </objectPr>
        </oleObject>
      </mc:Choice>
      <mc:Fallback>
        <oleObject progId="Visio.Drawing.15" shapeId="3073" r:id="rId4"/>
      </mc:Fallback>
    </mc:AlternateContent>
    <mc:AlternateContent xmlns:mc="http://schemas.openxmlformats.org/markup-compatibility/2006">
      <mc:Choice Requires="x14">
        <oleObject progId="Visio.Drawing.15" shapeId="3074" r:id="rId6">
          <objectPr defaultSize="0" autoPict="0" r:id="rId7">
            <anchor moveWithCells="1">
              <from>
                <xdr:col>1</xdr:col>
                <xdr:colOff>504825</xdr:colOff>
                <xdr:row>26</xdr:row>
                <xdr:rowOff>66675</xdr:rowOff>
              </from>
              <to>
                <xdr:col>4</xdr:col>
                <xdr:colOff>161925</xdr:colOff>
                <xdr:row>32</xdr:row>
                <xdr:rowOff>66675</xdr:rowOff>
              </to>
            </anchor>
          </objectPr>
        </oleObject>
      </mc:Choice>
      <mc:Fallback>
        <oleObject progId="Visio.Drawing.15" shapeId="3074" r:id="rId6"/>
      </mc:Fallback>
    </mc:AlternateContent>
    <mc:AlternateContent xmlns:mc="http://schemas.openxmlformats.org/markup-compatibility/2006">
      <mc:Choice Requires="x14">
        <oleObject progId="Visio.Drawing.15" shapeId="3075" r:id="rId8">
          <objectPr defaultSize="0" autoPict="0" r:id="rId9">
            <anchor moveWithCells="1">
              <from>
                <xdr:col>2</xdr:col>
                <xdr:colOff>142875</xdr:colOff>
                <xdr:row>48</xdr:row>
                <xdr:rowOff>47625</xdr:rowOff>
              </from>
              <to>
                <xdr:col>4</xdr:col>
                <xdr:colOff>409575</xdr:colOff>
                <xdr:row>55</xdr:row>
                <xdr:rowOff>142875</xdr:rowOff>
              </to>
            </anchor>
          </objectPr>
        </oleObject>
      </mc:Choice>
      <mc:Fallback>
        <oleObject progId="Visio.Drawing.15" shapeId="3075" r:id="rId8"/>
      </mc:Fallback>
    </mc:AlternateContent>
    <mc:AlternateContent xmlns:mc="http://schemas.openxmlformats.org/markup-compatibility/2006">
      <mc:Choice Requires="x14">
        <oleObject progId="Visio.Drawing.15" shapeId="3076" r:id="rId10">
          <objectPr defaultSize="0" autoPict="0" r:id="rId11">
            <anchor moveWithCells="1">
              <from>
                <xdr:col>1</xdr:col>
                <xdr:colOff>304800</xdr:colOff>
                <xdr:row>68</xdr:row>
                <xdr:rowOff>85725</xdr:rowOff>
              </from>
              <to>
                <xdr:col>8</xdr:col>
                <xdr:colOff>257175</xdr:colOff>
                <xdr:row>85</xdr:row>
                <xdr:rowOff>66675</xdr:rowOff>
              </to>
            </anchor>
          </objectPr>
        </oleObject>
      </mc:Choice>
      <mc:Fallback>
        <oleObject progId="Visio.Drawing.15" shapeId="3076" r:id="rId10"/>
      </mc:Fallback>
    </mc:AlternateContent>
  </oleObjec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87BE31-9C26-444B-91F6-6850E7C40141}">
  <dimension ref="A1:J492"/>
  <sheetViews>
    <sheetView zoomScaleNormal="100" workbookViewId="0">
      <pane xSplit="1" ySplit="6" topLeftCell="B454" activePane="bottomRight" state="frozen"/>
      <selection pane="topRight" activeCell="B1" sqref="B1"/>
      <selection pane="bottomLeft" activeCell="A7" sqref="A7"/>
      <selection pane="bottomRight" activeCell="C487" sqref="C487:E487"/>
    </sheetView>
  </sheetViews>
  <sheetFormatPr defaultColWidth="9" defaultRowHeight="15" customHeight="1" x14ac:dyDescent="0.15"/>
  <cols>
    <col min="1" max="1" width="6.625" customWidth="1"/>
    <col min="2" max="2" width="33.625" customWidth="1"/>
    <col min="3" max="3" width="19.75" customWidth="1"/>
    <col min="4" max="4" width="42.875" customWidth="1"/>
    <col min="5" max="5" width="9.625" customWidth="1"/>
    <col min="6" max="6" width="41.625" customWidth="1"/>
    <col min="7" max="7" width="61.75" customWidth="1"/>
  </cols>
  <sheetData>
    <row r="1" spans="1:7" ht="15" customHeight="1" x14ac:dyDescent="0.15">
      <c r="A1" s="131" t="s">
        <v>22</v>
      </c>
      <c r="B1" s="47" t="s">
        <v>14</v>
      </c>
      <c r="C1" s="47" t="s">
        <v>15</v>
      </c>
      <c r="D1" s="47" t="s">
        <v>16</v>
      </c>
      <c r="E1" s="47" t="s">
        <v>17</v>
      </c>
      <c r="F1" s="127" t="s">
        <v>18</v>
      </c>
      <c r="G1" s="103"/>
    </row>
    <row r="2" spans="1:7" ht="15" customHeight="1" x14ac:dyDescent="0.15">
      <c r="A2" s="132"/>
      <c r="B2" s="39" t="s">
        <v>187</v>
      </c>
      <c r="C2" s="39" t="s">
        <v>19</v>
      </c>
      <c r="D2" s="39"/>
      <c r="E2" s="52">
        <v>17</v>
      </c>
      <c r="F2" s="105" t="s">
        <v>188</v>
      </c>
      <c r="G2" s="105"/>
    </row>
    <row r="3" spans="1:7" ht="15" customHeight="1" x14ac:dyDescent="0.15">
      <c r="A3" s="132"/>
      <c r="B3" s="39" t="s">
        <v>455</v>
      </c>
      <c r="C3" s="39" t="s">
        <v>19</v>
      </c>
      <c r="D3" s="39"/>
      <c r="E3" s="52">
        <v>17</v>
      </c>
      <c r="F3" s="105" t="s">
        <v>188</v>
      </c>
      <c r="G3" s="105"/>
    </row>
    <row r="4" spans="1:7" ht="15" customHeight="1" x14ac:dyDescent="0.15">
      <c r="A4" s="132"/>
      <c r="B4" s="39" t="s">
        <v>456</v>
      </c>
      <c r="C4" s="39" t="s">
        <v>19</v>
      </c>
      <c r="D4" s="39"/>
      <c r="E4" s="52">
        <v>17</v>
      </c>
      <c r="F4" s="105" t="s">
        <v>188</v>
      </c>
      <c r="G4" s="105"/>
    </row>
    <row r="5" spans="1:7" ht="15" customHeight="1" x14ac:dyDescent="0.15">
      <c r="A5" s="132"/>
      <c r="B5" s="39" t="s">
        <v>499</v>
      </c>
      <c r="C5" s="39" t="s">
        <v>20</v>
      </c>
      <c r="D5" s="39"/>
      <c r="E5" s="52">
        <v>2</v>
      </c>
      <c r="F5" s="105" t="s">
        <v>500</v>
      </c>
      <c r="G5" s="105"/>
    </row>
    <row r="6" spans="1:7" ht="15" customHeight="1" x14ac:dyDescent="0.15">
      <c r="A6" s="133"/>
      <c r="B6" s="53" t="s">
        <v>511</v>
      </c>
      <c r="C6" s="54" t="s">
        <v>20</v>
      </c>
      <c r="D6" s="54"/>
      <c r="E6" s="36">
        <v>16</v>
      </c>
      <c r="F6" s="108" t="s">
        <v>559</v>
      </c>
      <c r="G6" s="108"/>
    </row>
    <row r="7" spans="1:7" ht="15" customHeight="1" x14ac:dyDescent="0.15">
      <c r="A7" s="134" t="s">
        <v>187</v>
      </c>
      <c r="B7" s="128" t="s">
        <v>23</v>
      </c>
      <c r="C7" s="129"/>
      <c r="D7" s="129"/>
      <c r="E7" s="129"/>
      <c r="F7" s="129"/>
      <c r="G7" s="107"/>
    </row>
    <row r="8" spans="1:7" ht="15" customHeight="1" x14ac:dyDescent="0.15">
      <c r="A8" s="135"/>
      <c r="B8" s="130" t="s">
        <v>24</v>
      </c>
      <c r="C8" s="129"/>
      <c r="D8" s="129"/>
      <c r="E8" s="129"/>
      <c r="F8" s="129"/>
      <c r="G8" s="107"/>
    </row>
    <row r="9" spans="1:7" ht="15" customHeight="1" x14ac:dyDescent="0.15">
      <c r="A9" s="135"/>
      <c r="B9" s="139" t="s">
        <v>25</v>
      </c>
      <c r="C9" s="37" t="s">
        <v>18</v>
      </c>
      <c r="D9" s="37" t="s">
        <v>26</v>
      </c>
      <c r="E9" s="37" t="s">
        <v>27</v>
      </c>
      <c r="F9" s="32" t="s">
        <v>28</v>
      </c>
      <c r="G9" s="32" t="s">
        <v>29</v>
      </c>
    </row>
    <row r="10" spans="1:7" ht="15" customHeight="1" x14ac:dyDescent="0.15">
      <c r="A10" s="135"/>
      <c r="B10" s="135"/>
      <c r="C10" s="134" t="s">
        <v>270</v>
      </c>
      <c r="D10" s="45" t="s">
        <v>137</v>
      </c>
      <c r="E10" s="45"/>
      <c r="F10" s="134" t="s">
        <v>30</v>
      </c>
      <c r="G10" s="141" t="s">
        <v>426</v>
      </c>
    </row>
    <row r="11" spans="1:7" ht="15" customHeight="1" x14ac:dyDescent="0.15">
      <c r="A11" s="135"/>
      <c r="B11" s="135"/>
      <c r="C11" s="140"/>
      <c r="D11" s="45" t="s">
        <v>362</v>
      </c>
      <c r="E11" s="45"/>
      <c r="F11" s="135"/>
      <c r="G11" s="135"/>
    </row>
    <row r="12" spans="1:7" ht="15" customHeight="1" x14ac:dyDescent="0.15">
      <c r="A12" s="135"/>
      <c r="B12" s="135"/>
      <c r="C12" s="140"/>
      <c r="D12" s="45" t="s">
        <v>363</v>
      </c>
      <c r="E12" s="45"/>
      <c r="F12" s="135"/>
      <c r="G12" s="135"/>
    </row>
    <row r="13" spans="1:7" ht="15" customHeight="1" x14ac:dyDescent="0.15">
      <c r="A13" s="135"/>
      <c r="B13" s="135"/>
      <c r="C13" s="134" t="s">
        <v>364</v>
      </c>
      <c r="D13" s="38" t="s">
        <v>137</v>
      </c>
      <c r="E13" s="38"/>
      <c r="F13" s="134" t="s">
        <v>30</v>
      </c>
      <c r="G13" s="141" t="s">
        <v>427</v>
      </c>
    </row>
    <row r="14" spans="1:7" ht="15" customHeight="1" x14ac:dyDescent="0.15">
      <c r="A14" s="135"/>
      <c r="B14" s="135"/>
      <c r="C14" s="142"/>
      <c r="D14" s="38" t="s">
        <v>362</v>
      </c>
      <c r="E14" s="38"/>
      <c r="F14" s="142"/>
      <c r="G14" s="143"/>
    </row>
    <row r="15" spans="1:7" ht="15" customHeight="1" x14ac:dyDescent="0.15">
      <c r="A15" s="135"/>
      <c r="B15" s="135"/>
      <c r="C15" s="142"/>
      <c r="D15" s="45" t="s">
        <v>365</v>
      </c>
      <c r="E15" s="45"/>
      <c r="F15" s="142"/>
      <c r="G15" s="143"/>
    </row>
    <row r="16" spans="1:7" ht="15" customHeight="1" x14ac:dyDescent="0.15">
      <c r="A16" s="135"/>
      <c r="B16" s="135"/>
      <c r="C16" s="140"/>
      <c r="D16" s="38" t="s">
        <v>366</v>
      </c>
      <c r="E16" s="45"/>
      <c r="F16" s="135"/>
      <c r="G16" s="135"/>
    </row>
    <row r="17" spans="1:7" ht="15" customHeight="1" x14ac:dyDescent="0.15">
      <c r="A17" s="135"/>
      <c r="B17" s="135"/>
      <c r="C17" s="140"/>
      <c r="D17" s="38" t="s">
        <v>367</v>
      </c>
      <c r="E17" s="45"/>
      <c r="F17" s="135"/>
      <c r="G17" s="135"/>
    </row>
    <row r="18" spans="1:7" ht="15" customHeight="1" x14ac:dyDescent="0.15">
      <c r="A18" s="135"/>
      <c r="B18" s="135"/>
      <c r="C18" s="140"/>
      <c r="D18" s="38" t="s">
        <v>363</v>
      </c>
      <c r="E18" s="45"/>
      <c r="F18" s="135"/>
      <c r="G18" s="135"/>
    </row>
    <row r="19" spans="1:7" ht="15" customHeight="1" x14ac:dyDescent="0.15">
      <c r="A19" s="135"/>
      <c r="B19" s="135"/>
      <c r="C19" s="134" t="s">
        <v>368</v>
      </c>
      <c r="D19" s="38" t="s">
        <v>137</v>
      </c>
      <c r="E19" s="38"/>
      <c r="F19" s="134" t="s">
        <v>30</v>
      </c>
      <c r="G19" s="141" t="s">
        <v>428</v>
      </c>
    </row>
    <row r="20" spans="1:7" ht="15" customHeight="1" x14ac:dyDescent="0.15">
      <c r="A20" s="135"/>
      <c r="B20" s="135"/>
      <c r="C20" s="135"/>
      <c r="D20" s="38" t="s">
        <v>362</v>
      </c>
      <c r="E20" s="38"/>
      <c r="F20" s="135"/>
      <c r="G20" s="135"/>
    </row>
    <row r="21" spans="1:7" ht="15" customHeight="1" x14ac:dyDescent="0.15">
      <c r="A21" s="135"/>
      <c r="B21" s="135"/>
      <c r="C21" s="135"/>
      <c r="D21" s="45" t="s">
        <v>134</v>
      </c>
      <c r="E21" s="38"/>
      <c r="F21" s="135"/>
      <c r="G21" s="135"/>
    </row>
    <row r="22" spans="1:7" ht="15" customHeight="1" x14ac:dyDescent="0.15">
      <c r="A22" s="135"/>
      <c r="B22" s="135"/>
      <c r="C22" s="135"/>
      <c r="D22" s="45" t="s">
        <v>369</v>
      </c>
      <c r="E22" s="38"/>
      <c r="F22" s="135"/>
      <c r="G22" s="135"/>
    </row>
    <row r="23" spans="1:7" ht="15" customHeight="1" x14ac:dyDescent="0.15">
      <c r="A23" s="135"/>
      <c r="B23" s="135"/>
      <c r="C23" s="135"/>
      <c r="D23" s="45" t="s">
        <v>135</v>
      </c>
      <c r="E23" s="38"/>
      <c r="F23" s="135"/>
      <c r="G23" s="135"/>
    </row>
    <row r="24" spans="1:7" ht="15" customHeight="1" x14ac:dyDescent="0.15">
      <c r="A24" s="135"/>
      <c r="B24" s="135"/>
      <c r="C24" s="135"/>
      <c r="D24" s="45" t="s">
        <v>370</v>
      </c>
      <c r="E24" s="38"/>
      <c r="F24" s="135"/>
      <c r="G24" s="135"/>
    </row>
    <row r="25" spans="1:7" ht="15" customHeight="1" x14ac:dyDescent="0.15">
      <c r="A25" s="135"/>
      <c r="B25" s="135"/>
      <c r="C25" s="135"/>
      <c r="D25" s="45" t="s">
        <v>371</v>
      </c>
      <c r="E25" s="38"/>
      <c r="F25" s="135"/>
      <c r="G25" s="135"/>
    </row>
    <row r="26" spans="1:7" ht="15" customHeight="1" x14ac:dyDescent="0.15">
      <c r="A26" s="135"/>
      <c r="B26" s="135"/>
      <c r="C26" s="135"/>
      <c r="D26" s="45" t="s">
        <v>372</v>
      </c>
      <c r="E26" s="38"/>
      <c r="F26" s="135"/>
      <c r="G26" s="135"/>
    </row>
    <row r="27" spans="1:7" ht="15" customHeight="1" x14ac:dyDescent="0.15">
      <c r="A27" s="135"/>
      <c r="B27" s="135"/>
      <c r="C27" s="135"/>
      <c r="D27" s="45" t="s">
        <v>373</v>
      </c>
      <c r="E27" s="38"/>
      <c r="F27" s="135"/>
      <c r="G27" s="135"/>
    </row>
    <row r="28" spans="1:7" ht="15" customHeight="1" x14ac:dyDescent="0.15">
      <c r="A28" s="135"/>
      <c r="B28" s="135"/>
      <c r="C28" s="135"/>
      <c r="D28" s="45" t="s">
        <v>374</v>
      </c>
      <c r="E28" s="38"/>
      <c r="F28" s="135"/>
      <c r="G28" s="135"/>
    </row>
    <row r="29" spans="1:7" ht="15" customHeight="1" x14ac:dyDescent="0.15">
      <c r="A29" s="135"/>
      <c r="B29" s="135"/>
      <c r="C29" s="135"/>
      <c r="D29" s="45" t="s">
        <v>375</v>
      </c>
      <c r="E29" s="38"/>
      <c r="F29" s="135"/>
      <c r="G29" s="135"/>
    </row>
    <row r="30" spans="1:7" ht="15" customHeight="1" x14ac:dyDescent="0.15">
      <c r="A30" s="135"/>
      <c r="B30" s="135"/>
      <c r="C30" s="135"/>
      <c r="D30" s="45" t="s">
        <v>376</v>
      </c>
      <c r="E30" s="38"/>
      <c r="F30" s="135"/>
      <c r="G30" s="135"/>
    </row>
    <row r="31" spans="1:7" ht="15" customHeight="1" x14ac:dyDescent="0.15">
      <c r="A31" s="135"/>
      <c r="B31" s="135"/>
      <c r="C31" s="135"/>
      <c r="D31" s="45" t="s">
        <v>377</v>
      </c>
      <c r="E31" s="38"/>
      <c r="F31" s="135"/>
      <c r="G31" s="135"/>
    </row>
    <row r="32" spans="1:7" ht="15" customHeight="1" x14ac:dyDescent="0.15">
      <c r="A32" s="135"/>
      <c r="B32" s="135"/>
      <c r="C32" s="135"/>
      <c r="D32" s="45" t="s">
        <v>378</v>
      </c>
      <c r="E32" s="38"/>
      <c r="F32" s="135"/>
      <c r="G32" s="135"/>
    </row>
    <row r="33" spans="1:7" ht="15" customHeight="1" x14ac:dyDescent="0.15">
      <c r="A33" s="135"/>
      <c r="B33" s="135"/>
      <c r="C33" s="134" t="s">
        <v>381</v>
      </c>
      <c r="D33" s="38" t="s">
        <v>137</v>
      </c>
      <c r="E33" s="38"/>
      <c r="F33" s="134" t="s">
        <v>30</v>
      </c>
      <c r="G33" s="141" t="s">
        <v>429</v>
      </c>
    </row>
    <row r="34" spans="1:7" ht="15" customHeight="1" x14ac:dyDescent="0.15">
      <c r="A34" s="135"/>
      <c r="B34" s="135"/>
      <c r="C34" s="135"/>
      <c r="D34" s="38" t="s">
        <v>362</v>
      </c>
      <c r="E34" s="38"/>
      <c r="F34" s="135"/>
      <c r="G34" s="135"/>
    </row>
    <row r="35" spans="1:7" ht="15" customHeight="1" x14ac:dyDescent="0.15">
      <c r="A35" s="135"/>
      <c r="B35" s="135"/>
      <c r="C35" s="135"/>
      <c r="D35" s="45" t="s">
        <v>134</v>
      </c>
      <c r="E35" s="38"/>
      <c r="F35" s="135"/>
      <c r="G35" s="135"/>
    </row>
    <row r="36" spans="1:7" ht="15" customHeight="1" x14ac:dyDescent="0.15">
      <c r="A36" s="135"/>
      <c r="B36" s="135"/>
      <c r="C36" s="135"/>
      <c r="D36" s="45" t="s">
        <v>369</v>
      </c>
      <c r="E36" s="38"/>
      <c r="F36" s="135"/>
      <c r="G36" s="135"/>
    </row>
    <row r="37" spans="1:7" ht="15" customHeight="1" x14ac:dyDescent="0.15">
      <c r="A37" s="135"/>
      <c r="B37" s="135"/>
      <c r="C37" s="135"/>
      <c r="D37" s="45" t="s">
        <v>135</v>
      </c>
      <c r="E37" s="38"/>
      <c r="F37" s="135"/>
      <c r="G37" s="135"/>
    </row>
    <row r="38" spans="1:7" ht="15" customHeight="1" x14ac:dyDescent="0.15">
      <c r="A38" s="135"/>
      <c r="B38" s="135"/>
      <c r="C38" s="135"/>
      <c r="D38" s="45" t="s">
        <v>370</v>
      </c>
      <c r="E38" s="38"/>
      <c r="F38" s="135"/>
      <c r="G38" s="135"/>
    </row>
    <row r="39" spans="1:7" ht="15" customHeight="1" x14ac:dyDescent="0.15">
      <c r="A39" s="135"/>
      <c r="B39" s="135"/>
      <c r="C39" s="135"/>
      <c r="D39" s="45" t="s">
        <v>371</v>
      </c>
      <c r="E39" s="38"/>
      <c r="F39" s="135"/>
      <c r="G39" s="135"/>
    </row>
    <row r="40" spans="1:7" ht="15" customHeight="1" x14ac:dyDescent="0.15">
      <c r="A40" s="135"/>
      <c r="B40" s="135"/>
      <c r="C40" s="135"/>
      <c r="D40" s="45" t="s">
        <v>372</v>
      </c>
      <c r="E40" s="38"/>
      <c r="F40" s="135"/>
      <c r="G40" s="135"/>
    </row>
    <row r="41" spans="1:7" ht="15" customHeight="1" x14ac:dyDescent="0.15">
      <c r="A41" s="135"/>
      <c r="B41" s="135"/>
      <c r="C41" s="135"/>
      <c r="D41" s="45" t="s">
        <v>375</v>
      </c>
      <c r="E41" s="38"/>
      <c r="F41" s="135"/>
      <c r="G41" s="135"/>
    </row>
    <row r="42" spans="1:7" ht="15" customHeight="1" x14ac:dyDescent="0.15">
      <c r="A42" s="135"/>
      <c r="B42" s="135"/>
      <c r="C42" s="135"/>
      <c r="D42" s="45" t="s">
        <v>380</v>
      </c>
      <c r="E42" s="38"/>
      <c r="F42" s="135"/>
      <c r="G42" s="135"/>
    </row>
    <row r="43" spans="1:7" ht="15" customHeight="1" x14ac:dyDescent="0.15">
      <c r="A43" s="135"/>
      <c r="B43" s="135"/>
      <c r="C43" s="135"/>
      <c r="D43" s="45" t="s">
        <v>382</v>
      </c>
      <c r="E43" s="38"/>
      <c r="F43" s="135"/>
      <c r="G43" s="135"/>
    </row>
    <row r="44" spans="1:7" ht="15" customHeight="1" x14ac:dyDescent="0.15">
      <c r="A44" s="135"/>
      <c r="B44" s="135"/>
      <c r="C44" s="135"/>
      <c r="D44" s="45" t="s">
        <v>383</v>
      </c>
      <c r="E44" s="38"/>
      <c r="F44" s="135"/>
      <c r="G44" s="135"/>
    </row>
    <row r="45" spans="1:7" ht="15" customHeight="1" x14ac:dyDescent="0.15">
      <c r="A45" s="135"/>
      <c r="B45" s="135"/>
      <c r="C45" s="135"/>
      <c r="D45" s="45" t="s">
        <v>384</v>
      </c>
      <c r="E45" s="38"/>
      <c r="F45" s="135"/>
      <c r="G45" s="135"/>
    </row>
    <row r="46" spans="1:7" ht="15" customHeight="1" x14ac:dyDescent="0.15">
      <c r="A46" s="135"/>
      <c r="B46" s="135"/>
      <c r="C46" s="135"/>
      <c r="D46" s="45" t="s">
        <v>378</v>
      </c>
      <c r="E46" s="38"/>
      <c r="F46" s="135"/>
      <c r="G46" s="135"/>
    </row>
    <row r="47" spans="1:7" ht="15" customHeight="1" x14ac:dyDescent="0.15">
      <c r="A47" s="135"/>
      <c r="B47" s="135"/>
      <c r="C47" s="135"/>
      <c r="D47" s="45" t="s">
        <v>385</v>
      </c>
      <c r="E47" s="38"/>
      <c r="F47" s="135"/>
      <c r="G47" s="135"/>
    </row>
    <row r="48" spans="1:7" ht="15" customHeight="1" x14ac:dyDescent="0.15">
      <c r="A48" s="135"/>
      <c r="B48" s="135"/>
      <c r="C48" s="134" t="s">
        <v>379</v>
      </c>
      <c r="D48" s="38" t="s">
        <v>137</v>
      </c>
      <c r="E48" s="38"/>
      <c r="F48" s="134" t="s">
        <v>30</v>
      </c>
      <c r="G48" s="141" t="s">
        <v>430</v>
      </c>
    </row>
    <row r="49" spans="1:7" ht="15" customHeight="1" x14ac:dyDescent="0.15">
      <c r="A49" s="135"/>
      <c r="B49" s="135"/>
      <c r="C49" s="135"/>
      <c r="D49" s="38" t="s">
        <v>362</v>
      </c>
      <c r="E49" s="38"/>
      <c r="F49" s="135"/>
      <c r="G49" s="135"/>
    </row>
    <row r="50" spans="1:7" ht="15" customHeight="1" x14ac:dyDescent="0.15">
      <c r="A50" s="135"/>
      <c r="B50" s="135"/>
      <c r="C50" s="135"/>
      <c r="D50" s="45" t="s">
        <v>134</v>
      </c>
      <c r="E50" s="38"/>
      <c r="F50" s="135"/>
      <c r="G50" s="135"/>
    </row>
    <row r="51" spans="1:7" ht="15" customHeight="1" x14ac:dyDescent="0.15">
      <c r="A51" s="135"/>
      <c r="B51" s="135"/>
      <c r="C51" s="135"/>
      <c r="D51" s="45" t="s">
        <v>369</v>
      </c>
      <c r="E51" s="38"/>
      <c r="F51" s="135"/>
      <c r="G51" s="135"/>
    </row>
    <row r="52" spans="1:7" ht="15" customHeight="1" x14ac:dyDescent="0.15">
      <c r="A52" s="135"/>
      <c r="B52" s="135"/>
      <c r="C52" s="135"/>
      <c r="D52" s="45" t="s">
        <v>135</v>
      </c>
      <c r="E52" s="38"/>
      <c r="F52" s="135"/>
      <c r="G52" s="135"/>
    </row>
    <row r="53" spans="1:7" ht="15" customHeight="1" x14ac:dyDescent="0.15">
      <c r="A53" s="135"/>
      <c r="B53" s="135"/>
      <c r="C53" s="135"/>
      <c r="D53" s="45" t="s">
        <v>370</v>
      </c>
      <c r="E53" s="38"/>
      <c r="F53" s="135"/>
      <c r="G53" s="135"/>
    </row>
    <row r="54" spans="1:7" ht="15" customHeight="1" x14ac:dyDescent="0.15">
      <c r="A54" s="135"/>
      <c r="B54" s="135"/>
      <c r="C54" s="135"/>
      <c r="D54" s="45" t="s">
        <v>371</v>
      </c>
      <c r="E54" s="38"/>
      <c r="F54" s="135"/>
      <c r="G54" s="135"/>
    </row>
    <row r="55" spans="1:7" ht="15" customHeight="1" x14ac:dyDescent="0.15">
      <c r="A55" s="135"/>
      <c r="B55" s="135"/>
      <c r="C55" s="135"/>
      <c r="D55" s="45" t="s">
        <v>372</v>
      </c>
      <c r="E55" s="38"/>
      <c r="F55" s="135"/>
      <c r="G55" s="135"/>
    </row>
    <row r="56" spans="1:7" ht="15" customHeight="1" x14ac:dyDescent="0.15">
      <c r="A56" s="135"/>
      <c r="B56" s="135"/>
      <c r="C56" s="135"/>
      <c r="D56" s="45" t="s">
        <v>378</v>
      </c>
      <c r="E56" s="38"/>
      <c r="F56" s="135"/>
      <c r="G56" s="135"/>
    </row>
    <row r="57" spans="1:7" ht="15" customHeight="1" x14ac:dyDescent="0.15">
      <c r="A57" s="135"/>
      <c r="B57" s="135"/>
      <c r="C57" s="135"/>
      <c r="D57" s="45" t="s">
        <v>386</v>
      </c>
      <c r="E57" s="38"/>
      <c r="F57" s="135"/>
      <c r="G57" s="135"/>
    </row>
    <row r="58" spans="1:7" ht="15" customHeight="1" x14ac:dyDescent="0.15">
      <c r="A58" s="135"/>
      <c r="B58" s="135"/>
      <c r="C58" s="135"/>
      <c r="D58" s="45" t="s">
        <v>375</v>
      </c>
      <c r="E58" s="38"/>
      <c r="F58" s="135"/>
      <c r="G58" s="135"/>
    </row>
    <row r="59" spans="1:7" ht="15" customHeight="1" x14ac:dyDescent="0.15">
      <c r="A59" s="135"/>
      <c r="B59" s="135"/>
      <c r="C59" s="135"/>
      <c r="D59" s="45" t="s">
        <v>387</v>
      </c>
      <c r="E59" s="38"/>
      <c r="F59" s="135"/>
      <c r="G59" s="135"/>
    </row>
    <row r="60" spans="1:7" ht="15" customHeight="1" x14ac:dyDescent="0.15">
      <c r="A60" s="135"/>
      <c r="B60" s="135"/>
      <c r="C60" s="134" t="s">
        <v>388</v>
      </c>
      <c r="D60" s="38" t="s">
        <v>137</v>
      </c>
      <c r="E60" s="38"/>
      <c r="F60" s="134" t="s">
        <v>30</v>
      </c>
      <c r="G60" s="141" t="s">
        <v>431</v>
      </c>
    </row>
    <row r="61" spans="1:7" ht="15" customHeight="1" x14ac:dyDescent="0.15">
      <c r="A61" s="135"/>
      <c r="B61" s="135"/>
      <c r="C61" s="135"/>
      <c r="D61" s="38" t="s">
        <v>362</v>
      </c>
      <c r="E61" s="38"/>
      <c r="F61" s="135"/>
      <c r="G61" s="135"/>
    </row>
    <row r="62" spans="1:7" ht="15" customHeight="1" x14ac:dyDescent="0.15">
      <c r="A62" s="135"/>
      <c r="B62" s="135"/>
      <c r="C62" s="135"/>
      <c r="D62" s="45" t="s">
        <v>134</v>
      </c>
      <c r="E62" s="38"/>
      <c r="F62" s="135"/>
      <c r="G62" s="135"/>
    </row>
    <row r="63" spans="1:7" ht="15" customHeight="1" x14ac:dyDescent="0.15">
      <c r="A63" s="135"/>
      <c r="B63" s="135"/>
      <c r="C63" s="135"/>
      <c r="D63" s="45" t="s">
        <v>369</v>
      </c>
      <c r="E63" s="38"/>
      <c r="F63" s="135"/>
      <c r="G63" s="135"/>
    </row>
    <row r="64" spans="1:7" ht="15" customHeight="1" x14ac:dyDescent="0.15">
      <c r="A64" s="135"/>
      <c r="B64" s="135"/>
      <c r="C64" s="135"/>
      <c r="D64" s="45" t="s">
        <v>135</v>
      </c>
      <c r="E64" s="38"/>
      <c r="F64" s="135"/>
      <c r="G64" s="135"/>
    </row>
    <row r="65" spans="1:7" ht="15" customHeight="1" x14ac:dyDescent="0.15">
      <c r="A65" s="135"/>
      <c r="B65" s="135"/>
      <c r="C65" s="135"/>
      <c r="D65" s="45" t="s">
        <v>370</v>
      </c>
      <c r="E65" s="38"/>
      <c r="F65" s="135"/>
      <c r="G65" s="135"/>
    </row>
    <row r="66" spans="1:7" ht="15" customHeight="1" x14ac:dyDescent="0.15">
      <c r="A66" s="135"/>
      <c r="B66" s="135"/>
      <c r="C66" s="135"/>
      <c r="D66" s="45" t="s">
        <v>372</v>
      </c>
      <c r="E66" s="38"/>
      <c r="F66" s="135"/>
      <c r="G66" s="135"/>
    </row>
    <row r="67" spans="1:7" ht="15" customHeight="1" x14ac:dyDescent="0.15">
      <c r="A67" s="135"/>
      <c r="B67" s="135"/>
      <c r="C67" s="135"/>
      <c r="D67" s="45" t="s">
        <v>380</v>
      </c>
      <c r="E67" s="38"/>
      <c r="F67" s="135"/>
      <c r="G67" s="135"/>
    </row>
    <row r="68" spans="1:7" ht="15" customHeight="1" x14ac:dyDescent="0.15">
      <c r="A68" s="135"/>
      <c r="B68" s="135"/>
      <c r="C68" s="135"/>
      <c r="D68" s="45" t="s">
        <v>375</v>
      </c>
      <c r="E68" s="38"/>
      <c r="F68" s="135"/>
      <c r="G68" s="135"/>
    </row>
    <row r="69" spans="1:7" ht="15" customHeight="1" x14ac:dyDescent="0.15">
      <c r="A69" s="135"/>
      <c r="B69" s="135"/>
      <c r="C69" s="135"/>
      <c r="D69" s="45" t="s">
        <v>382</v>
      </c>
      <c r="E69" s="38"/>
      <c r="F69" s="135"/>
      <c r="G69" s="135"/>
    </row>
    <row r="70" spans="1:7" ht="15" customHeight="1" x14ac:dyDescent="0.15">
      <c r="A70" s="135"/>
      <c r="B70" s="135"/>
      <c r="C70" s="135"/>
      <c r="D70" s="45" t="s">
        <v>378</v>
      </c>
      <c r="E70" s="38"/>
      <c r="F70" s="135"/>
      <c r="G70" s="135"/>
    </row>
    <row r="71" spans="1:7" ht="15" customHeight="1" x14ac:dyDescent="0.15">
      <c r="A71" s="135"/>
      <c r="B71" s="135"/>
      <c r="C71" s="135"/>
      <c r="D71" s="45" t="s">
        <v>363</v>
      </c>
      <c r="E71" s="38"/>
      <c r="F71" s="135"/>
      <c r="G71" s="135"/>
    </row>
    <row r="72" spans="1:7" ht="15" customHeight="1" x14ac:dyDescent="0.15">
      <c r="A72" s="135"/>
      <c r="B72" s="135"/>
      <c r="C72" s="134" t="s">
        <v>389</v>
      </c>
      <c r="D72" s="38" t="s">
        <v>137</v>
      </c>
      <c r="E72" s="38"/>
      <c r="F72" s="134" t="s">
        <v>30</v>
      </c>
      <c r="G72" s="141" t="s">
        <v>432</v>
      </c>
    </row>
    <row r="73" spans="1:7" ht="15" customHeight="1" x14ac:dyDescent="0.15">
      <c r="A73" s="135"/>
      <c r="B73" s="135"/>
      <c r="C73" s="135"/>
      <c r="D73" s="38" t="s">
        <v>362</v>
      </c>
      <c r="E73" s="38"/>
      <c r="F73" s="135"/>
      <c r="G73" s="135"/>
    </row>
    <row r="74" spans="1:7" ht="15" customHeight="1" x14ac:dyDescent="0.15">
      <c r="A74" s="135"/>
      <c r="B74" s="135"/>
      <c r="C74" s="135"/>
      <c r="D74" s="45" t="s">
        <v>134</v>
      </c>
      <c r="E74" s="38"/>
      <c r="F74" s="135"/>
      <c r="G74" s="135"/>
    </row>
    <row r="75" spans="1:7" ht="15" customHeight="1" x14ac:dyDescent="0.15">
      <c r="A75" s="135"/>
      <c r="B75" s="135"/>
      <c r="C75" s="135"/>
      <c r="D75" s="45" t="s">
        <v>369</v>
      </c>
      <c r="E75" s="38"/>
      <c r="F75" s="135"/>
      <c r="G75" s="135"/>
    </row>
    <row r="76" spans="1:7" ht="15" customHeight="1" x14ac:dyDescent="0.15">
      <c r="A76" s="135"/>
      <c r="B76" s="135"/>
      <c r="C76" s="135"/>
      <c r="D76" s="45" t="s">
        <v>135</v>
      </c>
      <c r="E76" s="38"/>
      <c r="F76" s="135"/>
      <c r="G76" s="135"/>
    </row>
    <row r="77" spans="1:7" ht="15" customHeight="1" x14ac:dyDescent="0.15">
      <c r="A77" s="135"/>
      <c r="B77" s="135"/>
      <c r="C77" s="135"/>
      <c r="D77" s="45" t="s">
        <v>370</v>
      </c>
      <c r="E77" s="38"/>
      <c r="F77" s="135"/>
      <c r="G77" s="135"/>
    </row>
    <row r="78" spans="1:7" ht="15" customHeight="1" x14ac:dyDescent="0.15">
      <c r="A78" s="135"/>
      <c r="B78" s="135"/>
      <c r="C78" s="135"/>
      <c r="D78" s="45" t="s">
        <v>371</v>
      </c>
      <c r="E78" s="38"/>
      <c r="F78" s="135"/>
      <c r="G78" s="135"/>
    </row>
    <row r="79" spans="1:7" ht="15" customHeight="1" x14ac:dyDescent="0.15">
      <c r="A79" s="135"/>
      <c r="B79" s="135"/>
      <c r="C79" s="135"/>
      <c r="D79" s="45" t="s">
        <v>372</v>
      </c>
      <c r="E79" s="38"/>
      <c r="F79" s="135"/>
      <c r="G79" s="135"/>
    </row>
    <row r="80" spans="1:7" ht="15" customHeight="1" x14ac:dyDescent="0.15">
      <c r="A80" s="135"/>
      <c r="B80" s="135"/>
      <c r="C80" s="135"/>
      <c r="D80" s="45" t="s">
        <v>375</v>
      </c>
      <c r="E80" s="38"/>
      <c r="F80" s="135"/>
      <c r="G80" s="135"/>
    </row>
    <row r="81" spans="1:7" ht="15" customHeight="1" x14ac:dyDescent="0.15">
      <c r="A81" s="135"/>
      <c r="B81" s="135"/>
      <c r="C81" s="135"/>
      <c r="D81" s="45" t="s">
        <v>378</v>
      </c>
      <c r="E81" s="38"/>
      <c r="F81" s="135"/>
      <c r="G81" s="135"/>
    </row>
    <row r="82" spans="1:7" ht="15" customHeight="1" x14ac:dyDescent="0.15">
      <c r="A82" s="135"/>
      <c r="B82" s="135"/>
      <c r="C82" s="135"/>
      <c r="D82" s="45" t="s">
        <v>390</v>
      </c>
      <c r="E82" s="38"/>
      <c r="F82" s="135"/>
      <c r="G82" s="135"/>
    </row>
    <row r="83" spans="1:7" ht="15" customHeight="1" x14ac:dyDescent="0.15">
      <c r="A83" s="135"/>
      <c r="B83" s="135"/>
      <c r="C83" s="135"/>
      <c r="D83" s="45" t="s">
        <v>138</v>
      </c>
      <c r="E83" s="38"/>
      <c r="F83" s="135"/>
      <c r="G83" s="135"/>
    </row>
    <row r="84" spans="1:7" ht="15" customHeight="1" x14ac:dyDescent="0.15">
      <c r="A84" s="135"/>
      <c r="B84" s="135"/>
      <c r="C84" s="135"/>
      <c r="D84" s="45" t="s">
        <v>391</v>
      </c>
      <c r="E84" s="38"/>
      <c r="F84" s="135"/>
      <c r="G84" s="135"/>
    </row>
    <row r="85" spans="1:7" ht="15" customHeight="1" x14ac:dyDescent="0.15">
      <c r="A85" s="135"/>
      <c r="B85" s="135"/>
      <c r="C85" s="135"/>
      <c r="D85" s="45" t="s">
        <v>386</v>
      </c>
      <c r="E85" s="38"/>
      <c r="F85" s="135"/>
      <c r="G85" s="135"/>
    </row>
    <row r="86" spans="1:7" ht="15" customHeight="1" x14ac:dyDescent="0.15">
      <c r="A86" s="135"/>
      <c r="B86" s="135"/>
      <c r="C86" s="134" t="s">
        <v>392</v>
      </c>
      <c r="D86" s="38" t="s">
        <v>137</v>
      </c>
      <c r="E86" s="38"/>
      <c r="F86" s="134" t="s">
        <v>30</v>
      </c>
      <c r="G86" s="141" t="s">
        <v>433</v>
      </c>
    </row>
    <row r="87" spans="1:7" ht="15" customHeight="1" x14ac:dyDescent="0.15">
      <c r="A87" s="135"/>
      <c r="B87" s="135"/>
      <c r="C87" s="135"/>
      <c r="D87" s="38" t="s">
        <v>362</v>
      </c>
      <c r="E87" s="38"/>
      <c r="F87" s="135"/>
      <c r="G87" s="135"/>
    </row>
    <row r="88" spans="1:7" ht="15" customHeight="1" x14ac:dyDescent="0.15">
      <c r="A88" s="135"/>
      <c r="B88" s="135"/>
      <c r="C88" s="135"/>
      <c r="D88" s="45" t="s">
        <v>134</v>
      </c>
      <c r="E88" s="38"/>
      <c r="F88" s="135"/>
      <c r="G88" s="135"/>
    </row>
    <row r="89" spans="1:7" ht="15" customHeight="1" x14ac:dyDescent="0.15">
      <c r="A89" s="135"/>
      <c r="B89" s="135"/>
      <c r="C89" s="135"/>
      <c r="D89" s="45" t="s">
        <v>369</v>
      </c>
      <c r="E89" s="38"/>
      <c r="F89" s="135"/>
      <c r="G89" s="135"/>
    </row>
    <row r="90" spans="1:7" ht="15" customHeight="1" x14ac:dyDescent="0.15">
      <c r="A90" s="135"/>
      <c r="B90" s="135"/>
      <c r="C90" s="135"/>
      <c r="D90" s="45" t="s">
        <v>135</v>
      </c>
      <c r="E90" s="38"/>
      <c r="F90" s="135"/>
      <c r="G90" s="135"/>
    </row>
    <row r="91" spans="1:7" ht="15" customHeight="1" x14ac:dyDescent="0.15">
      <c r="A91" s="135"/>
      <c r="B91" s="135"/>
      <c r="C91" s="135"/>
      <c r="D91" s="45" t="s">
        <v>370</v>
      </c>
      <c r="E91" s="38"/>
      <c r="F91" s="135"/>
      <c r="G91" s="135"/>
    </row>
    <row r="92" spans="1:7" ht="15" customHeight="1" x14ac:dyDescent="0.15">
      <c r="A92" s="135"/>
      <c r="B92" s="135"/>
      <c r="C92" s="135"/>
      <c r="D92" s="45" t="s">
        <v>371</v>
      </c>
      <c r="E92" s="38"/>
      <c r="F92" s="135"/>
      <c r="G92" s="135"/>
    </row>
    <row r="93" spans="1:7" ht="15" customHeight="1" x14ac:dyDescent="0.15">
      <c r="A93" s="135"/>
      <c r="B93" s="135"/>
      <c r="C93" s="135"/>
      <c r="D93" s="45" t="s">
        <v>376</v>
      </c>
      <c r="E93" s="38"/>
      <c r="F93" s="135"/>
      <c r="G93" s="135"/>
    </row>
    <row r="94" spans="1:7" ht="15" customHeight="1" x14ac:dyDescent="0.15">
      <c r="A94" s="135"/>
      <c r="B94" s="135"/>
      <c r="C94" s="135"/>
      <c r="D94" s="45" t="s">
        <v>393</v>
      </c>
      <c r="E94" s="38"/>
      <c r="F94" s="135"/>
      <c r="G94" s="135"/>
    </row>
    <row r="95" spans="1:7" ht="15" customHeight="1" x14ac:dyDescent="0.15">
      <c r="A95" s="135"/>
      <c r="B95" s="135"/>
      <c r="C95" s="135"/>
      <c r="D95" s="45" t="s">
        <v>394</v>
      </c>
      <c r="E95" s="38"/>
      <c r="F95" s="135"/>
      <c r="G95" s="135"/>
    </row>
    <row r="96" spans="1:7" ht="15" customHeight="1" x14ac:dyDescent="0.15">
      <c r="A96" s="135"/>
      <c r="B96" s="135"/>
      <c r="C96" s="135"/>
      <c r="D96" s="45" t="s">
        <v>395</v>
      </c>
      <c r="E96" s="38"/>
      <c r="F96" s="135"/>
      <c r="G96" s="135"/>
    </row>
    <row r="97" spans="1:7" ht="15" customHeight="1" x14ac:dyDescent="0.15">
      <c r="A97" s="135"/>
      <c r="B97" s="135"/>
      <c r="C97" s="135"/>
      <c r="D97" s="45" t="s">
        <v>375</v>
      </c>
      <c r="E97" s="38"/>
      <c r="F97" s="135"/>
      <c r="G97" s="135"/>
    </row>
    <row r="98" spans="1:7" ht="15" customHeight="1" x14ac:dyDescent="0.15">
      <c r="A98" s="135"/>
      <c r="B98" s="135"/>
      <c r="C98" s="135"/>
      <c r="D98" s="45" t="s">
        <v>378</v>
      </c>
      <c r="E98" s="38"/>
      <c r="F98" s="135"/>
      <c r="G98" s="135"/>
    </row>
    <row r="99" spans="1:7" ht="15" customHeight="1" x14ac:dyDescent="0.15">
      <c r="A99" s="135"/>
      <c r="B99" s="135"/>
      <c r="C99" s="134" t="s">
        <v>396</v>
      </c>
      <c r="D99" s="38" t="s">
        <v>137</v>
      </c>
      <c r="E99" s="38"/>
      <c r="F99" s="134" t="s">
        <v>30</v>
      </c>
      <c r="G99" s="141" t="s">
        <v>434</v>
      </c>
    </row>
    <row r="100" spans="1:7" ht="15" customHeight="1" x14ac:dyDescent="0.15">
      <c r="A100" s="135"/>
      <c r="B100" s="135"/>
      <c r="C100" s="135"/>
      <c r="D100" s="38" t="s">
        <v>362</v>
      </c>
      <c r="E100" s="38"/>
      <c r="F100" s="135"/>
      <c r="G100" s="135"/>
    </row>
    <row r="101" spans="1:7" ht="15" customHeight="1" x14ac:dyDescent="0.15">
      <c r="A101" s="135"/>
      <c r="B101" s="135"/>
      <c r="C101" s="135"/>
      <c r="D101" s="45" t="s">
        <v>134</v>
      </c>
      <c r="E101" s="38"/>
      <c r="F101" s="135"/>
      <c r="G101" s="135"/>
    </row>
    <row r="102" spans="1:7" ht="15" customHeight="1" x14ac:dyDescent="0.15">
      <c r="A102" s="135"/>
      <c r="B102" s="135"/>
      <c r="C102" s="135"/>
      <c r="D102" s="45" t="s">
        <v>369</v>
      </c>
      <c r="E102" s="38"/>
      <c r="F102" s="135"/>
      <c r="G102" s="135"/>
    </row>
    <row r="103" spans="1:7" ht="15" customHeight="1" x14ac:dyDescent="0.15">
      <c r="A103" s="135"/>
      <c r="B103" s="135"/>
      <c r="C103" s="135"/>
      <c r="D103" s="45" t="s">
        <v>135</v>
      </c>
      <c r="E103" s="38"/>
      <c r="F103" s="135"/>
      <c r="G103" s="135"/>
    </row>
    <row r="104" spans="1:7" ht="15" customHeight="1" x14ac:dyDescent="0.15">
      <c r="A104" s="135"/>
      <c r="B104" s="135"/>
      <c r="C104" s="135"/>
      <c r="D104" s="45" t="s">
        <v>370</v>
      </c>
      <c r="E104" s="38"/>
      <c r="F104" s="135"/>
      <c r="G104" s="135"/>
    </row>
    <row r="105" spans="1:7" ht="15" customHeight="1" x14ac:dyDescent="0.15">
      <c r="A105" s="135"/>
      <c r="B105" s="135"/>
      <c r="C105" s="135"/>
      <c r="D105" s="45" t="s">
        <v>371</v>
      </c>
      <c r="E105" s="38"/>
      <c r="F105" s="135"/>
      <c r="G105" s="135"/>
    </row>
    <row r="106" spans="1:7" ht="15" customHeight="1" x14ac:dyDescent="0.15">
      <c r="A106" s="135"/>
      <c r="B106" s="135"/>
      <c r="C106" s="135"/>
      <c r="D106" s="45" t="s">
        <v>376</v>
      </c>
      <c r="E106" s="38"/>
      <c r="F106" s="135"/>
      <c r="G106" s="135"/>
    </row>
    <row r="107" spans="1:7" ht="15" customHeight="1" x14ac:dyDescent="0.15">
      <c r="A107" s="135"/>
      <c r="B107" s="135"/>
      <c r="C107" s="135"/>
      <c r="D107" s="45" t="s">
        <v>393</v>
      </c>
      <c r="E107" s="38"/>
      <c r="F107" s="135"/>
      <c r="G107" s="135"/>
    </row>
    <row r="108" spans="1:7" ht="15" customHeight="1" x14ac:dyDescent="0.15">
      <c r="A108" s="135"/>
      <c r="B108" s="135"/>
      <c r="C108" s="135"/>
      <c r="D108" s="45" t="s">
        <v>394</v>
      </c>
      <c r="E108" s="38"/>
      <c r="F108" s="135"/>
      <c r="G108" s="135"/>
    </row>
    <row r="109" spans="1:7" ht="15" customHeight="1" x14ac:dyDescent="0.15">
      <c r="A109" s="135"/>
      <c r="B109" s="135"/>
      <c r="C109" s="135"/>
      <c r="D109" s="45" t="s">
        <v>395</v>
      </c>
      <c r="E109" s="38"/>
      <c r="F109" s="135"/>
      <c r="G109" s="135"/>
    </row>
    <row r="110" spans="1:7" ht="15" customHeight="1" x14ac:dyDescent="0.15">
      <c r="A110" s="135"/>
      <c r="B110" s="135"/>
      <c r="C110" s="135"/>
      <c r="D110" s="45" t="s">
        <v>375</v>
      </c>
      <c r="E110" s="38"/>
      <c r="F110" s="135"/>
      <c r="G110" s="135"/>
    </row>
    <row r="111" spans="1:7" ht="15" customHeight="1" x14ac:dyDescent="0.15">
      <c r="A111" s="135"/>
      <c r="B111" s="135"/>
      <c r="C111" s="135"/>
      <c r="D111" s="45" t="s">
        <v>378</v>
      </c>
      <c r="E111" s="38"/>
      <c r="F111" s="135"/>
      <c r="G111" s="135"/>
    </row>
    <row r="112" spans="1:7" ht="15" customHeight="1" x14ac:dyDescent="0.15">
      <c r="A112" s="135"/>
      <c r="B112" s="135"/>
      <c r="C112" s="134" t="s">
        <v>397</v>
      </c>
      <c r="D112" s="38" t="s">
        <v>137</v>
      </c>
      <c r="E112" s="38"/>
      <c r="F112" s="134" t="s">
        <v>30</v>
      </c>
      <c r="G112" s="141" t="s">
        <v>435</v>
      </c>
    </row>
    <row r="113" spans="1:7" ht="15" customHeight="1" x14ac:dyDescent="0.15">
      <c r="A113" s="135"/>
      <c r="B113" s="135"/>
      <c r="C113" s="135"/>
      <c r="D113" s="38" t="s">
        <v>362</v>
      </c>
      <c r="E113" s="38"/>
      <c r="F113" s="135"/>
      <c r="G113" s="135"/>
    </row>
    <row r="114" spans="1:7" ht="15" customHeight="1" x14ac:dyDescent="0.15">
      <c r="A114" s="135"/>
      <c r="B114" s="135"/>
      <c r="C114" s="135"/>
      <c r="D114" s="45" t="s">
        <v>134</v>
      </c>
      <c r="E114" s="38"/>
      <c r="F114" s="135"/>
      <c r="G114" s="135"/>
    </row>
    <row r="115" spans="1:7" ht="15" customHeight="1" x14ac:dyDescent="0.15">
      <c r="A115" s="135"/>
      <c r="B115" s="135"/>
      <c r="C115" s="135"/>
      <c r="D115" s="45" t="s">
        <v>369</v>
      </c>
      <c r="E115" s="38"/>
      <c r="F115" s="135"/>
      <c r="G115" s="135"/>
    </row>
    <row r="116" spans="1:7" ht="15" customHeight="1" x14ac:dyDescent="0.15">
      <c r="A116" s="135"/>
      <c r="B116" s="135"/>
      <c r="C116" s="135"/>
      <c r="D116" s="45" t="s">
        <v>135</v>
      </c>
      <c r="E116" s="38"/>
      <c r="F116" s="135"/>
      <c r="G116" s="135"/>
    </row>
    <row r="117" spans="1:7" ht="15" customHeight="1" x14ac:dyDescent="0.15">
      <c r="A117" s="135"/>
      <c r="B117" s="135"/>
      <c r="C117" s="135"/>
      <c r="D117" s="45" t="s">
        <v>370</v>
      </c>
      <c r="E117" s="38"/>
      <c r="F117" s="135"/>
      <c r="G117" s="135"/>
    </row>
    <row r="118" spans="1:7" ht="15" customHeight="1" x14ac:dyDescent="0.15">
      <c r="A118" s="135"/>
      <c r="B118" s="135"/>
      <c r="C118" s="135"/>
      <c r="D118" s="45" t="s">
        <v>371</v>
      </c>
      <c r="E118" s="38"/>
      <c r="F118" s="135"/>
      <c r="G118" s="135"/>
    </row>
    <row r="119" spans="1:7" ht="15" customHeight="1" x14ac:dyDescent="0.15">
      <c r="A119" s="135"/>
      <c r="B119" s="135"/>
      <c r="C119" s="135"/>
      <c r="D119" s="45" t="s">
        <v>372</v>
      </c>
      <c r="E119" s="38"/>
      <c r="F119" s="135"/>
      <c r="G119" s="135"/>
    </row>
    <row r="120" spans="1:7" ht="15" customHeight="1" x14ac:dyDescent="0.15">
      <c r="A120" s="135"/>
      <c r="B120" s="135"/>
      <c r="C120" s="135"/>
      <c r="D120" s="45" t="s">
        <v>446</v>
      </c>
      <c r="E120" s="38"/>
      <c r="F120" s="135"/>
      <c r="G120" s="135"/>
    </row>
    <row r="121" spans="1:7" ht="15" customHeight="1" x14ac:dyDescent="0.15">
      <c r="A121" s="135"/>
      <c r="B121" s="135"/>
      <c r="C121" s="135"/>
      <c r="D121" s="45" t="s">
        <v>390</v>
      </c>
      <c r="E121" s="38"/>
      <c r="F121" s="135"/>
      <c r="G121" s="135"/>
    </row>
    <row r="122" spans="1:7" ht="15" customHeight="1" x14ac:dyDescent="0.15">
      <c r="A122" s="135"/>
      <c r="B122" s="135"/>
      <c r="C122" s="135"/>
      <c r="D122" s="45" t="s">
        <v>447</v>
      </c>
      <c r="E122" s="38"/>
      <c r="F122" s="135"/>
      <c r="G122" s="135"/>
    </row>
    <row r="123" spans="1:7" ht="15" customHeight="1" x14ac:dyDescent="0.15">
      <c r="A123" s="135"/>
      <c r="B123" s="135"/>
      <c r="C123" s="135"/>
      <c r="D123" s="45" t="s">
        <v>448</v>
      </c>
      <c r="E123" s="38"/>
      <c r="F123" s="135"/>
      <c r="G123" s="135"/>
    </row>
    <row r="124" spans="1:7" ht="15" customHeight="1" x14ac:dyDescent="0.15">
      <c r="A124" s="135"/>
      <c r="B124" s="135"/>
      <c r="C124" s="135"/>
      <c r="D124" s="45" t="s">
        <v>378</v>
      </c>
      <c r="E124" s="38"/>
      <c r="F124" s="135"/>
      <c r="G124" s="135"/>
    </row>
    <row r="125" spans="1:7" ht="15" customHeight="1" x14ac:dyDescent="0.15">
      <c r="A125" s="135"/>
      <c r="B125" s="135"/>
      <c r="C125" s="134" t="s">
        <v>398</v>
      </c>
      <c r="D125" s="38" t="s">
        <v>137</v>
      </c>
      <c r="E125" s="38"/>
      <c r="F125" s="134" t="s">
        <v>30</v>
      </c>
      <c r="G125" s="141" t="s">
        <v>436</v>
      </c>
    </row>
    <row r="126" spans="1:7" ht="15" customHeight="1" x14ac:dyDescent="0.15">
      <c r="A126" s="135"/>
      <c r="B126" s="135"/>
      <c r="C126" s="135"/>
      <c r="D126" s="38" t="s">
        <v>362</v>
      </c>
      <c r="E126" s="38"/>
      <c r="F126" s="135"/>
      <c r="G126" s="135"/>
    </row>
    <row r="127" spans="1:7" ht="15" customHeight="1" x14ac:dyDescent="0.15">
      <c r="A127" s="135"/>
      <c r="B127" s="135"/>
      <c r="C127" s="135"/>
      <c r="D127" s="45" t="s">
        <v>134</v>
      </c>
      <c r="E127" s="38"/>
      <c r="F127" s="135"/>
      <c r="G127" s="135"/>
    </row>
    <row r="128" spans="1:7" ht="15" customHeight="1" x14ac:dyDescent="0.15">
      <c r="A128" s="135"/>
      <c r="B128" s="135"/>
      <c r="C128" s="135"/>
      <c r="D128" s="45" t="s">
        <v>369</v>
      </c>
      <c r="E128" s="38"/>
      <c r="F128" s="135"/>
      <c r="G128" s="135"/>
    </row>
    <row r="129" spans="1:7" ht="15" customHeight="1" x14ac:dyDescent="0.15">
      <c r="A129" s="135"/>
      <c r="B129" s="135"/>
      <c r="C129" s="135"/>
      <c r="D129" s="45" t="s">
        <v>135</v>
      </c>
      <c r="E129" s="38"/>
      <c r="F129" s="135"/>
      <c r="G129" s="135"/>
    </row>
    <row r="130" spans="1:7" ht="15" customHeight="1" x14ac:dyDescent="0.15">
      <c r="A130" s="135"/>
      <c r="B130" s="135"/>
      <c r="C130" s="135"/>
      <c r="D130" s="45" t="s">
        <v>370</v>
      </c>
      <c r="E130" s="38"/>
      <c r="F130" s="135"/>
      <c r="G130" s="135"/>
    </row>
    <row r="131" spans="1:7" ht="15" customHeight="1" x14ac:dyDescent="0.15">
      <c r="A131" s="135"/>
      <c r="B131" s="135"/>
      <c r="C131" s="135"/>
      <c r="D131" s="45" t="s">
        <v>399</v>
      </c>
      <c r="E131" s="38"/>
      <c r="F131" s="135"/>
      <c r="G131" s="135"/>
    </row>
    <row r="132" spans="1:7" ht="15" customHeight="1" x14ac:dyDescent="0.15">
      <c r="A132" s="135"/>
      <c r="B132" s="135"/>
      <c r="C132" s="135"/>
      <c r="D132" s="45" t="s">
        <v>400</v>
      </c>
      <c r="E132" s="38"/>
      <c r="F132" s="135"/>
      <c r="G132" s="135"/>
    </row>
    <row r="133" spans="1:7" ht="15" customHeight="1" x14ac:dyDescent="0.15">
      <c r="A133" s="135"/>
      <c r="B133" s="135"/>
      <c r="C133" s="135"/>
      <c r="D133" s="45" t="s">
        <v>401</v>
      </c>
      <c r="E133" s="38"/>
      <c r="F133" s="135"/>
      <c r="G133" s="135"/>
    </row>
    <row r="134" spans="1:7" ht="15" customHeight="1" x14ac:dyDescent="0.15">
      <c r="A134" s="135"/>
      <c r="B134" s="135"/>
      <c r="C134" s="135"/>
      <c r="D134" s="45" t="s">
        <v>402</v>
      </c>
      <c r="E134" s="38"/>
      <c r="F134" s="135"/>
      <c r="G134" s="135"/>
    </row>
    <row r="135" spans="1:7" ht="15" customHeight="1" x14ac:dyDescent="0.15">
      <c r="A135" s="135"/>
      <c r="B135" s="135"/>
      <c r="C135" s="135"/>
      <c r="D135" s="45" t="s">
        <v>139</v>
      </c>
      <c r="E135" s="38"/>
      <c r="F135" s="135"/>
      <c r="G135" s="135"/>
    </row>
    <row r="136" spans="1:7" ht="15" customHeight="1" x14ac:dyDescent="0.15">
      <c r="A136" s="135"/>
      <c r="B136" s="135"/>
      <c r="C136" s="135"/>
      <c r="D136" s="45" t="s">
        <v>403</v>
      </c>
      <c r="E136" s="38"/>
      <c r="F136" s="135"/>
      <c r="G136" s="135"/>
    </row>
    <row r="137" spans="1:7" ht="15" customHeight="1" x14ac:dyDescent="0.15">
      <c r="A137" s="135"/>
      <c r="B137" s="135"/>
      <c r="C137" s="135"/>
      <c r="D137" s="45" t="s">
        <v>133</v>
      </c>
      <c r="E137" s="38"/>
      <c r="F137" s="135"/>
      <c r="G137" s="135"/>
    </row>
    <row r="138" spans="1:7" ht="15" customHeight="1" x14ac:dyDescent="0.15">
      <c r="A138" s="135"/>
      <c r="B138" s="135"/>
      <c r="C138" s="135"/>
      <c r="D138" s="45" t="s">
        <v>378</v>
      </c>
      <c r="E138" s="38"/>
      <c r="F138" s="135"/>
      <c r="G138" s="135"/>
    </row>
    <row r="139" spans="1:7" ht="15" customHeight="1" x14ac:dyDescent="0.15">
      <c r="A139" s="135"/>
      <c r="B139" s="135"/>
      <c r="C139" s="134" t="s">
        <v>404</v>
      </c>
      <c r="D139" s="38" t="s">
        <v>137</v>
      </c>
      <c r="E139" s="38"/>
      <c r="F139" s="134" t="s">
        <v>30</v>
      </c>
      <c r="G139" s="141" t="s">
        <v>437</v>
      </c>
    </row>
    <row r="140" spans="1:7" ht="15" customHeight="1" x14ac:dyDescent="0.15">
      <c r="A140" s="135"/>
      <c r="B140" s="135"/>
      <c r="C140" s="135"/>
      <c r="D140" s="38" t="s">
        <v>362</v>
      </c>
      <c r="E140" s="38"/>
      <c r="F140" s="135"/>
      <c r="G140" s="135"/>
    </row>
    <row r="141" spans="1:7" ht="15" customHeight="1" x14ac:dyDescent="0.15">
      <c r="A141" s="135"/>
      <c r="B141" s="135"/>
      <c r="C141" s="135"/>
      <c r="D141" s="45" t="s">
        <v>134</v>
      </c>
      <c r="E141" s="38"/>
      <c r="F141" s="135"/>
      <c r="G141" s="135"/>
    </row>
    <row r="142" spans="1:7" ht="15" customHeight="1" x14ac:dyDescent="0.15">
      <c r="A142" s="135"/>
      <c r="B142" s="135"/>
      <c r="C142" s="135"/>
      <c r="D142" s="45" t="s">
        <v>369</v>
      </c>
      <c r="E142" s="38"/>
      <c r="F142" s="135"/>
      <c r="G142" s="135"/>
    </row>
    <row r="143" spans="1:7" ht="15" customHeight="1" x14ac:dyDescent="0.15">
      <c r="A143" s="135"/>
      <c r="B143" s="135"/>
      <c r="C143" s="135"/>
      <c r="D143" s="45" t="s">
        <v>135</v>
      </c>
      <c r="E143" s="38"/>
      <c r="F143" s="135"/>
      <c r="G143" s="135"/>
    </row>
    <row r="144" spans="1:7" ht="15" customHeight="1" x14ac:dyDescent="0.15">
      <c r="A144" s="135"/>
      <c r="B144" s="135"/>
      <c r="C144" s="135"/>
      <c r="D144" s="45" t="s">
        <v>370</v>
      </c>
      <c r="E144" s="38"/>
      <c r="F144" s="135"/>
      <c r="G144" s="135"/>
    </row>
    <row r="145" spans="1:7" ht="15" customHeight="1" x14ac:dyDescent="0.15">
      <c r="A145" s="135"/>
      <c r="B145" s="135"/>
      <c r="C145" s="135"/>
      <c r="D145" s="45" t="s">
        <v>399</v>
      </c>
      <c r="E145" s="38"/>
      <c r="F145" s="135"/>
      <c r="G145" s="135"/>
    </row>
    <row r="146" spans="1:7" ht="15" customHeight="1" x14ac:dyDescent="0.15">
      <c r="A146" s="135"/>
      <c r="B146" s="135"/>
      <c r="C146" s="135"/>
      <c r="D146" s="45" t="s">
        <v>400</v>
      </c>
      <c r="E146" s="38"/>
      <c r="F146" s="135"/>
      <c r="G146" s="135"/>
    </row>
    <row r="147" spans="1:7" ht="15" customHeight="1" x14ac:dyDescent="0.15">
      <c r="A147" s="135"/>
      <c r="B147" s="135"/>
      <c r="C147" s="135"/>
      <c r="D147" s="45" t="s">
        <v>401</v>
      </c>
      <c r="E147" s="38"/>
      <c r="F147" s="135"/>
      <c r="G147" s="135"/>
    </row>
    <row r="148" spans="1:7" ht="15" customHeight="1" x14ac:dyDescent="0.15">
      <c r="A148" s="135"/>
      <c r="B148" s="135"/>
      <c r="C148" s="135"/>
      <c r="D148" s="45" t="s">
        <v>402</v>
      </c>
      <c r="E148" s="38"/>
      <c r="F148" s="135"/>
      <c r="G148" s="135"/>
    </row>
    <row r="149" spans="1:7" ht="15" customHeight="1" x14ac:dyDescent="0.15">
      <c r="A149" s="135"/>
      <c r="B149" s="135"/>
      <c r="C149" s="135"/>
      <c r="D149" s="45" t="s">
        <v>139</v>
      </c>
      <c r="E149" s="38"/>
      <c r="F149" s="135"/>
      <c r="G149" s="135"/>
    </row>
    <row r="150" spans="1:7" ht="15" customHeight="1" x14ac:dyDescent="0.15">
      <c r="A150" s="135"/>
      <c r="B150" s="135"/>
      <c r="C150" s="135"/>
      <c r="D150" s="45" t="s">
        <v>403</v>
      </c>
      <c r="E150" s="38"/>
      <c r="F150" s="135"/>
      <c r="G150" s="135"/>
    </row>
    <row r="151" spans="1:7" ht="15" customHeight="1" x14ac:dyDescent="0.15">
      <c r="A151" s="135"/>
      <c r="B151" s="135"/>
      <c r="C151" s="135"/>
      <c r="D151" s="45" t="s">
        <v>133</v>
      </c>
      <c r="E151" s="38"/>
      <c r="F151" s="135"/>
      <c r="G151" s="135"/>
    </row>
    <row r="152" spans="1:7" ht="15" customHeight="1" x14ac:dyDescent="0.15">
      <c r="A152" s="135"/>
      <c r="B152" s="135"/>
      <c r="C152" s="135"/>
      <c r="D152" s="45" t="s">
        <v>378</v>
      </c>
      <c r="E152" s="38"/>
      <c r="F152" s="135"/>
      <c r="G152" s="135"/>
    </row>
    <row r="153" spans="1:7" ht="15" customHeight="1" x14ac:dyDescent="0.15">
      <c r="A153" s="135"/>
      <c r="B153" s="135"/>
      <c r="C153" s="134" t="s">
        <v>405</v>
      </c>
      <c r="D153" s="38" t="s">
        <v>137</v>
      </c>
      <c r="E153" s="38"/>
      <c r="F153" s="134" t="s">
        <v>30</v>
      </c>
      <c r="G153" s="141" t="s">
        <v>438</v>
      </c>
    </row>
    <row r="154" spans="1:7" ht="15" customHeight="1" x14ac:dyDescent="0.15">
      <c r="A154" s="135"/>
      <c r="B154" s="135"/>
      <c r="C154" s="135"/>
      <c r="D154" s="38" t="s">
        <v>406</v>
      </c>
      <c r="E154" s="38"/>
      <c r="F154" s="135"/>
      <c r="G154" s="135"/>
    </row>
    <row r="155" spans="1:7" ht="15" customHeight="1" x14ac:dyDescent="0.15">
      <c r="A155" s="135"/>
      <c r="B155" s="135"/>
      <c r="C155" s="135"/>
      <c r="D155" s="45" t="s">
        <v>407</v>
      </c>
      <c r="E155" s="38"/>
      <c r="F155" s="135"/>
      <c r="G155" s="135"/>
    </row>
    <row r="156" spans="1:7" ht="15" customHeight="1" x14ac:dyDescent="0.15">
      <c r="A156" s="135"/>
      <c r="B156" s="135"/>
      <c r="C156" s="135"/>
      <c r="D156" s="45" t="s">
        <v>408</v>
      </c>
      <c r="E156" s="38"/>
      <c r="F156" s="135"/>
      <c r="G156" s="135"/>
    </row>
    <row r="157" spans="1:7" ht="15" customHeight="1" x14ac:dyDescent="0.15">
      <c r="A157" s="135"/>
      <c r="B157" s="135"/>
      <c r="C157" s="135"/>
      <c r="D157" s="45" t="s">
        <v>369</v>
      </c>
      <c r="E157" s="38"/>
      <c r="F157" s="135"/>
      <c r="G157" s="135"/>
    </row>
    <row r="158" spans="1:7" ht="15" customHeight="1" x14ac:dyDescent="0.15">
      <c r="A158" s="135"/>
      <c r="B158" s="135"/>
      <c r="C158" s="135"/>
      <c r="D158" s="45" t="s">
        <v>370</v>
      </c>
      <c r="E158" s="38"/>
      <c r="F158" s="135"/>
      <c r="G158" s="135"/>
    </row>
    <row r="159" spans="1:7" ht="15" customHeight="1" x14ac:dyDescent="0.15">
      <c r="A159" s="135"/>
      <c r="B159" s="135"/>
      <c r="C159" s="135"/>
      <c r="D159" s="45" t="s">
        <v>403</v>
      </c>
      <c r="E159" s="38"/>
      <c r="F159" s="135"/>
      <c r="G159" s="135"/>
    </row>
    <row r="160" spans="1:7" ht="15" customHeight="1" x14ac:dyDescent="0.15">
      <c r="A160" s="135"/>
      <c r="B160" s="135"/>
      <c r="C160" s="135"/>
      <c r="D160" s="45" t="s">
        <v>362</v>
      </c>
      <c r="E160" s="38"/>
      <c r="F160" s="135"/>
      <c r="G160" s="135"/>
    </row>
    <row r="161" spans="1:7" ht="15" customHeight="1" x14ac:dyDescent="0.15">
      <c r="A161" s="135"/>
      <c r="B161" s="135"/>
      <c r="C161" s="134" t="s">
        <v>409</v>
      </c>
      <c r="D161" s="38" t="s">
        <v>137</v>
      </c>
      <c r="E161" s="38"/>
      <c r="F161" s="134" t="s">
        <v>30</v>
      </c>
      <c r="G161" s="141" t="s">
        <v>132</v>
      </c>
    </row>
    <row r="162" spans="1:7" ht="15" customHeight="1" x14ac:dyDescent="0.15">
      <c r="A162" s="135"/>
      <c r="B162" s="135"/>
      <c r="C162" s="135"/>
      <c r="D162" s="38" t="s">
        <v>406</v>
      </c>
      <c r="E162" s="38"/>
      <c r="F162" s="135"/>
      <c r="G162" s="135"/>
    </row>
    <row r="163" spans="1:7" ht="15" customHeight="1" x14ac:dyDescent="0.15">
      <c r="A163" s="135"/>
      <c r="B163" s="135"/>
      <c r="C163" s="135"/>
      <c r="D163" s="45" t="s">
        <v>407</v>
      </c>
      <c r="E163" s="38"/>
      <c r="F163" s="135"/>
      <c r="G163" s="135"/>
    </row>
    <row r="164" spans="1:7" ht="15" customHeight="1" x14ac:dyDescent="0.15">
      <c r="A164" s="135"/>
      <c r="B164" s="135"/>
      <c r="C164" s="135"/>
      <c r="D164" s="45" t="s">
        <v>408</v>
      </c>
      <c r="E164" s="38"/>
      <c r="F164" s="135"/>
      <c r="G164" s="135"/>
    </row>
    <row r="165" spans="1:7" ht="15" customHeight="1" x14ac:dyDescent="0.15">
      <c r="A165" s="135"/>
      <c r="B165" s="135"/>
      <c r="C165" s="135"/>
      <c r="D165" s="45" t="s">
        <v>369</v>
      </c>
      <c r="E165" s="38"/>
      <c r="F165" s="135"/>
      <c r="G165" s="135"/>
    </row>
    <row r="166" spans="1:7" ht="15" customHeight="1" x14ac:dyDescent="0.15">
      <c r="A166" s="135"/>
      <c r="B166" s="135"/>
      <c r="C166" s="135"/>
      <c r="D166" s="45" t="s">
        <v>370</v>
      </c>
      <c r="E166" s="38"/>
      <c r="F166" s="135"/>
      <c r="G166" s="135"/>
    </row>
    <row r="167" spans="1:7" ht="15" customHeight="1" x14ac:dyDescent="0.15">
      <c r="A167" s="135"/>
      <c r="B167" s="135"/>
      <c r="C167" s="135"/>
      <c r="D167" s="45" t="s">
        <v>410</v>
      </c>
      <c r="E167" s="38"/>
      <c r="F167" s="135"/>
      <c r="G167" s="135"/>
    </row>
    <row r="168" spans="1:7" ht="15" customHeight="1" x14ac:dyDescent="0.15">
      <c r="A168" s="135"/>
      <c r="B168" s="135"/>
      <c r="C168" s="135"/>
      <c r="D168" s="45" t="s">
        <v>403</v>
      </c>
      <c r="E168" s="38"/>
      <c r="F168" s="135"/>
      <c r="G168" s="135"/>
    </row>
    <row r="169" spans="1:7" ht="15" customHeight="1" x14ac:dyDescent="0.15">
      <c r="A169" s="135"/>
      <c r="B169" s="135"/>
      <c r="C169" s="135"/>
      <c r="D169" s="45" t="s">
        <v>411</v>
      </c>
      <c r="E169" s="38"/>
      <c r="F169" s="135"/>
      <c r="G169" s="135"/>
    </row>
    <row r="170" spans="1:7" ht="15" customHeight="1" x14ac:dyDescent="0.15">
      <c r="A170" s="135"/>
      <c r="B170" s="135"/>
      <c r="C170" s="135"/>
      <c r="D170" s="45" t="s">
        <v>362</v>
      </c>
      <c r="E170" s="38"/>
      <c r="F170" s="135"/>
      <c r="G170" s="135"/>
    </row>
    <row r="171" spans="1:7" ht="15" customHeight="1" x14ac:dyDescent="0.15">
      <c r="A171" s="135"/>
      <c r="B171" s="135"/>
      <c r="C171" s="134" t="s">
        <v>412</v>
      </c>
      <c r="D171" s="38" t="s">
        <v>137</v>
      </c>
      <c r="E171" s="38"/>
      <c r="F171" s="134" t="s">
        <v>30</v>
      </c>
      <c r="G171" s="141" t="s">
        <v>439</v>
      </c>
    </row>
    <row r="172" spans="1:7" ht="15" customHeight="1" x14ac:dyDescent="0.15">
      <c r="A172" s="135"/>
      <c r="B172" s="135"/>
      <c r="C172" s="135"/>
      <c r="D172" s="38" t="s">
        <v>413</v>
      </c>
      <c r="E172" s="38"/>
      <c r="F172" s="135"/>
      <c r="G172" s="135"/>
    </row>
    <row r="173" spans="1:7" ht="15" customHeight="1" x14ac:dyDescent="0.15">
      <c r="A173" s="135"/>
      <c r="B173" s="135"/>
      <c r="C173" s="135"/>
      <c r="D173" s="45" t="s">
        <v>414</v>
      </c>
      <c r="E173" s="38"/>
      <c r="F173" s="135"/>
      <c r="G173" s="135"/>
    </row>
    <row r="174" spans="1:7" ht="15" customHeight="1" x14ac:dyDescent="0.15">
      <c r="A174" s="135"/>
      <c r="B174" s="135"/>
      <c r="C174" s="135"/>
      <c r="D174" s="45" t="s">
        <v>363</v>
      </c>
      <c r="E174" s="38"/>
      <c r="F174" s="135"/>
      <c r="G174" s="135"/>
    </row>
    <row r="175" spans="1:7" ht="15" customHeight="1" x14ac:dyDescent="0.15">
      <c r="A175" s="135"/>
      <c r="B175" s="135"/>
      <c r="C175" s="134" t="s">
        <v>449</v>
      </c>
      <c r="D175" s="38" t="s">
        <v>137</v>
      </c>
      <c r="E175" s="38"/>
      <c r="F175" s="134" t="s">
        <v>30</v>
      </c>
      <c r="G175" s="141" t="s">
        <v>440</v>
      </c>
    </row>
    <row r="176" spans="1:7" ht="15" customHeight="1" x14ac:dyDescent="0.15">
      <c r="A176" s="135"/>
      <c r="B176" s="135"/>
      <c r="C176" s="135"/>
      <c r="D176" s="45" t="s">
        <v>407</v>
      </c>
      <c r="E176" s="38"/>
      <c r="F176" s="135"/>
      <c r="G176" s="135"/>
    </row>
    <row r="177" spans="1:7" ht="15" customHeight="1" x14ac:dyDescent="0.15">
      <c r="A177" s="135"/>
      <c r="B177" s="135"/>
      <c r="C177" s="135"/>
      <c r="D177" s="45" t="s">
        <v>408</v>
      </c>
      <c r="E177" s="38"/>
      <c r="F177" s="135"/>
      <c r="G177" s="135"/>
    </row>
    <row r="178" spans="1:7" ht="15" customHeight="1" x14ac:dyDescent="0.15">
      <c r="A178" s="135"/>
      <c r="B178" s="135"/>
      <c r="C178" s="135"/>
      <c r="D178" s="45" t="s">
        <v>415</v>
      </c>
      <c r="E178" s="38"/>
      <c r="F178" s="135"/>
      <c r="G178" s="135"/>
    </row>
    <row r="179" spans="1:7" ht="15" customHeight="1" x14ac:dyDescent="0.15">
      <c r="A179" s="135"/>
      <c r="B179" s="135"/>
      <c r="C179" s="135"/>
      <c r="D179" s="45" t="s">
        <v>416</v>
      </c>
      <c r="E179" s="38"/>
      <c r="F179" s="135"/>
      <c r="G179" s="135"/>
    </row>
    <row r="180" spans="1:7" ht="15" customHeight="1" x14ac:dyDescent="0.15">
      <c r="A180" s="135"/>
      <c r="B180" s="135"/>
      <c r="C180" s="135"/>
      <c r="D180" s="45" t="s">
        <v>369</v>
      </c>
      <c r="E180" s="38"/>
      <c r="F180" s="135"/>
      <c r="G180" s="135"/>
    </row>
    <row r="181" spans="1:7" ht="15" customHeight="1" x14ac:dyDescent="0.15">
      <c r="A181" s="135"/>
      <c r="B181" s="135"/>
      <c r="C181" s="135"/>
      <c r="D181" s="45" t="s">
        <v>370</v>
      </c>
      <c r="E181" s="38"/>
      <c r="F181" s="135"/>
      <c r="G181" s="135"/>
    </row>
    <row r="182" spans="1:7" ht="15" customHeight="1" x14ac:dyDescent="0.15">
      <c r="A182" s="135"/>
      <c r="B182" s="135"/>
      <c r="C182" s="135"/>
      <c r="D182" s="45" t="s">
        <v>403</v>
      </c>
      <c r="E182" s="38"/>
      <c r="F182" s="135"/>
      <c r="G182" s="135"/>
    </row>
    <row r="183" spans="1:7" ht="15" customHeight="1" x14ac:dyDescent="0.15">
      <c r="A183" s="135"/>
      <c r="B183" s="135"/>
      <c r="C183" s="135"/>
      <c r="D183" s="45" t="s">
        <v>372</v>
      </c>
      <c r="E183" s="38"/>
      <c r="F183" s="135"/>
      <c r="G183" s="135"/>
    </row>
    <row r="184" spans="1:7" ht="15" customHeight="1" x14ac:dyDescent="0.15">
      <c r="A184" s="135"/>
      <c r="B184" s="135"/>
      <c r="C184" s="135"/>
      <c r="D184" s="45" t="s">
        <v>417</v>
      </c>
      <c r="E184" s="38"/>
      <c r="F184" s="135"/>
      <c r="G184" s="135"/>
    </row>
    <row r="185" spans="1:7" ht="15" customHeight="1" x14ac:dyDescent="0.15">
      <c r="A185" s="135"/>
      <c r="B185" s="135"/>
      <c r="C185" s="135"/>
      <c r="D185" s="45" t="s">
        <v>418</v>
      </c>
      <c r="E185" s="38"/>
      <c r="F185" s="135"/>
      <c r="G185" s="135"/>
    </row>
    <row r="186" spans="1:7" ht="15" customHeight="1" x14ac:dyDescent="0.15">
      <c r="A186" s="135"/>
      <c r="B186" s="135"/>
      <c r="C186" s="134" t="s">
        <v>419</v>
      </c>
      <c r="D186" s="38" t="s">
        <v>137</v>
      </c>
      <c r="E186" s="38"/>
      <c r="F186" s="134" t="s">
        <v>30</v>
      </c>
      <c r="G186" s="141" t="s">
        <v>441</v>
      </c>
    </row>
    <row r="187" spans="1:7" ht="15" customHeight="1" x14ac:dyDescent="0.15">
      <c r="A187" s="135"/>
      <c r="B187" s="135"/>
      <c r="C187" s="135"/>
      <c r="D187" s="38" t="s">
        <v>406</v>
      </c>
      <c r="E187" s="38"/>
      <c r="F187" s="135"/>
      <c r="G187" s="135"/>
    </row>
    <row r="188" spans="1:7" ht="15" customHeight="1" x14ac:dyDescent="0.15">
      <c r="A188" s="135"/>
      <c r="B188" s="135"/>
      <c r="C188" s="135"/>
      <c r="D188" s="45" t="s">
        <v>121</v>
      </c>
      <c r="E188" s="38"/>
      <c r="F188" s="135"/>
      <c r="G188" s="135"/>
    </row>
    <row r="189" spans="1:7" ht="15" customHeight="1" x14ac:dyDescent="0.15">
      <c r="A189" s="135"/>
      <c r="B189" s="135"/>
      <c r="C189" s="135"/>
      <c r="D189" s="45" t="s">
        <v>421</v>
      </c>
      <c r="E189" s="38"/>
      <c r="F189" s="135"/>
      <c r="G189" s="135"/>
    </row>
    <row r="190" spans="1:7" ht="15" customHeight="1" x14ac:dyDescent="0.15">
      <c r="A190" s="135"/>
      <c r="B190" s="135"/>
      <c r="C190" s="135"/>
      <c r="D190" s="45" t="s">
        <v>420</v>
      </c>
      <c r="E190" s="38"/>
      <c r="F190" s="135"/>
      <c r="G190" s="135"/>
    </row>
    <row r="191" spans="1:7" ht="15" customHeight="1" x14ac:dyDescent="0.15">
      <c r="A191" s="135"/>
      <c r="B191" s="135"/>
      <c r="C191" s="135"/>
      <c r="D191" s="45" t="s">
        <v>422</v>
      </c>
      <c r="E191" s="38"/>
      <c r="F191" s="135"/>
      <c r="G191" s="135"/>
    </row>
    <row r="192" spans="1:7" ht="15" customHeight="1" x14ac:dyDescent="0.15">
      <c r="A192" s="135"/>
      <c r="B192" s="135"/>
      <c r="C192" s="135"/>
      <c r="D192" s="45" t="s">
        <v>423</v>
      </c>
      <c r="E192" s="38"/>
      <c r="F192" s="135"/>
      <c r="G192" s="135"/>
    </row>
    <row r="193" spans="1:10" ht="15" customHeight="1" x14ac:dyDescent="0.15">
      <c r="A193" s="135"/>
      <c r="B193" s="135"/>
      <c r="C193" s="135"/>
      <c r="D193" s="45" t="s">
        <v>424</v>
      </c>
      <c r="E193" s="38"/>
      <c r="F193" s="135"/>
      <c r="G193" s="135"/>
    </row>
    <row r="194" spans="1:10" ht="15" customHeight="1" x14ac:dyDescent="0.15">
      <c r="A194" s="135"/>
      <c r="B194" s="135"/>
      <c r="C194" s="135"/>
      <c r="D194" s="45" t="s">
        <v>425</v>
      </c>
      <c r="E194" s="38"/>
      <c r="F194" s="135"/>
      <c r="G194" s="135"/>
    </row>
    <row r="195" spans="1:10" ht="15" customHeight="1" x14ac:dyDescent="0.15">
      <c r="A195" s="135"/>
      <c r="B195" s="135"/>
      <c r="C195" s="135"/>
      <c r="D195" s="45" t="s">
        <v>363</v>
      </c>
      <c r="E195" s="38"/>
      <c r="F195" s="135"/>
      <c r="G195" s="135"/>
    </row>
    <row r="196" spans="1:10" ht="15" customHeight="1" x14ac:dyDescent="0.15">
      <c r="A196" s="135"/>
      <c r="B196" s="130" t="s">
        <v>31</v>
      </c>
      <c r="C196" s="129"/>
      <c r="D196" s="129"/>
      <c r="E196" s="129"/>
      <c r="F196" s="129"/>
      <c r="G196" s="107"/>
    </row>
    <row r="197" spans="1:10" ht="15" customHeight="1" x14ac:dyDescent="0.15">
      <c r="A197" s="135"/>
      <c r="B197" s="139" t="s">
        <v>32</v>
      </c>
      <c r="C197" s="31" t="s">
        <v>18</v>
      </c>
      <c r="D197" s="31" t="s">
        <v>33</v>
      </c>
      <c r="E197" s="31" t="s">
        <v>34</v>
      </c>
      <c r="F197" s="31" t="s">
        <v>35</v>
      </c>
      <c r="G197" s="31" t="s">
        <v>36</v>
      </c>
    </row>
    <row r="198" spans="1:10" ht="15" customHeight="1" x14ac:dyDescent="0.15">
      <c r="A198" s="135"/>
      <c r="B198" s="136"/>
      <c r="C198" s="42" t="s">
        <v>37</v>
      </c>
      <c r="D198" s="45" t="s">
        <v>507</v>
      </c>
      <c r="E198" s="45"/>
      <c r="F198" s="45"/>
      <c r="G198" s="45"/>
    </row>
    <row r="199" spans="1:10" ht="15" customHeight="1" x14ac:dyDescent="0.15">
      <c r="A199" s="135"/>
      <c r="B199" s="130" t="s">
        <v>38</v>
      </c>
      <c r="C199" s="129"/>
      <c r="D199" s="129"/>
      <c r="E199" s="129"/>
      <c r="F199" s="129"/>
      <c r="G199" s="107"/>
    </row>
    <row r="200" spans="1:10" ht="15" customHeight="1" x14ac:dyDescent="0.15">
      <c r="A200" s="135"/>
      <c r="B200" s="43" t="s">
        <v>39</v>
      </c>
      <c r="C200" s="130" t="s">
        <v>40</v>
      </c>
      <c r="D200" s="129"/>
      <c r="E200" s="107"/>
      <c r="F200" s="32" t="s">
        <v>41</v>
      </c>
      <c r="G200" s="32" t="s">
        <v>42</v>
      </c>
    </row>
    <row r="201" spans="1:10" ht="15" customHeight="1" x14ac:dyDescent="0.15">
      <c r="A201" s="135"/>
      <c r="B201" s="33" t="s">
        <v>442</v>
      </c>
      <c r="C201" s="137" t="s">
        <v>444</v>
      </c>
      <c r="D201" s="129"/>
      <c r="E201" s="107"/>
      <c r="F201" s="39" t="s">
        <v>443</v>
      </c>
      <c r="G201" s="34" t="s">
        <v>450</v>
      </c>
    </row>
    <row r="202" spans="1:10" ht="15" customHeight="1" x14ac:dyDescent="0.15">
      <c r="A202" s="135"/>
      <c r="B202" s="138" t="s">
        <v>43</v>
      </c>
      <c r="C202" s="129"/>
      <c r="D202" s="129"/>
      <c r="E202" s="129"/>
      <c r="F202" s="129"/>
      <c r="G202" s="107"/>
    </row>
    <row r="203" spans="1:10" ht="15" customHeight="1" x14ac:dyDescent="0.15">
      <c r="A203" s="135"/>
      <c r="B203" s="31" t="s">
        <v>39</v>
      </c>
      <c r="C203" s="31" t="s">
        <v>44</v>
      </c>
      <c r="D203" s="31" t="s">
        <v>18</v>
      </c>
      <c r="E203" s="31" t="s">
        <v>45</v>
      </c>
      <c r="F203" s="31" t="s">
        <v>46</v>
      </c>
      <c r="G203" s="31" t="s">
        <v>47</v>
      </c>
      <c r="H203" s="31" t="s">
        <v>513</v>
      </c>
      <c r="I203" s="31" t="s">
        <v>514</v>
      </c>
      <c r="J203" s="31" t="s">
        <v>515</v>
      </c>
    </row>
    <row r="204" spans="1:10" ht="15" customHeight="1" x14ac:dyDescent="0.15">
      <c r="A204" s="135"/>
      <c r="B204" s="35" t="s">
        <v>442</v>
      </c>
      <c r="C204" s="35" t="s">
        <v>444</v>
      </c>
      <c r="D204" s="35" t="s">
        <v>450</v>
      </c>
      <c r="E204" s="35" t="s">
        <v>445</v>
      </c>
      <c r="F204" s="35" t="s">
        <v>905</v>
      </c>
      <c r="G204" s="35" t="s">
        <v>454</v>
      </c>
      <c r="H204" s="35" t="s">
        <v>141</v>
      </c>
      <c r="I204" s="35" t="s">
        <v>512</v>
      </c>
      <c r="J204" s="35" t="s">
        <v>516</v>
      </c>
    </row>
    <row r="205" spans="1:10" ht="15" customHeight="1" x14ac:dyDescent="0.15">
      <c r="A205" s="134" t="s">
        <v>457</v>
      </c>
      <c r="B205" s="128" t="s">
        <v>23</v>
      </c>
      <c r="C205" s="129"/>
      <c r="D205" s="129"/>
      <c r="E205" s="129"/>
      <c r="F205" s="129"/>
      <c r="G205" s="107"/>
    </row>
    <row r="206" spans="1:10" ht="15" customHeight="1" x14ac:dyDescent="0.15">
      <c r="A206" s="135"/>
      <c r="B206" s="130" t="s">
        <v>24</v>
      </c>
      <c r="C206" s="129"/>
      <c r="D206" s="129"/>
      <c r="E206" s="129"/>
      <c r="F206" s="129"/>
      <c r="G206" s="107"/>
    </row>
    <row r="207" spans="1:10" ht="15" customHeight="1" x14ac:dyDescent="0.15">
      <c r="A207" s="135"/>
      <c r="B207" s="139" t="s">
        <v>25</v>
      </c>
      <c r="C207" s="37" t="s">
        <v>18</v>
      </c>
      <c r="D207" s="37" t="s">
        <v>26</v>
      </c>
      <c r="E207" s="37" t="s">
        <v>27</v>
      </c>
      <c r="F207" s="32" t="s">
        <v>28</v>
      </c>
      <c r="G207" s="32" t="s">
        <v>29</v>
      </c>
    </row>
    <row r="208" spans="1:10" ht="15" customHeight="1" x14ac:dyDescent="0.15">
      <c r="A208" s="135"/>
      <c r="B208" s="135"/>
      <c r="C208" s="134" t="s">
        <v>270</v>
      </c>
      <c r="D208" s="45" t="s">
        <v>137</v>
      </c>
      <c r="E208" s="45"/>
      <c r="F208" s="134" t="s">
        <v>30</v>
      </c>
      <c r="G208" s="141" t="s">
        <v>464</v>
      </c>
    </row>
    <row r="209" spans="1:7" ht="15" customHeight="1" x14ac:dyDescent="0.15">
      <c r="A209" s="135"/>
      <c r="B209" s="135"/>
      <c r="C209" s="140"/>
      <c r="D209" s="45" t="s">
        <v>362</v>
      </c>
      <c r="E209" s="45"/>
      <c r="F209" s="135"/>
      <c r="G209" s="135"/>
    </row>
    <row r="210" spans="1:7" ht="15" customHeight="1" x14ac:dyDescent="0.15">
      <c r="A210" s="135"/>
      <c r="B210" s="135"/>
      <c r="C210" s="134" t="s">
        <v>364</v>
      </c>
      <c r="D210" s="38" t="s">
        <v>137</v>
      </c>
      <c r="E210" s="38"/>
      <c r="F210" s="134" t="s">
        <v>30</v>
      </c>
      <c r="G210" s="141" t="s">
        <v>484</v>
      </c>
    </row>
    <row r="211" spans="1:7" ht="15" customHeight="1" x14ac:dyDescent="0.15">
      <c r="A211" s="135"/>
      <c r="B211" s="135"/>
      <c r="C211" s="142"/>
      <c r="D211" s="38" t="s">
        <v>362</v>
      </c>
      <c r="E211" s="38"/>
      <c r="F211" s="142"/>
      <c r="G211" s="143"/>
    </row>
    <row r="212" spans="1:7" ht="15" customHeight="1" x14ac:dyDescent="0.15">
      <c r="A212" s="135"/>
      <c r="B212" s="135"/>
      <c r="C212" s="142"/>
      <c r="D212" s="45" t="s">
        <v>365</v>
      </c>
      <c r="E212" s="45"/>
      <c r="F212" s="142"/>
      <c r="G212" s="143"/>
    </row>
    <row r="213" spans="1:7" ht="15" customHeight="1" x14ac:dyDescent="0.15">
      <c r="A213" s="135"/>
      <c r="B213" s="135"/>
      <c r="C213" s="140"/>
      <c r="D213" s="38" t="s">
        <v>367</v>
      </c>
      <c r="E213" s="45"/>
      <c r="F213" s="135"/>
      <c r="G213" s="135"/>
    </row>
    <row r="214" spans="1:7" ht="15" customHeight="1" x14ac:dyDescent="0.15">
      <c r="A214" s="135"/>
      <c r="B214" s="135"/>
      <c r="C214" s="134" t="s">
        <v>368</v>
      </c>
      <c r="D214" s="38" t="s">
        <v>137</v>
      </c>
      <c r="E214" s="38"/>
      <c r="F214" s="134" t="s">
        <v>30</v>
      </c>
      <c r="G214" s="141" t="s">
        <v>485</v>
      </c>
    </row>
    <row r="215" spans="1:7" ht="15" customHeight="1" x14ac:dyDescent="0.15">
      <c r="A215" s="135"/>
      <c r="B215" s="135"/>
      <c r="C215" s="135"/>
      <c r="D215" s="38" t="s">
        <v>362</v>
      </c>
      <c r="E215" s="38"/>
      <c r="F215" s="135"/>
      <c r="G215" s="135"/>
    </row>
    <row r="216" spans="1:7" ht="15" customHeight="1" x14ac:dyDescent="0.15">
      <c r="A216" s="135"/>
      <c r="B216" s="135"/>
      <c r="C216" s="135"/>
      <c r="D216" s="45" t="s">
        <v>134</v>
      </c>
      <c r="E216" s="38"/>
      <c r="F216" s="135"/>
      <c r="G216" s="135"/>
    </row>
    <row r="217" spans="1:7" ht="15" customHeight="1" x14ac:dyDescent="0.15">
      <c r="A217" s="135"/>
      <c r="B217" s="135"/>
      <c r="C217" s="135"/>
      <c r="D217" s="45" t="s">
        <v>369</v>
      </c>
      <c r="E217" s="38"/>
      <c r="F217" s="135"/>
      <c r="G217" s="135"/>
    </row>
    <row r="218" spans="1:7" ht="15" customHeight="1" x14ac:dyDescent="0.15">
      <c r="A218" s="135"/>
      <c r="B218" s="135"/>
      <c r="C218" s="135"/>
      <c r="D218" s="45" t="s">
        <v>135</v>
      </c>
      <c r="E218" s="38"/>
      <c r="F218" s="135"/>
      <c r="G218" s="135"/>
    </row>
    <row r="219" spans="1:7" ht="15" customHeight="1" x14ac:dyDescent="0.15">
      <c r="A219" s="135"/>
      <c r="B219" s="135"/>
      <c r="C219" s="135"/>
      <c r="D219" s="45" t="s">
        <v>370</v>
      </c>
      <c r="E219" s="38"/>
      <c r="F219" s="135"/>
      <c r="G219" s="135"/>
    </row>
    <row r="220" spans="1:7" ht="15" customHeight="1" x14ac:dyDescent="0.15">
      <c r="A220" s="135"/>
      <c r="B220" s="135"/>
      <c r="C220" s="135"/>
      <c r="D220" s="45" t="s">
        <v>371</v>
      </c>
      <c r="E220" s="38"/>
      <c r="F220" s="135"/>
      <c r="G220" s="135"/>
    </row>
    <row r="221" spans="1:7" ht="15" customHeight="1" x14ac:dyDescent="0.15">
      <c r="A221" s="135"/>
      <c r="B221" s="135"/>
      <c r="C221" s="135"/>
      <c r="D221" s="45" t="s">
        <v>372</v>
      </c>
      <c r="E221" s="38"/>
      <c r="F221" s="135"/>
      <c r="G221" s="135"/>
    </row>
    <row r="222" spans="1:7" ht="15" customHeight="1" x14ac:dyDescent="0.15">
      <c r="A222" s="135"/>
      <c r="B222" s="135"/>
      <c r="C222" s="135"/>
      <c r="D222" s="45" t="s">
        <v>373</v>
      </c>
      <c r="E222" s="38"/>
      <c r="F222" s="135"/>
      <c r="G222" s="135"/>
    </row>
    <row r="223" spans="1:7" ht="15" customHeight="1" x14ac:dyDescent="0.15">
      <c r="A223" s="135"/>
      <c r="B223" s="135"/>
      <c r="C223" s="135"/>
      <c r="D223" s="45" t="s">
        <v>376</v>
      </c>
      <c r="E223" s="38"/>
      <c r="F223" s="135"/>
      <c r="G223" s="135"/>
    </row>
    <row r="224" spans="1:7" ht="15" customHeight="1" x14ac:dyDescent="0.15">
      <c r="A224" s="135"/>
      <c r="B224" s="135"/>
      <c r="C224" s="135"/>
      <c r="D224" s="45" t="s">
        <v>378</v>
      </c>
      <c r="E224" s="38"/>
      <c r="F224" s="135"/>
      <c r="G224" s="135"/>
    </row>
    <row r="225" spans="1:7" ht="15" customHeight="1" x14ac:dyDescent="0.15">
      <c r="A225" s="135"/>
      <c r="B225" s="135"/>
      <c r="C225" s="134" t="s">
        <v>381</v>
      </c>
      <c r="D225" s="38" t="s">
        <v>137</v>
      </c>
      <c r="E225" s="38"/>
      <c r="F225" s="134" t="s">
        <v>30</v>
      </c>
      <c r="G225" s="141" t="s">
        <v>486</v>
      </c>
    </row>
    <row r="226" spans="1:7" ht="15" customHeight="1" x14ac:dyDescent="0.15">
      <c r="A226" s="135"/>
      <c r="B226" s="135"/>
      <c r="C226" s="135"/>
      <c r="D226" s="38" t="s">
        <v>362</v>
      </c>
      <c r="E226" s="38"/>
      <c r="F226" s="135"/>
      <c r="G226" s="135"/>
    </row>
    <row r="227" spans="1:7" ht="15" customHeight="1" x14ac:dyDescent="0.15">
      <c r="A227" s="135"/>
      <c r="B227" s="135"/>
      <c r="C227" s="135"/>
      <c r="D227" s="45" t="s">
        <v>134</v>
      </c>
      <c r="E227" s="38"/>
      <c r="F227" s="135"/>
      <c r="G227" s="135"/>
    </row>
    <row r="228" spans="1:7" ht="15" customHeight="1" x14ac:dyDescent="0.15">
      <c r="A228" s="135"/>
      <c r="B228" s="135"/>
      <c r="C228" s="135"/>
      <c r="D228" s="45" t="s">
        <v>369</v>
      </c>
      <c r="E228" s="38"/>
      <c r="F228" s="135"/>
      <c r="G228" s="135"/>
    </row>
    <row r="229" spans="1:7" ht="15" customHeight="1" x14ac:dyDescent="0.15">
      <c r="A229" s="135"/>
      <c r="B229" s="135"/>
      <c r="C229" s="135"/>
      <c r="D229" s="45" t="s">
        <v>135</v>
      </c>
      <c r="E229" s="38"/>
      <c r="F229" s="135"/>
      <c r="G229" s="135"/>
    </row>
    <row r="230" spans="1:7" ht="15" customHeight="1" x14ac:dyDescent="0.15">
      <c r="A230" s="135"/>
      <c r="B230" s="135"/>
      <c r="C230" s="135"/>
      <c r="D230" s="45" t="s">
        <v>370</v>
      </c>
      <c r="E230" s="38"/>
      <c r="F230" s="135"/>
      <c r="G230" s="135"/>
    </row>
    <row r="231" spans="1:7" ht="15" customHeight="1" x14ac:dyDescent="0.15">
      <c r="A231" s="135"/>
      <c r="B231" s="135"/>
      <c r="C231" s="135"/>
      <c r="D231" s="45" t="s">
        <v>371</v>
      </c>
      <c r="E231" s="38"/>
      <c r="F231" s="135"/>
      <c r="G231" s="135"/>
    </row>
    <row r="232" spans="1:7" ht="15" customHeight="1" x14ac:dyDescent="0.15">
      <c r="A232" s="135"/>
      <c r="B232" s="135"/>
      <c r="C232" s="135"/>
      <c r="D232" s="45" t="s">
        <v>372</v>
      </c>
      <c r="E232" s="38"/>
      <c r="F232" s="135"/>
      <c r="G232" s="135"/>
    </row>
    <row r="233" spans="1:7" ht="15" customHeight="1" x14ac:dyDescent="0.15">
      <c r="A233" s="135"/>
      <c r="B233" s="135"/>
      <c r="C233" s="135"/>
      <c r="D233" s="45" t="s">
        <v>380</v>
      </c>
      <c r="E233" s="38"/>
      <c r="F233" s="135"/>
      <c r="G233" s="135"/>
    </row>
    <row r="234" spans="1:7" ht="15" customHeight="1" x14ac:dyDescent="0.15">
      <c r="A234" s="135"/>
      <c r="B234" s="135"/>
      <c r="C234" s="135"/>
      <c r="D234" s="45" t="s">
        <v>382</v>
      </c>
      <c r="E234" s="38"/>
      <c r="F234" s="135"/>
      <c r="G234" s="135"/>
    </row>
    <row r="235" spans="1:7" ht="15" customHeight="1" x14ac:dyDescent="0.15">
      <c r="A235" s="135"/>
      <c r="B235" s="135"/>
      <c r="C235" s="135"/>
      <c r="D235" s="45" t="s">
        <v>384</v>
      </c>
      <c r="E235" s="38"/>
      <c r="F235" s="135"/>
      <c r="G235" s="135"/>
    </row>
    <row r="236" spans="1:7" ht="15" customHeight="1" x14ac:dyDescent="0.15">
      <c r="A236" s="135"/>
      <c r="B236" s="135"/>
      <c r="C236" s="135"/>
      <c r="D236" s="45" t="s">
        <v>378</v>
      </c>
      <c r="E236" s="38"/>
      <c r="F236" s="135"/>
      <c r="G236" s="135"/>
    </row>
    <row r="237" spans="1:7" ht="15" customHeight="1" x14ac:dyDescent="0.15">
      <c r="A237" s="135"/>
      <c r="B237" s="135"/>
      <c r="C237" s="134" t="s">
        <v>379</v>
      </c>
      <c r="D237" s="38" t="s">
        <v>137</v>
      </c>
      <c r="E237" s="38"/>
      <c r="F237" s="134" t="s">
        <v>30</v>
      </c>
      <c r="G237" s="141" t="s">
        <v>487</v>
      </c>
    </row>
    <row r="238" spans="1:7" ht="15" customHeight="1" x14ac:dyDescent="0.15">
      <c r="A238" s="135"/>
      <c r="B238" s="135"/>
      <c r="C238" s="135"/>
      <c r="D238" s="38" t="s">
        <v>362</v>
      </c>
      <c r="E238" s="38"/>
      <c r="F238" s="135"/>
      <c r="G238" s="135"/>
    </row>
    <row r="239" spans="1:7" ht="15" customHeight="1" x14ac:dyDescent="0.15">
      <c r="A239" s="135"/>
      <c r="B239" s="135"/>
      <c r="C239" s="135"/>
      <c r="D239" s="45" t="s">
        <v>134</v>
      </c>
      <c r="E239" s="38"/>
      <c r="F239" s="135"/>
      <c r="G239" s="135"/>
    </row>
    <row r="240" spans="1:7" ht="15" customHeight="1" x14ac:dyDescent="0.15">
      <c r="A240" s="135"/>
      <c r="B240" s="135"/>
      <c r="C240" s="135"/>
      <c r="D240" s="45" t="s">
        <v>369</v>
      </c>
      <c r="E240" s="38"/>
      <c r="F240" s="135"/>
      <c r="G240" s="135"/>
    </row>
    <row r="241" spans="1:7" ht="15" customHeight="1" x14ac:dyDescent="0.15">
      <c r="A241" s="135"/>
      <c r="B241" s="135"/>
      <c r="C241" s="135"/>
      <c r="D241" s="45" t="s">
        <v>135</v>
      </c>
      <c r="E241" s="38"/>
      <c r="F241" s="135"/>
      <c r="G241" s="135"/>
    </row>
    <row r="242" spans="1:7" ht="15" customHeight="1" x14ac:dyDescent="0.15">
      <c r="A242" s="135"/>
      <c r="B242" s="135"/>
      <c r="C242" s="135"/>
      <c r="D242" s="45" t="s">
        <v>370</v>
      </c>
      <c r="E242" s="38"/>
      <c r="F242" s="135"/>
      <c r="G242" s="135"/>
    </row>
    <row r="243" spans="1:7" ht="15" customHeight="1" x14ac:dyDescent="0.15">
      <c r="A243" s="135"/>
      <c r="B243" s="135"/>
      <c r="C243" s="135"/>
      <c r="D243" s="45" t="s">
        <v>371</v>
      </c>
      <c r="E243" s="38"/>
      <c r="F243" s="135"/>
      <c r="G243" s="135"/>
    </row>
    <row r="244" spans="1:7" ht="15" customHeight="1" x14ac:dyDescent="0.15">
      <c r="A244" s="135"/>
      <c r="B244" s="135"/>
      <c r="C244" s="135"/>
      <c r="D244" s="45" t="s">
        <v>372</v>
      </c>
      <c r="E244" s="38"/>
      <c r="F244" s="135"/>
      <c r="G244" s="135"/>
    </row>
    <row r="245" spans="1:7" ht="15" customHeight="1" x14ac:dyDescent="0.15">
      <c r="A245" s="135"/>
      <c r="B245" s="135"/>
      <c r="C245" s="135"/>
      <c r="D245" s="45" t="s">
        <v>378</v>
      </c>
      <c r="E245" s="38"/>
      <c r="F245" s="135"/>
      <c r="G245" s="135"/>
    </row>
    <row r="246" spans="1:7" ht="15" customHeight="1" x14ac:dyDescent="0.15">
      <c r="A246" s="135"/>
      <c r="B246" s="135"/>
      <c r="C246" s="134" t="s">
        <v>388</v>
      </c>
      <c r="D246" s="38" t="s">
        <v>137</v>
      </c>
      <c r="E246" s="38"/>
      <c r="F246" s="134" t="s">
        <v>30</v>
      </c>
      <c r="G246" s="141" t="s">
        <v>488</v>
      </c>
    </row>
    <row r="247" spans="1:7" ht="15" customHeight="1" x14ac:dyDescent="0.15">
      <c r="A247" s="135"/>
      <c r="B247" s="135"/>
      <c r="C247" s="135"/>
      <c r="D247" s="38" t="s">
        <v>362</v>
      </c>
      <c r="E247" s="38"/>
      <c r="F247" s="135"/>
      <c r="G247" s="135"/>
    </row>
    <row r="248" spans="1:7" ht="15" customHeight="1" x14ac:dyDescent="0.15">
      <c r="A248" s="135"/>
      <c r="B248" s="135"/>
      <c r="C248" s="135"/>
      <c r="D248" s="45" t="s">
        <v>134</v>
      </c>
      <c r="E248" s="38"/>
      <c r="F248" s="135"/>
      <c r="G248" s="135"/>
    </row>
    <row r="249" spans="1:7" ht="15" customHeight="1" x14ac:dyDescent="0.15">
      <c r="A249" s="135"/>
      <c r="B249" s="135"/>
      <c r="C249" s="135"/>
      <c r="D249" s="45" t="s">
        <v>369</v>
      </c>
      <c r="E249" s="38"/>
      <c r="F249" s="135"/>
      <c r="G249" s="135"/>
    </row>
    <row r="250" spans="1:7" ht="15" customHeight="1" x14ac:dyDescent="0.15">
      <c r="A250" s="135"/>
      <c r="B250" s="135"/>
      <c r="C250" s="135"/>
      <c r="D250" s="45" t="s">
        <v>135</v>
      </c>
      <c r="E250" s="38"/>
      <c r="F250" s="135"/>
      <c r="G250" s="135"/>
    </row>
    <row r="251" spans="1:7" ht="15" customHeight="1" x14ac:dyDescent="0.15">
      <c r="A251" s="135"/>
      <c r="B251" s="135"/>
      <c r="C251" s="135"/>
      <c r="D251" s="45" t="s">
        <v>370</v>
      </c>
      <c r="E251" s="38"/>
      <c r="F251" s="135"/>
      <c r="G251" s="135"/>
    </row>
    <row r="252" spans="1:7" ht="15" customHeight="1" x14ac:dyDescent="0.15">
      <c r="A252" s="135"/>
      <c r="B252" s="135"/>
      <c r="C252" s="135"/>
      <c r="D252" s="45" t="s">
        <v>372</v>
      </c>
      <c r="E252" s="38"/>
      <c r="F252" s="135"/>
      <c r="G252" s="135"/>
    </row>
    <row r="253" spans="1:7" ht="15" customHeight="1" x14ac:dyDescent="0.15">
      <c r="A253" s="135"/>
      <c r="B253" s="135"/>
      <c r="C253" s="135"/>
      <c r="D253" s="45" t="s">
        <v>380</v>
      </c>
      <c r="E253" s="38"/>
      <c r="F253" s="135"/>
      <c r="G253" s="135"/>
    </row>
    <row r="254" spans="1:7" ht="15" customHeight="1" x14ac:dyDescent="0.15">
      <c r="A254" s="135"/>
      <c r="B254" s="135"/>
      <c r="C254" s="135"/>
      <c r="D254" s="45" t="s">
        <v>382</v>
      </c>
      <c r="E254" s="38"/>
      <c r="F254" s="135"/>
      <c r="G254" s="135"/>
    </row>
    <row r="255" spans="1:7" ht="15" customHeight="1" x14ac:dyDescent="0.15">
      <c r="A255" s="135"/>
      <c r="B255" s="135"/>
      <c r="C255" s="135"/>
      <c r="D255" s="45" t="s">
        <v>378</v>
      </c>
      <c r="E255" s="38"/>
      <c r="F255" s="135"/>
      <c r="G255" s="135"/>
    </row>
    <row r="256" spans="1:7" ht="15" customHeight="1" x14ac:dyDescent="0.15">
      <c r="A256" s="135"/>
      <c r="B256" s="135"/>
      <c r="C256" s="134" t="s">
        <v>389</v>
      </c>
      <c r="D256" s="38" t="s">
        <v>137</v>
      </c>
      <c r="E256" s="38"/>
      <c r="F256" s="134" t="s">
        <v>30</v>
      </c>
      <c r="G256" s="141" t="s">
        <v>489</v>
      </c>
    </row>
    <row r="257" spans="1:7" ht="15" customHeight="1" x14ac:dyDescent="0.15">
      <c r="A257" s="135"/>
      <c r="B257" s="135"/>
      <c r="C257" s="135"/>
      <c r="D257" s="38" t="s">
        <v>362</v>
      </c>
      <c r="E257" s="38"/>
      <c r="F257" s="135"/>
      <c r="G257" s="135"/>
    </row>
    <row r="258" spans="1:7" ht="15" customHeight="1" x14ac:dyDescent="0.15">
      <c r="A258" s="135"/>
      <c r="B258" s="135"/>
      <c r="C258" s="135"/>
      <c r="D258" s="45" t="s">
        <v>134</v>
      </c>
      <c r="E258" s="38"/>
      <c r="F258" s="135"/>
      <c r="G258" s="135"/>
    </row>
    <row r="259" spans="1:7" ht="15" customHeight="1" x14ac:dyDescent="0.15">
      <c r="A259" s="135"/>
      <c r="B259" s="135"/>
      <c r="C259" s="135"/>
      <c r="D259" s="45" t="s">
        <v>369</v>
      </c>
      <c r="E259" s="38"/>
      <c r="F259" s="135"/>
      <c r="G259" s="135"/>
    </row>
    <row r="260" spans="1:7" ht="15" customHeight="1" x14ac:dyDescent="0.15">
      <c r="A260" s="135"/>
      <c r="B260" s="135"/>
      <c r="C260" s="135"/>
      <c r="D260" s="45" t="s">
        <v>135</v>
      </c>
      <c r="E260" s="38"/>
      <c r="F260" s="135"/>
      <c r="G260" s="135"/>
    </row>
    <row r="261" spans="1:7" ht="15" customHeight="1" x14ac:dyDescent="0.15">
      <c r="A261" s="135"/>
      <c r="B261" s="135"/>
      <c r="C261" s="135"/>
      <c r="D261" s="45" t="s">
        <v>370</v>
      </c>
      <c r="E261" s="38"/>
      <c r="F261" s="135"/>
      <c r="G261" s="135"/>
    </row>
    <row r="262" spans="1:7" ht="15" customHeight="1" x14ac:dyDescent="0.15">
      <c r="A262" s="135"/>
      <c r="B262" s="135"/>
      <c r="C262" s="135"/>
      <c r="D262" s="45" t="s">
        <v>371</v>
      </c>
      <c r="E262" s="38"/>
      <c r="F262" s="135"/>
      <c r="G262" s="135"/>
    </row>
    <row r="263" spans="1:7" ht="15" customHeight="1" x14ac:dyDescent="0.15">
      <c r="A263" s="135"/>
      <c r="B263" s="135"/>
      <c r="C263" s="135"/>
      <c r="D263" s="45" t="s">
        <v>372</v>
      </c>
      <c r="E263" s="38"/>
      <c r="F263" s="135"/>
      <c r="G263" s="135"/>
    </row>
    <row r="264" spans="1:7" ht="15" customHeight="1" x14ac:dyDescent="0.15">
      <c r="A264" s="135"/>
      <c r="B264" s="135"/>
      <c r="C264" s="135"/>
      <c r="D264" s="45" t="s">
        <v>378</v>
      </c>
      <c r="E264" s="38"/>
      <c r="F264" s="135"/>
      <c r="G264" s="135"/>
    </row>
    <row r="265" spans="1:7" ht="15" customHeight="1" x14ac:dyDescent="0.15">
      <c r="A265" s="135"/>
      <c r="B265" s="135"/>
      <c r="C265" s="135"/>
      <c r="D265" s="45" t="s">
        <v>386</v>
      </c>
      <c r="E265" s="38"/>
      <c r="F265" s="135"/>
      <c r="G265" s="135"/>
    </row>
    <row r="266" spans="1:7" ht="15" customHeight="1" x14ac:dyDescent="0.15">
      <c r="A266" s="135"/>
      <c r="B266" s="135"/>
      <c r="C266" s="134" t="s">
        <v>392</v>
      </c>
      <c r="D266" s="38" t="s">
        <v>137</v>
      </c>
      <c r="E266" s="38"/>
      <c r="F266" s="134" t="s">
        <v>30</v>
      </c>
      <c r="G266" s="141" t="s">
        <v>490</v>
      </c>
    </row>
    <row r="267" spans="1:7" ht="15" customHeight="1" x14ac:dyDescent="0.15">
      <c r="A267" s="135"/>
      <c r="B267" s="135"/>
      <c r="C267" s="135"/>
      <c r="D267" s="38" t="s">
        <v>362</v>
      </c>
      <c r="E267" s="38"/>
      <c r="F267" s="135"/>
      <c r="G267" s="135"/>
    </row>
    <row r="268" spans="1:7" ht="15" customHeight="1" x14ac:dyDescent="0.15">
      <c r="A268" s="135"/>
      <c r="B268" s="135"/>
      <c r="C268" s="135"/>
      <c r="D268" s="45" t="s">
        <v>134</v>
      </c>
      <c r="E268" s="38"/>
      <c r="F268" s="135"/>
      <c r="G268" s="135"/>
    </row>
    <row r="269" spans="1:7" ht="15" customHeight="1" x14ac:dyDescent="0.15">
      <c r="A269" s="135"/>
      <c r="B269" s="135"/>
      <c r="C269" s="135"/>
      <c r="D269" s="45" t="s">
        <v>369</v>
      </c>
      <c r="E269" s="38"/>
      <c r="F269" s="135"/>
      <c r="G269" s="135"/>
    </row>
    <row r="270" spans="1:7" ht="15" customHeight="1" x14ac:dyDescent="0.15">
      <c r="A270" s="135"/>
      <c r="B270" s="135"/>
      <c r="C270" s="135"/>
      <c r="D270" s="45" t="s">
        <v>135</v>
      </c>
      <c r="E270" s="38"/>
      <c r="F270" s="135"/>
      <c r="G270" s="135"/>
    </row>
    <row r="271" spans="1:7" ht="15" customHeight="1" x14ac:dyDescent="0.15">
      <c r="A271" s="135"/>
      <c r="B271" s="135"/>
      <c r="C271" s="135"/>
      <c r="D271" s="45" t="s">
        <v>370</v>
      </c>
      <c r="E271" s="38"/>
      <c r="F271" s="135"/>
      <c r="G271" s="135"/>
    </row>
    <row r="272" spans="1:7" ht="15" customHeight="1" x14ac:dyDescent="0.15">
      <c r="A272" s="135"/>
      <c r="B272" s="135"/>
      <c r="C272" s="135"/>
      <c r="D272" s="45" t="s">
        <v>371</v>
      </c>
      <c r="E272" s="38"/>
      <c r="F272" s="135"/>
      <c r="G272" s="135"/>
    </row>
    <row r="273" spans="1:7" ht="15" customHeight="1" x14ac:dyDescent="0.15">
      <c r="A273" s="135"/>
      <c r="B273" s="135"/>
      <c r="C273" s="135"/>
      <c r="D273" s="45" t="s">
        <v>393</v>
      </c>
      <c r="E273" s="38"/>
      <c r="F273" s="135"/>
      <c r="G273" s="135"/>
    </row>
    <row r="274" spans="1:7" ht="15" customHeight="1" x14ac:dyDescent="0.15">
      <c r="A274" s="135"/>
      <c r="B274" s="135"/>
      <c r="C274" s="135"/>
      <c r="D274" s="45" t="s">
        <v>375</v>
      </c>
      <c r="E274" s="38"/>
      <c r="F274" s="135"/>
      <c r="G274" s="135"/>
    </row>
    <row r="275" spans="1:7" ht="15" customHeight="1" x14ac:dyDescent="0.15">
      <c r="A275" s="135"/>
      <c r="B275" s="135"/>
      <c r="C275" s="135"/>
      <c r="D275" s="45" t="s">
        <v>378</v>
      </c>
      <c r="E275" s="38"/>
      <c r="F275" s="135"/>
      <c r="G275" s="135"/>
    </row>
    <row r="276" spans="1:7" ht="15" customHeight="1" x14ac:dyDescent="0.15">
      <c r="A276" s="135"/>
      <c r="B276" s="135"/>
      <c r="C276" s="134" t="s">
        <v>396</v>
      </c>
      <c r="D276" s="38" t="s">
        <v>137</v>
      </c>
      <c r="E276" s="38"/>
      <c r="F276" s="134" t="s">
        <v>30</v>
      </c>
      <c r="G276" s="141" t="s">
        <v>491</v>
      </c>
    </row>
    <row r="277" spans="1:7" ht="15" customHeight="1" x14ac:dyDescent="0.15">
      <c r="A277" s="135"/>
      <c r="B277" s="135"/>
      <c r="C277" s="135"/>
      <c r="D277" s="38" t="s">
        <v>362</v>
      </c>
      <c r="E277" s="38"/>
      <c r="F277" s="135"/>
      <c r="G277" s="135"/>
    </row>
    <row r="278" spans="1:7" ht="15" customHeight="1" x14ac:dyDescent="0.15">
      <c r="A278" s="135"/>
      <c r="B278" s="135"/>
      <c r="C278" s="135"/>
      <c r="D278" s="45" t="s">
        <v>134</v>
      </c>
      <c r="E278" s="38"/>
      <c r="F278" s="135"/>
      <c r="G278" s="135"/>
    </row>
    <row r="279" spans="1:7" ht="15" customHeight="1" x14ac:dyDescent="0.15">
      <c r="A279" s="135"/>
      <c r="B279" s="135"/>
      <c r="C279" s="135"/>
      <c r="D279" s="45" t="s">
        <v>369</v>
      </c>
      <c r="E279" s="38"/>
      <c r="F279" s="135"/>
      <c r="G279" s="135"/>
    </row>
    <row r="280" spans="1:7" ht="15" customHeight="1" x14ac:dyDescent="0.15">
      <c r="A280" s="135"/>
      <c r="B280" s="135"/>
      <c r="C280" s="135"/>
      <c r="D280" s="45" t="s">
        <v>135</v>
      </c>
      <c r="E280" s="38"/>
      <c r="F280" s="135"/>
      <c r="G280" s="135"/>
    </row>
    <row r="281" spans="1:7" ht="15" customHeight="1" x14ac:dyDescent="0.15">
      <c r="A281" s="135"/>
      <c r="B281" s="135"/>
      <c r="C281" s="135"/>
      <c r="D281" s="45" t="s">
        <v>370</v>
      </c>
      <c r="E281" s="38"/>
      <c r="F281" s="135"/>
      <c r="G281" s="135"/>
    </row>
    <row r="282" spans="1:7" ht="15" customHeight="1" x14ac:dyDescent="0.15">
      <c r="A282" s="135"/>
      <c r="B282" s="135"/>
      <c r="C282" s="135"/>
      <c r="D282" s="45" t="s">
        <v>371</v>
      </c>
      <c r="E282" s="38"/>
      <c r="F282" s="135"/>
      <c r="G282" s="135"/>
    </row>
    <row r="283" spans="1:7" ht="15" customHeight="1" x14ac:dyDescent="0.15">
      <c r="A283" s="135"/>
      <c r="B283" s="135"/>
      <c r="C283" s="135"/>
      <c r="D283" s="45" t="s">
        <v>378</v>
      </c>
      <c r="E283" s="38"/>
      <c r="F283" s="135"/>
      <c r="G283" s="135"/>
    </row>
    <row r="284" spans="1:7" ht="15" customHeight="1" x14ac:dyDescent="0.15">
      <c r="A284" s="135"/>
      <c r="B284" s="135"/>
      <c r="C284" s="134" t="s">
        <v>397</v>
      </c>
      <c r="D284" s="38" t="s">
        <v>137</v>
      </c>
      <c r="E284" s="38"/>
      <c r="F284" s="134" t="s">
        <v>30</v>
      </c>
      <c r="G284" s="141" t="s">
        <v>492</v>
      </c>
    </row>
    <row r="285" spans="1:7" ht="15" customHeight="1" x14ac:dyDescent="0.15">
      <c r="A285" s="135"/>
      <c r="B285" s="135"/>
      <c r="C285" s="135"/>
      <c r="D285" s="38" t="s">
        <v>362</v>
      </c>
      <c r="E285" s="38"/>
      <c r="F285" s="135"/>
      <c r="G285" s="135"/>
    </row>
    <row r="286" spans="1:7" ht="15" customHeight="1" x14ac:dyDescent="0.15">
      <c r="A286" s="135"/>
      <c r="B286" s="135"/>
      <c r="C286" s="135"/>
      <c r="D286" s="45" t="s">
        <v>134</v>
      </c>
      <c r="E286" s="38"/>
      <c r="F286" s="135"/>
      <c r="G286" s="135"/>
    </row>
    <row r="287" spans="1:7" ht="15" customHeight="1" x14ac:dyDescent="0.15">
      <c r="A287" s="135"/>
      <c r="B287" s="135"/>
      <c r="C287" s="135"/>
      <c r="D287" s="45" t="s">
        <v>369</v>
      </c>
      <c r="E287" s="38"/>
      <c r="F287" s="135"/>
      <c r="G287" s="135"/>
    </row>
    <row r="288" spans="1:7" ht="15" customHeight="1" x14ac:dyDescent="0.15">
      <c r="A288" s="135"/>
      <c r="B288" s="135"/>
      <c r="C288" s="135"/>
      <c r="D288" s="45" t="s">
        <v>135</v>
      </c>
      <c r="E288" s="38"/>
      <c r="F288" s="135"/>
      <c r="G288" s="135"/>
    </row>
    <row r="289" spans="1:7" ht="15" customHeight="1" x14ac:dyDescent="0.15">
      <c r="A289" s="135"/>
      <c r="B289" s="135"/>
      <c r="C289" s="135"/>
      <c r="D289" s="45" t="s">
        <v>370</v>
      </c>
      <c r="E289" s="38"/>
      <c r="F289" s="135"/>
      <c r="G289" s="135"/>
    </row>
    <row r="290" spans="1:7" ht="15" customHeight="1" x14ac:dyDescent="0.15">
      <c r="A290" s="135"/>
      <c r="B290" s="135"/>
      <c r="C290" s="135"/>
      <c r="D290" s="45" t="s">
        <v>371</v>
      </c>
      <c r="E290" s="38"/>
      <c r="F290" s="135"/>
      <c r="G290" s="135"/>
    </row>
    <row r="291" spans="1:7" ht="15" customHeight="1" x14ac:dyDescent="0.15">
      <c r="A291" s="135"/>
      <c r="B291" s="135"/>
      <c r="C291" s="135"/>
      <c r="D291" s="45" t="s">
        <v>372</v>
      </c>
      <c r="E291" s="38"/>
      <c r="F291" s="135"/>
      <c r="G291" s="135"/>
    </row>
    <row r="292" spans="1:7" ht="15" customHeight="1" x14ac:dyDescent="0.15">
      <c r="A292" s="135"/>
      <c r="B292" s="135"/>
      <c r="C292" s="135"/>
      <c r="D292" s="45" t="s">
        <v>390</v>
      </c>
      <c r="E292" s="38"/>
      <c r="F292" s="135"/>
      <c r="G292" s="135"/>
    </row>
    <row r="293" spans="1:7" ht="15" customHeight="1" x14ac:dyDescent="0.15">
      <c r="A293" s="135"/>
      <c r="B293" s="135"/>
      <c r="C293" s="135"/>
      <c r="D293" s="45" t="s">
        <v>378</v>
      </c>
      <c r="E293" s="38"/>
      <c r="F293" s="135"/>
      <c r="G293" s="135"/>
    </row>
    <row r="294" spans="1:7" ht="15" customHeight="1" x14ac:dyDescent="0.15">
      <c r="A294" s="135"/>
      <c r="B294" s="135"/>
      <c r="C294" s="134" t="s">
        <v>398</v>
      </c>
      <c r="D294" s="38" t="s">
        <v>137</v>
      </c>
      <c r="E294" s="38"/>
      <c r="F294" s="134" t="s">
        <v>30</v>
      </c>
      <c r="G294" s="141" t="s">
        <v>436</v>
      </c>
    </row>
    <row r="295" spans="1:7" ht="15" customHeight="1" x14ac:dyDescent="0.15">
      <c r="A295" s="135"/>
      <c r="B295" s="135"/>
      <c r="C295" s="135"/>
      <c r="D295" s="38" t="s">
        <v>362</v>
      </c>
      <c r="E295" s="38"/>
      <c r="F295" s="135"/>
      <c r="G295" s="135"/>
    </row>
    <row r="296" spans="1:7" ht="15" customHeight="1" x14ac:dyDescent="0.15">
      <c r="A296" s="135"/>
      <c r="B296" s="135"/>
      <c r="C296" s="135"/>
      <c r="D296" s="45" t="s">
        <v>134</v>
      </c>
      <c r="E296" s="38"/>
      <c r="F296" s="135"/>
      <c r="G296" s="135"/>
    </row>
    <row r="297" spans="1:7" ht="15" customHeight="1" x14ac:dyDescent="0.15">
      <c r="A297" s="135"/>
      <c r="B297" s="135"/>
      <c r="C297" s="135"/>
      <c r="D297" s="45" t="s">
        <v>369</v>
      </c>
      <c r="E297" s="38"/>
      <c r="F297" s="135"/>
      <c r="G297" s="135"/>
    </row>
    <row r="298" spans="1:7" ht="15" customHeight="1" x14ac:dyDescent="0.15">
      <c r="A298" s="135"/>
      <c r="B298" s="135"/>
      <c r="C298" s="135"/>
      <c r="D298" s="45" t="s">
        <v>135</v>
      </c>
      <c r="E298" s="38"/>
      <c r="F298" s="135"/>
      <c r="G298" s="135"/>
    </row>
    <row r="299" spans="1:7" ht="15" customHeight="1" x14ac:dyDescent="0.15">
      <c r="A299" s="135"/>
      <c r="B299" s="135"/>
      <c r="C299" s="135"/>
      <c r="D299" s="45" t="s">
        <v>370</v>
      </c>
      <c r="E299" s="38"/>
      <c r="F299" s="135"/>
      <c r="G299" s="135"/>
    </row>
    <row r="300" spans="1:7" ht="15" customHeight="1" x14ac:dyDescent="0.15">
      <c r="A300" s="135"/>
      <c r="B300" s="135"/>
      <c r="C300" s="135"/>
      <c r="D300" s="45" t="s">
        <v>399</v>
      </c>
      <c r="E300" s="38"/>
      <c r="F300" s="135"/>
      <c r="G300" s="135"/>
    </row>
    <row r="301" spans="1:7" ht="15" customHeight="1" x14ac:dyDescent="0.15">
      <c r="A301" s="135"/>
      <c r="B301" s="135"/>
      <c r="C301" s="135"/>
      <c r="D301" s="45" t="s">
        <v>400</v>
      </c>
      <c r="E301" s="38"/>
      <c r="F301" s="135"/>
      <c r="G301" s="135"/>
    </row>
    <row r="302" spans="1:7" ht="15" customHeight="1" x14ac:dyDescent="0.15">
      <c r="A302" s="135"/>
      <c r="B302" s="135"/>
      <c r="C302" s="135"/>
      <c r="D302" s="45" t="s">
        <v>401</v>
      </c>
      <c r="E302" s="38"/>
      <c r="F302" s="135"/>
      <c r="G302" s="135"/>
    </row>
    <row r="303" spans="1:7" ht="15" customHeight="1" x14ac:dyDescent="0.15">
      <c r="A303" s="135"/>
      <c r="B303" s="135"/>
      <c r="C303" s="135"/>
      <c r="D303" s="45" t="s">
        <v>402</v>
      </c>
      <c r="E303" s="38"/>
      <c r="F303" s="135"/>
      <c r="G303" s="135"/>
    </row>
    <row r="304" spans="1:7" ht="15" customHeight="1" x14ac:dyDescent="0.15">
      <c r="A304" s="135"/>
      <c r="B304" s="135"/>
      <c r="C304" s="135"/>
      <c r="D304" s="45" t="s">
        <v>139</v>
      </c>
      <c r="E304" s="38"/>
      <c r="F304" s="135"/>
      <c r="G304" s="135"/>
    </row>
    <row r="305" spans="1:7" ht="15" customHeight="1" x14ac:dyDescent="0.15">
      <c r="A305" s="135"/>
      <c r="B305" s="135"/>
      <c r="C305" s="135"/>
      <c r="D305" s="45" t="s">
        <v>403</v>
      </c>
      <c r="E305" s="38"/>
      <c r="F305" s="135"/>
      <c r="G305" s="135"/>
    </row>
    <row r="306" spans="1:7" ht="15" customHeight="1" x14ac:dyDescent="0.15">
      <c r="A306" s="135"/>
      <c r="B306" s="135"/>
      <c r="C306" s="135"/>
      <c r="D306" s="45" t="s">
        <v>133</v>
      </c>
      <c r="E306" s="38"/>
      <c r="F306" s="135"/>
      <c r="G306" s="135"/>
    </row>
    <row r="307" spans="1:7" ht="15" customHeight="1" x14ac:dyDescent="0.15">
      <c r="A307" s="135"/>
      <c r="B307" s="135"/>
      <c r="C307" s="135"/>
      <c r="D307" s="45" t="s">
        <v>378</v>
      </c>
      <c r="E307" s="38"/>
      <c r="F307" s="135"/>
      <c r="G307" s="135"/>
    </row>
    <row r="308" spans="1:7" ht="15" customHeight="1" x14ac:dyDescent="0.15">
      <c r="A308" s="135"/>
      <c r="B308" s="135"/>
      <c r="C308" s="134" t="s">
        <v>404</v>
      </c>
      <c r="D308" s="38" t="s">
        <v>137</v>
      </c>
      <c r="E308" s="38"/>
      <c r="F308" s="134" t="s">
        <v>30</v>
      </c>
      <c r="G308" s="141" t="s">
        <v>437</v>
      </c>
    </row>
    <row r="309" spans="1:7" ht="15" customHeight="1" x14ac:dyDescent="0.15">
      <c r="A309" s="135"/>
      <c r="B309" s="135"/>
      <c r="C309" s="135"/>
      <c r="D309" s="38" t="s">
        <v>362</v>
      </c>
      <c r="E309" s="38"/>
      <c r="F309" s="135"/>
      <c r="G309" s="135"/>
    </row>
    <row r="310" spans="1:7" ht="15" customHeight="1" x14ac:dyDescent="0.15">
      <c r="A310" s="135"/>
      <c r="B310" s="135"/>
      <c r="C310" s="135"/>
      <c r="D310" s="45" t="s">
        <v>134</v>
      </c>
      <c r="E310" s="38"/>
      <c r="F310" s="135"/>
      <c r="G310" s="135"/>
    </row>
    <row r="311" spans="1:7" ht="15" customHeight="1" x14ac:dyDescent="0.15">
      <c r="A311" s="135"/>
      <c r="B311" s="135"/>
      <c r="C311" s="135"/>
      <c r="D311" s="45" t="s">
        <v>369</v>
      </c>
      <c r="E311" s="38"/>
      <c r="F311" s="135"/>
      <c r="G311" s="135"/>
    </row>
    <row r="312" spans="1:7" ht="15" customHeight="1" x14ac:dyDescent="0.15">
      <c r="A312" s="135"/>
      <c r="B312" s="135"/>
      <c r="C312" s="135"/>
      <c r="D312" s="45" t="s">
        <v>135</v>
      </c>
      <c r="E312" s="38"/>
      <c r="F312" s="135"/>
      <c r="G312" s="135"/>
    </row>
    <row r="313" spans="1:7" ht="15" customHeight="1" x14ac:dyDescent="0.15">
      <c r="A313" s="135"/>
      <c r="B313" s="135"/>
      <c r="C313" s="135"/>
      <c r="D313" s="45" t="s">
        <v>370</v>
      </c>
      <c r="E313" s="38"/>
      <c r="F313" s="135"/>
      <c r="G313" s="135"/>
    </row>
    <row r="314" spans="1:7" ht="15" customHeight="1" x14ac:dyDescent="0.15">
      <c r="A314" s="135"/>
      <c r="B314" s="135"/>
      <c r="C314" s="135"/>
      <c r="D314" s="45" t="s">
        <v>399</v>
      </c>
      <c r="E314" s="38"/>
      <c r="F314" s="135"/>
      <c r="G314" s="135"/>
    </row>
    <row r="315" spans="1:7" ht="15" customHeight="1" x14ac:dyDescent="0.15">
      <c r="A315" s="135"/>
      <c r="B315" s="135"/>
      <c r="C315" s="135"/>
      <c r="D315" s="45" t="s">
        <v>400</v>
      </c>
      <c r="E315" s="38"/>
      <c r="F315" s="135"/>
      <c r="G315" s="135"/>
    </row>
    <row r="316" spans="1:7" ht="15" customHeight="1" x14ac:dyDescent="0.15">
      <c r="A316" s="135"/>
      <c r="B316" s="135"/>
      <c r="C316" s="135"/>
      <c r="D316" s="45" t="s">
        <v>401</v>
      </c>
      <c r="E316" s="38"/>
      <c r="F316" s="135"/>
      <c r="G316" s="135"/>
    </row>
    <row r="317" spans="1:7" ht="15" customHeight="1" x14ac:dyDescent="0.15">
      <c r="A317" s="135"/>
      <c r="B317" s="135"/>
      <c r="C317" s="135"/>
      <c r="D317" s="45" t="s">
        <v>402</v>
      </c>
      <c r="E317" s="38"/>
      <c r="F317" s="135"/>
      <c r="G317" s="135"/>
    </row>
    <row r="318" spans="1:7" ht="15" customHeight="1" x14ac:dyDescent="0.15">
      <c r="A318" s="135"/>
      <c r="B318" s="135"/>
      <c r="C318" s="135"/>
      <c r="D318" s="45" t="s">
        <v>139</v>
      </c>
      <c r="E318" s="38"/>
      <c r="F318" s="135"/>
      <c r="G318" s="135"/>
    </row>
    <row r="319" spans="1:7" ht="15" customHeight="1" x14ac:dyDescent="0.15">
      <c r="A319" s="135"/>
      <c r="B319" s="135"/>
      <c r="C319" s="135"/>
      <c r="D319" s="45" t="s">
        <v>403</v>
      </c>
      <c r="E319" s="38"/>
      <c r="F319" s="135"/>
      <c r="G319" s="135"/>
    </row>
    <row r="320" spans="1:7" ht="15" customHeight="1" x14ac:dyDescent="0.15">
      <c r="A320" s="135"/>
      <c r="B320" s="135"/>
      <c r="C320" s="135"/>
      <c r="D320" s="45" t="s">
        <v>133</v>
      </c>
      <c r="E320" s="38"/>
      <c r="F320" s="135"/>
      <c r="G320" s="135"/>
    </row>
    <row r="321" spans="1:7" ht="15" customHeight="1" x14ac:dyDescent="0.15">
      <c r="A321" s="135"/>
      <c r="B321" s="135"/>
      <c r="C321" s="135"/>
      <c r="D321" s="45" t="s">
        <v>378</v>
      </c>
      <c r="E321" s="38"/>
      <c r="F321" s="135"/>
      <c r="G321" s="135"/>
    </row>
    <row r="322" spans="1:7" ht="15" customHeight="1" x14ac:dyDescent="0.15">
      <c r="A322" s="135"/>
      <c r="B322" s="135"/>
      <c r="C322" s="134" t="s">
        <v>405</v>
      </c>
      <c r="D322" s="38" t="s">
        <v>137</v>
      </c>
      <c r="E322" s="38"/>
      <c r="F322" s="134" t="s">
        <v>30</v>
      </c>
      <c r="G322" s="141" t="s">
        <v>493</v>
      </c>
    </row>
    <row r="323" spans="1:7" ht="15" customHeight="1" x14ac:dyDescent="0.15">
      <c r="A323" s="135"/>
      <c r="B323" s="135"/>
      <c r="C323" s="135"/>
      <c r="D323" s="38" t="s">
        <v>406</v>
      </c>
      <c r="E323" s="38"/>
      <c r="F323" s="135"/>
      <c r="G323" s="135"/>
    </row>
    <row r="324" spans="1:7" ht="15" customHeight="1" x14ac:dyDescent="0.15">
      <c r="A324" s="135"/>
      <c r="B324" s="135"/>
      <c r="C324" s="135"/>
      <c r="D324" s="45" t="s">
        <v>407</v>
      </c>
      <c r="E324" s="38"/>
      <c r="F324" s="135"/>
      <c r="G324" s="135"/>
    </row>
    <row r="325" spans="1:7" ht="15" customHeight="1" x14ac:dyDescent="0.15">
      <c r="A325" s="135"/>
      <c r="B325" s="135"/>
      <c r="C325" s="135"/>
      <c r="D325" s="45" t="s">
        <v>408</v>
      </c>
      <c r="E325" s="38"/>
      <c r="F325" s="135"/>
      <c r="G325" s="135"/>
    </row>
    <row r="326" spans="1:7" ht="15" customHeight="1" x14ac:dyDescent="0.15">
      <c r="A326" s="135"/>
      <c r="B326" s="135"/>
      <c r="C326" s="135"/>
      <c r="D326" s="45" t="s">
        <v>362</v>
      </c>
      <c r="E326" s="38"/>
      <c r="F326" s="135"/>
      <c r="G326" s="135"/>
    </row>
    <row r="327" spans="1:7" ht="15" customHeight="1" x14ac:dyDescent="0.15">
      <c r="A327" s="135"/>
      <c r="B327" s="135"/>
      <c r="C327" s="134" t="s">
        <v>409</v>
      </c>
      <c r="D327" s="38" t="s">
        <v>137</v>
      </c>
      <c r="E327" s="38"/>
      <c r="F327" s="134" t="s">
        <v>30</v>
      </c>
      <c r="G327" s="141" t="s">
        <v>494</v>
      </c>
    </row>
    <row r="328" spans="1:7" ht="15" customHeight="1" x14ac:dyDescent="0.15">
      <c r="A328" s="135"/>
      <c r="B328" s="135"/>
      <c r="C328" s="135"/>
      <c r="D328" s="38" t="s">
        <v>406</v>
      </c>
      <c r="E328" s="38"/>
      <c r="F328" s="135"/>
      <c r="G328" s="135"/>
    </row>
    <row r="329" spans="1:7" ht="15" customHeight="1" x14ac:dyDescent="0.15">
      <c r="A329" s="135"/>
      <c r="B329" s="135"/>
      <c r="C329" s="135"/>
      <c r="D329" s="45" t="s">
        <v>407</v>
      </c>
      <c r="E329" s="38"/>
      <c r="F329" s="135"/>
      <c r="G329" s="135"/>
    </row>
    <row r="330" spans="1:7" ht="15" customHeight="1" x14ac:dyDescent="0.15">
      <c r="A330" s="135"/>
      <c r="B330" s="135"/>
      <c r="C330" s="135"/>
      <c r="D330" s="45" t="s">
        <v>408</v>
      </c>
      <c r="E330" s="38"/>
      <c r="F330" s="135"/>
      <c r="G330" s="135"/>
    </row>
    <row r="331" spans="1:7" ht="15" customHeight="1" x14ac:dyDescent="0.15">
      <c r="A331" s="135"/>
      <c r="B331" s="135"/>
      <c r="C331" s="135"/>
      <c r="D331" s="45" t="s">
        <v>369</v>
      </c>
      <c r="E331" s="38"/>
      <c r="F331" s="135"/>
      <c r="G331" s="135"/>
    </row>
    <row r="332" spans="1:7" ht="15" customHeight="1" x14ac:dyDescent="0.15">
      <c r="A332" s="135"/>
      <c r="B332" s="135"/>
      <c r="C332" s="135"/>
      <c r="D332" s="45" t="s">
        <v>370</v>
      </c>
      <c r="E332" s="38"/>
      <c r="F332" s="135"/>
      <c r="G332" s="135"/>
    </row>
    <row r="333" spans="1:7" ht="15" customHeight="1" x14ac:dyDescent="0.15">
      <c r="A333" s="135"/>
      <c r="B333" s="135"/>
      <c r="C333" s="135"/>
      <c r="D333" s="45" t="s">
        <v>410</v>
      </c>
      <c r="E333" s="38"/>
      <c r="F333" s="135"/>
      <c r="G333" s="135"/>
    </row>
    <row r="334" spans="1:7" ht="15" customHeight="1" x14ac:dyDescent="0.15">
      <c r="A334" s="135"/>
      <c r="B334" s="135"/>
      <c r="C334" s="135"/>
      <c r="D334" s="45" t="s">
        <v>403</v>
      </c>
      <c r="E334" s="38"/>
      <c r="F334" s="135"/>
      <c r="G334" s="135"/>
    </row>
    <row r="335" spans="1:7" ht="15" customHeight="1" x14ac:dyDescent="0.15">
      <c r="A335" s="135"/>
      <c r="B335" s="135"/>
      <c r="C335" s="135"/>
      <c r="D335" s="45" t="s">
        <v>411</v>
      </c>
      <c r="E335" s="38"/>
      <c r="F335" s="135"/>
      <c r="G335" s="135"/>
    </row>
    <row r="336" spans="1:7" ht="15" customHeight="1" x14ac:dyDescent="0.15">
      <c r="A336" s="135"/>
      <c r="B336" s="135"/>
      <c r="C336" s="134" t="s">
        <v>412</v>
      </c>
      <c r="D336" s="38" t="s">
        <v>137</v>
      </c>
      <c r="E336" s="38"/>
      <c r="F336" s="134" t="s">
        <v>30</v>
      </c>
      <c r="G336" s="141" t="s">
        <v>495</v>
      </c>
    </row>
    <row r="337" spans="1:7" ht="15" customHeight="1" x14ac:dyDescent="0.15">
      <c r="A337" s="135"/>
      <c r="B337" s="135"/>
      <c r="C337" s="135"/>
      <c r="D337" s="38" t="s">
        <v>413</v>
      </c>
      <c r="E337" s="38"/>
      <c r="F337" s="135"/>
      <c r="G337" s="135"/>
    </row>
    <row r="338" spans="1:7" ht="15" customHeight="1" x14ac:dyDescent="0.15">
      <c r="A338" s="135"/>
      <c r="B338" s="135"/>
      <c r="C338" s="134" t="s">
        <v>449</v>
      </c>
      <c r="D338" s="38" t="s">
        <v>137</v>
      </c>
      <c r="E338" s="38"/>
      <c r="F338" s="134" t="s">
        <v>30</v>
      </c>
      <c r="G338" s="141" t="s">
        <v>496</v>
      </c>
    </row>
    <row r="339" spans="1:7" ht="15" customHeight="1" x14ac:dyDescent="0.15">
      <c r="A339" s="135"/>
      <c r="B339" s="135"/>
      <c r="C339" s="135"/>
      <c r="D339" s="45" t="s">
        <v>407</v>
      </c>
      <c r="E339" s="38"/>
      <c r="F339" s="135"/>
      <c r="G339" s="135"/>
    </row>
    <row r="340" spans="1:7" ht="15" customHeight="1" x14ac:dyDescent="0.15">
      <c r="A340" s="135"/>
      <c r="B340" s="135"/>
      <c r="C340" s="135"/>
      <c r="D340" s="45" t="s">
        <v>408</v>
      </c>
      <c r="E340" s="38"/>
      <c r="F340" s="135"/>
      <c r="G340" s="135"/>
    </row>
    <row r="341" spans="1:7" ht="15" customHeight="1" x14ac:dyDescent="0.15">
      <c r="A341" s="135"/>
      <c r="B341" s="135"/>
      <c r="C341" s="135"/>
      <c r="D341" s="45" t="s">
        <v>369</v>
      </c>
      <c r="E341" s="38"/>
      <c r="F341" s="135"/>
      <c r="G341" s="135"/>
    </row>
    <row r="342" spans="1:7" ht="15" customHeight="1" x14ac:dyDescent="0.15">
      <c r="A342" s="135"/>
      <c r="B342" s="135"/>
      <c r="C342" s="135"/>
      <c r="D342" s="45" t="s">
        <v>370</v>
      </c>
      <c r="E342" s="38"/>
      <c r="F342" s="135"/>
      <c r="G342" s="135"/>
    </row>
    <row r="343" spans="1:7" ht="15" customHeight="1" x14ac:dyDescent="0.15">
      <c r="A343" s="135"/>
      <c r="B343" s="135"/>
      <c r="C343" s="135"/>
      <c r="D343" s="45" t="s">
        <v>403</v>
      </c>
      <c r="E343" s="38"/>
      <c r="F343" s="135"/>
      <c r="G343" s="135"/>
    </row>
    <row r="344" spans="1:7" ht="15" customHeight="1" x14ac:dyDescent="0.15">
      <c r="A344" s="135"/>
      <c r="B344" s="135"/>
      <c r="C344" s="135"/>
      <c r="D344" s="45" t="s">
        <v>372</v>
      </c>
      <c r="E344" s="38"/>
      <c r="F344" s="135"/>
      <c r="G344" s="135"/>
    </row>
    <row r="345" spans="1:7" ht="15" customHeight="1" x14ac:dyDescent="0.15">
      <c r="A345" s="135"/>
      <c r="B345" s="135"/>
      <c r="C345" s="134" t="s">
        <v>419</v>
      </c>
      <c r="D345" s="38" t="s">
        <v>137</v>
      </c>
      <c r="E345" s="38"/>
      <c r="F345" s="134" t="s">
        <v>30</v>
      </c>
      <c r="G345" s="141" t="s">
        <v>497</v>
      </c>
    </row>
    <row r="346" spans="1:7" ht="15" customHeight="1" x14ac:dyDescent="0.15">
      <c r="A346" s="135"/>
      <c r="B346" s="135"/>
      <c r="C346" s="135"/>
      <c r="D346" s="38" t="s">
        <v>406</v>
      </c>
      <c r="E346" s="38"/>
      <c r="F346" s="135"/>
      <c r="G346" s="135"/>
    </row>
    <row r="347" spans="1:7" ht="15" customHeight="1" x14ac:dyDescent="0.15">
      <c r="A347" s="135"/>
      <c r="B347" s="135"/>
      <c r="C347" s="135"/>
      <c r="D347" s="45" t="s">
        <v>121</v>
      </c>
      <c r="E347" s="38"/>
      <c r="F347" s="135"/>
      <c r="G347" s="135"/>
    </row>
    <row r="348" spans="1:7" ht="15" customHeight="1" x14ac:dyDescent="0.15">
      <c r="A348" s="135"/>
      <c r="B348" s="135"/>
      <c r="C348" s="135"/>
      <c r="D348" s="45" t="s">
        <v>421</v>
      </c>
      <c r="E348" s="38"/>
      <c r="F348" s="135"/>
      <c r="G348" s="135"/>
    </row>
    <row r="349" spans="1:7" ht="15" customHeight="1" x14ac:dyDescent="0.15">
      <c r="A349" s="135"/>
      <c r="B349" s="135"/>
      <c r="C349" s="135"/>
      <c r="D349" s="45" t="s">
        <v>420</v>
      </c>
      <c r="E349" s="38"/>
      <c r="F349" s="135"/>
      <c r="G349" s="135"/>
    </row>
    <row r="350" spans="1:7" ht="15" customHeight="1" x14ac:dyDescent="0.15">
      <c r="A350" s="135"/>
      <c r="B350" s="135"/>
      <c r="C350" s="135"/>
      <c r="D350" s="45" t="s">
        <v>422</v>
      </c>
      <c r="E350" s="38"/>
      <c r="F350" s="135"/>
      <c r="G350" s="135"/>
    </row>
    <row r="351" spans="1:7" ht="15" customHeight="1" x14ac:dyDescent="0.15">
      <c r="A351" s="135"/>
      <c r="B351" s="135"/>
      <c r="C351" s="135"/>
      <c r="D351" s="45" t="s">
        <v>423</v>
      </c>
      <c r="E351" s="38"/>
      <c r="F351" s="135"/>
      <c r="G351" s="135"/>
    </row>
    <row r="352" spans="1:7" ht="15" customHeight="1" x14ac:dyDescent="0.15">
      <c r="A352" s="135"/>
      <c r="B352" s="135"/>
      <c r="C352" s="135"/>
      <c r="D352" s="45" t="s">
        <v>424</v>
      </c>
      <c r="E352" s="38"/>
      <c r="F352" s="135"/>
      <c r="G352" s="135"/>
    </row>
    <row r="353" spans="1:10" ht="15" customHeight="1" x14ac:dyDescent="0.15">
      <c r="A353" s="135"/>
      <c r="B353" s="135"/>
      <c r="C353" s="135"/>
      <c r="D353" s="45" t="s">
        <v>425</v>
      </c>
      <c r="E353" s="38"/>
      <c r="F353" s="135"/>
      <c r="G353" s="135"/>
    </row>
    <row r="354" spans="1:10" ht="15" customHeight="1" x14ac:dyDescent="0.15">
      <c r="A354" s="135"/>
      <c r="B354" s="130" t="s">
        <v>31</v>
      </c>
      <c r="C354" s="129"/>
      <c r="D354" s="129"/>
      <c r="E354" s="129"/>
      <c r="F354" s="129"/>
      <c r="G354" s="107"/>
    </row>
    <row r="355" spans="1:10" ht="15" customHeight="1" x14ac:dyDescent="0.15">
      <c r="A355" s="135"/>
      <c r="B355" s="139" t="s">
        <v>32</v>
      </c>
      <c r="C355" s="31" t="s">
        <v>18</v>
      </c>
      <c r="D355" s="31" t="s">
        <v>33</v>
      </c>
      <c r="E355" s="31" t="s">
        <v>34</v>
      </c>
      <c r="F355" s="31" t="s">
        <v>35</v>
      </c>
      <c r="G355" s="31" t="s">
        <v>36</v>
      </c>
    </row>
    <row r="356" spans="1:10" ht="15" customHeight="1" x14ac:dyDescent="0.15">
      <c r="A356" s="135"/>
      <c r="B356" s="136"/>
      <c r="C356" s="42" t="s">
        <v>37</v>
      </c>
      <c r="D356" s="45" t="s">
        <v>507</v>
      </c>
      <c r="E356" s="45"/>
      <c r="F356" s="45"/>
      <c r="G356" s="45"/>
    </row>
    <row r="357" spans="1:10" ht="15" customHeight="1" x14ac:dyDescent="0.15">
      <c r="A357" s="135"/>
      <c r="B357" s="130" t="s">
        <v>38</v>
      </c>
      <c r="C357" s="129"/>
      <c r="D357" s="129"/>
      <c r="E357" s="129"/>
      <c r="F357" s="129"/>
      <c r="G357" s="107"/>
    </row>
    <row r="358" spans="1:10" ht="15" customHeight="1" x14ac:dyDescent="0.15">
      <c r="A358" s="135"/>
      <c r="B358" s="43" t="s">
        <v>39</v>
      </c>
      <c r="C358" s="130" t="s">
        <v>40</v>
      </c>
      <c r="D358" s="129"/>
      <c r="E358" s="107"/>
      <c r="F358" s="32" t="s">
        <v>41</v>
      </c>
      <c r="G358" s="32" t="s">
        <v>42</v>
      </c>
    </row>
    <row r="359" spans="1:10" ht="15" customHeight="1" x14ac:dyDescent="0.15">
      <c r="A359" s="135"/>
      <c r="B359" s="33" t="s">
        <v>451</v>
      </c>
      <c r="C359" s="137" t="s">
        <v>444</v>
      </c>
      <c r="D359" s="129"/>
      <c r="E359" s="107"/>
      <c r="F359" s="39" t="s">
        <v>443</v>
      </c>
      <c r="G359" s="34" t="s">
        <v>452</v>
      </c>
    </row>
    <row r="360" spans="1:10" ht="15" customHeight="1" x14ac:dyDescent="0.15">
      <c r="A360" s="135"/>
      <c r="B360" s="145" t="s">
        <v>43</v>
      </c>
      <c r="C360" s="146"/>
      <c r="D360" s="146"/>
      <c r="E360" s="146"/>
      <c r="F360" s="146"/>
      <c r="G360" s="147"/>
    </row>
    <row r="361" spans="1:10" ht="15" customHeight="1" x14ac:dyDescent="0.15">
      <c r="A361" s="135"/>
      <c r="B361" s="31" t="s">
        <v>39</v>
      </c>
      <c r="C361" s="31" t="s">
        <v>44</v>
      </c>
      <c r="D361" s="31" t="s">
        <v>18</v>
      </c>
      <c r="E361" s="31" t="s">
        <v>45</v>
      </c>
      <c r="F361" s="31" t="s">
        <v>46</v>
      </c>
      <c r="G361" s="31" t="s">
        <v>47</v>
      </c>
      <c r="H361" s="31" t="s">
        <v>513</v>
      </c>
      <c r="I361" s="31" t="s">
        <v>514</v>
      </c>
      <c r="J361" s="31" t="s">
        <v>515</v>
      </c>
    </row>
    <row r="362" spans="1:10" ht="15" customHeight="1" x14ac:dyDescent="0.15">
      <c r="A362" s="135"/>
      <c r="B362" s="35" t="s">
        <v>451</v>
      </c>
      <c r="C362" s="35" t="s">
        <v>458</v>
      </c>
      <c r="D362" s="35" t="s">
        <v>465</v>
      </c>
      <c r="E362" s="35" t="s">
        <v>445</v>
      </c>
      <c r="F362" s="35" t="s">
        <v>913</v>
      </c>
      <c r="G362" s="35" t="s">
        <v>912</v>
      </c>
      <c r="H362" s="35" t="s">
        <v>141</v>
      </c>
      <c r="I362" s="35" t="s">
        <v>512</v>
      </c>
      <c r="J362" s="35" t="s">
        <v>516</v>
      </c>
    </row>
    <row r="363" spans="1:10" ht="15" customHeight="1" x14ac:dyDescent="0.15">
      <c r="A363" s="135"/>
      <c r="B363" s="35" t="s">
        <v>453</v>
      </c>
      <c r="C363" s="35" t="s">
        <v>459</v>
      </c>
      <c r="D363" s="35" t="s">
        <v>466</v>
      </c>
      <c r="E363" s="35" t="s">
        <v>445</v>
      </c>
      <c r="F363" s="35" t="s">
        <v>916</v>
      </c>
      <c r="G363" s="35" t="s">
        <v>915</v>
      </c>
      <c r="H363" s="35" t="s">
        <v>143</v>
      </c>
      <c r="I363" s="35" t="s">
        <v>512</v>
      </c>
      <c r="J363" s="35" t="s">
        <v>516</v>
      </c>
    </row>
    <row r="364" spans="1:10" ht="15" customHeight="1" x14ac:dyDescent="0.15">
      <c r="A364" s="134" t="s">
        <v>460</v>
      </c>
      <c r="B364" s="148" t="s">
        <v>23</v>
      </c>
      <c r="C364" s="99"/>
      <c r="D364" s="99"/>
      <c r="E364" s="99"/>
      <c r="F364" s="99"/>
      <c r="G364" s="149"/>
    </row>
    <row r="365" spans="1:10" ht="15" customHeight="1" x14ac:dyDescent="0.15">
      <c r="A365" s="135"/>
      <c r="B365" s="130" t="s">
        <v>24</v>
      </c>
      <c r="C365" s="129"/>
      <c r="D365" s="129"/>
      <c r="E365" s="129"/>
      <c r="F365" s="129"/>
      <c r="G365" s="107"/>
    </row>
    <row r="366" spans="1:10" ht="15" customHeight="1" x14ac:dyDescent="0.15">
      <c r="A366" s="135"/>
      <c r="B366" s="139" t="s">
        <v>25</v>
      </c>
      <c r="C366" s="37" t="s">
        <v>18</v>
      </c>
      <c r="D366" s="37" t="s">
        <v>26</v>
      </c>
      <c r="E366" s="37" t="s">
        <v>27</v>
      </c>
      <c r="F366" s="32" t="s">
        <v>28</v>
      </c>
      <c r="G366" s="32" t="s">
        <v>29</v>
      </c>
    </row>
    <row r="367" spans="1:10" ht="15" customHeight="1" x14ac:dyDescent="0.15">
      <c r="A367" s="135"/>
      <c r="B367" s="150"/>
      <c r="C367" s="68" t="s">
        <v>270</v>
      </c>
      <c r="D367" s="33" t="s">
        <v>363</v>
      </c>
      <c r="E367" s="60"/>
      <c r="F367" s="42" t="s">
        <v>131</v>
      </c>
      <c r="G367" s="61" t="s">
        <v>467</v>
      </c>
    </row>
    <row r="368" spans="1:10" ht="15" customHeight="1" x14ac:dyDescent="0.15">
      <c r="A368" s="135"/>
      <c r="B368" s="150"/>
      <c r="C368" s="68" t="s">
        <v>364</v>
      </c>
      <c r="D368" s="33" t="s">
        <v>363</v>
      </c>
      <c r="E368" s="60"/>
      <c r="F368" s="42" t="s">
        <v>131</v>
      </c>
      <c r="G368" s="61" t="s">
        <v>468</v>
      </c>
    </row>
    <row r="369" spans="1:7" ht="15" customHeight="1" x14ac:dyDescent="0.15">
      <c r="A369" s="135"/>
      <c r="B369" s="135"/>
      <c r="C369" s="144" t="s">
        <v>368</v>
      </c>
      <c r="D369" s="45" t="s">
        <v>134</v>
      </c>
      <c r="E369" s="38"/>
      <c r="F369" s="144" t="s">
        <v>131</v>
      </c>
      <c r="G369" s="135" t="s">
        <v>469</v>
      </c>
    </row>
    <row r="370" spans="1:7" ht="15" customHeight="1" x14ac:dyDescent="0.15">
      <c r="A370" s="135"/>
      <c r="B370" s="135"/>
      <c r="C370" s="144"/>
      <c r="D370" s="45" t="s">
        <v>369</v>
      </c>
      <c r="E370" s="38"/>
      <c r="F370" s="144"/>
      <c r="G370" s="135"/>
    </row>
    <row r="371" spans="1:7" ht="15" customHeight="1" x14ac:dyDescent="0.15">
      <c r="A371" s="135"/>
      <c r="B371" s="135"/>
      <c r="C371" s="144"/>
      <c r="D371" s="45" t="s">
        <v>135</v>
      </c>
      <c r="E371" s="38"/>
      <c r="F371" s="144"/>
      <c r="G371" s="135"/>
    </row>
    <row r="372" spans="1:7" ht="15" customHeight="1" x14ac:dyDescent="0.15">
      <c r="A372" s="135"/>
      <c r="B372" s="135"/>
      <c r="C372" s="144"/>
      <c r="D372" s="45" t="s">
        <v>370</v>
      </c>
      <c r="E372" s="38"/>
      <c r="F372" s="144"/>
      <c r="G372" s="135"/>
    </row>
    <row r="373" spans="1:7" ht="15" customHeight="1" x14ac:dyDescent="0.15">
      <c r="A373" s="135"/>
      <c r="B373" s="135"/>
      <c r="C373" s="144"/>
      <c r="D373" s="45" t="s">
        <v>371</v>
      </c>
      <c r="E373" s="38"/>
      <c r="F373" s="144"/>
      <c r="G373" s="135"/>
    </row>
    <row r="374" spans="1:7" ht="15" customHeight="1" x14ac:dyDescent="0.15">
      <c r="A374" s="135"/>
      <c r="B374" s="135"/>
      <c r="C374" s="144"/>
      <c r="D374" s="45" t="s">
        <v>363</v>
      </c>
      <c r="E374" s="38"/>
      <c r="F374" s="144"/>
      <c r="G374" s="135"/>
    </row>
    <row r="375" spans="1:7" ht="15" customHeight="1" x14ac:dyDescent="0.15">
      <c r="A375" s="135"/>
      <c r="B375" s="135"/>
      <c r="C375" s="134" t="s">
        <v>381</v>
      </c>
      <c r="D375" s="45" t="s">
        <v>134</v>
      </c>
      <c r="E375" s="38"/>
      <c r="F375" s="134" t="s">
        <v>131</v>
      </c>
      <c r="G375" s="141" t="s">
        <v>470</v>
      </c>
    </row>
    <row r="376" spans="1:7" ht="15" customHeight="1" x14ac:dyDescent="0.15">
      <c r="A376" s="135"/>
      <c r="B376" s="135"/>
      <c r="C376" s="151"/>
      <c r="D376" s="45" t="s">
        <v>369</v>
      </c>
      <c r="E376" s="38"/>
      <c r="F376" s="151"/>
      <c r="G376" s="135"/>
    </row>
    <row r="377" spans="1:7" ht="15" customHeight="1" x14ac:dyDescent="0.15">
      <c r="A377" s="135"/>
      <c r="B377" s="135"/>
      <c r="C377" s="151"/>
      <c r="D377" s="45" t="s">
        <v>135</v>
      </c>
      <c r="E377" s="38"/>
      <c r="F377" s="151"/>
      <c r="G377" s="135"/>
    </row>
    <row r="378" spans="1:7" ht="15" customHeight="1" x14ac:dyDescent="0.15">
      <c r="A378" s="135"/>
      <c r="B378" s="135"/>
      <c r="C378" s="151"/>
      <c r="D378" s="45" t="s">
        <v>370</v>
      </c>
      <c r="E378" s="38"/>
      <c r="F378" s="151"/>
      <c r="G378" s="135"/>
    </row>
    <row r="379" spans="1:7" ht="15" customHeight="1" x14ac:dyDescent="0.15">
      <c r="A379" s="135"/>
      <c r="B379" s="135"/>
      <c r="C379" s="151"/>
      <c r="D379" s="45" t="s">
        <v>371</v>
      </c>
      <c r="E379" s="38"/>
      <c r="F379" s="151"/>
      <c r="G379" s="135"/>
    </row>
    <row r="380" spans="1:7" ht="15" customHeight="1" x14ac:dyDescent="0.15">
      <c r="A380" s="135"/>
      <c r="B380" s="135"/>
      <c r="C380" s="151"/>
      <c r="D380" s="45" t="s">
        <v>380</v>
      </c>
      <c r="E380" s="38"/>
      <c r="F380" s="151"/>
      <c r="G380" s="135"/>
    </row>
    <row r="381" spans="1:7" ht="15" customHeight="1" x14ac:dyDescent="0.15">
      <c r="A381" s="135"/>
      <c r="B381" s="135"/>
      <c r="C381" s="151"/>
      <c r="D381" s="45" t="s">
        <v>382</v>
      </c>
      <c r="E381" s="38"/>
      <c r="F381" s="151"/>
      <c r="G381" s="135"/>
    </row>
    <row r="382" spans="1:7" ht="15" customHeight="1" x14ac:dyDescent="0.15">
      <c r="A382" s="135"/>
      <c r="B382" s="135"/>
      <c r="C382" s="151"/>
      <c r="D382" s="45" t="s">
        <v>384</v>
      </c>
      <c r="E382" s="38"/>
      <c r="F382" s="151"/>
      <c r="G382" s="135"/>
    </row>
    <row r="383" spans="1:7" ht="15" customHeight="1" x14ac:dyDescent="0.15">
      <c r="A383" s="135"/>
      <c r="B383" s="135"/>
      <c r="C383" s="134" t="s">
        <v>379</v>
      </c>
      <c r="D383" s="45" t="s">
        <v>134</v>
      </c>
      <c r="E383" s="38"/>
      <c r="F383" s="134" t="s">
        <v>30</v>
      </c>
      <c r="G383" s="141" t="s">
        <v>471</v>
      </c>
    </row>
    <row r="384" spans="1:7" ht="15" customHeight="1" x14ac:dyDescent="0.15">
      <c r="A384" s="135"/>
      <c r="B384" s="135"/>
      <c r="C384" s="135"/>
      <c r="D384" s="45" t="s">
        <v>369</v>
      </c>
      <c r="E384" s="38"/>
      <c r="F384" s="135"/>
      <c r="G384" s="135"/>
    </row>
    <row r="385" spans="1:7" ht="15" customHeight="1" x14ac:dyDescent="0.15">
      <c r="A385" s="135"/>
      <c r="B385" s="135"/>
      <c r="C385" s="135"/>
      <c r="D385" s="45" t="s">
        <v>135</v>
      </c>
      <c r="E385" s="38"/>
      <c r="F385" s="135"/>
      <c r="G385" s="135"/>
    </row>
    <row r="386" spans="1:7" ht="15" customHeight="1" x14ac:dyDescent="0.15">
      <c r="A386" s="135"/>
      <c r="B386" s="135"/>
      <c r="C386" s="135"/>
      <c r="D386" s="45" t="s">
        <v>370</v>
      </c>
      <c r="E386" s="38"/>
      <c r="F386" s="135"/>
      <c r="G386" s="135"/>
    </row>
    <row r="387" spans="1:7" ht="15" customHeight="1" x14ac:dyDescent="0.15">
      <c r="A387" s="135"/>
      <c r="B387" s="135"/>
      <c r="C387" s="135"/>
      <c r="D387" s="45" t="s">
        <v>371</v>
      </c>
      <c r="E387" s="38"/>
      <c r="F387" s="135"/>
      <c r="G387" s="135"/>
    </row>
    <row r="388" spans="1:7" ht="15" customHeight="1" x14ac:dyDescent="0.15">
      <c r="A388" s="135"/>
      <c r="B388" s="135"/>
      <c r="C388" s="135"/>
      <c r="D388" s="45" t="s">
        <v>386</v>
      </c>
      <c r="E388" s="38"/>
      <c r="F388" s="135"/>
      <c r="G388" s="135"/>
    </row>
    <row r="389" spans="1:7" ht="15" customHeight="1" x14ac:dyDescent="0.15">
      <c r="A389" s="135"/>
      <c r="B389" s="135"/>
      <c r="C389" s="135"/>
      <c r="D389" s="45" t="s">
        <v>387</v>
      </c>
      <c r="E389" s="38"/>
      <c r="F389" s="135"/>
      <c r="G389" s="135"/>
    </row>
    <row r="390" spans="1:7" ht="15" customHeight="1" x14ac:dyDescent="0.15">
      <c r="A390" s="135"/>
      <c r="B390" s="135"/>
      <c r="C390" s="134" t="s">
        <v>388</v>
      </c>
      <c r="D390" s="45" t="s">
        <v>134</v>
      </c>
      <c r="E390" s="38"/>
      <c r="F390" s="134" t="s">
        <v>30</v>
      </c>
      <c r="G390" s="141" t="s">
        <v>472</v>
      </c>
    </row>
    <row r="391" spans="1:7" ht="15" customHeight="1" x14ac:dyDescent="0.15">
      <c r="A391" s="135"/>
      <c r="B391" s="135"/>
      <c r="C391" s="135"/>
      <c r="D391" s="45" t="s">
        <v>369</v>
      </c>
      <c r="E391" s="38"/>
      <c r="F391" s="135"/>
      <c r="G391" s="135"/>
    </row>
    <row r="392" spans="1:7" ht="15" customHeight="1" x14ac:dyDescent="0.15">
      <c r="A392" s="135"/>
      <c r="B392" s="135"/>
      <c r="C392" s="135"/>
      <c r="D392" s="45" t="s">
        <v>135</v>
      </c>
      <c r="E392" s="38"/>
      <c r="F392" s="135"/>
      <c r="G392" s="135"/>
    </row>
    <row r="393" spans="1:7" ht="15" customHeight="1" x14ac:dyDescent="0.15">
      <c r="A393" s="135"/>
      <c r="B393" s="135"/>
      <c r="C393" s="135"/>
      <c r="D393" s="45" t="s">
        <v>370</v>
      </c>
      <c r="E393" s="38"/>
      <c r="F393" s="135"/>
      <c r="G393" s="135"/>
    </row>
    <row r="394" spans="1:7" ht="15" customHeight="1" x14ac:dyDescent="0.15">
      <c r="A394" s="135"/>
      <c r="B394" s="135"/>
      <c r="C394" s="135"/>
      <c r="D394" s="45" t="s">
        <v>380</v>
      </c>
      <c r="E394" s="38"/>
      <c r="F394" s="135"/>
      <c r="G394" s="135"/>
    </row>
    <row r="395" spans="1:7" ht="15" customHeight="1" x14ac:dyDescent="0.15">
      <c r="A395" s="135"/>
      <c r="B395" s="135"/>
      <c r="C395" s="135"/>
      <c r="D395" s="45" t="s">
        <v>382</v>
      </c>
      <c r="E395" s="38"/>
      <c r="F395" s="135"/>
      <c r="G395" s="135"/>
    </row>
    <row r="396" spans="1:7" ht="15" customHeight="1" x14ac:dyDescent="0.15">
      <c r="A396" s="135"/>
      <c r="B396" s="135"/>
      <c r="C396" s="135"/>
      <c r="D396" s="45" t="s">
        <v>363</v>
      </c>
      <c r="E396" s="38"/>
      <c r="F396" s="135"/>
      <c r="G396" s="135"/>
    </row>
    <row r="397" spans="1:7" ht="15" customHeight="1" x14ac:dyDescent="0.15">
      <c r="A397" s="135"/>
      <c r="B397" s="135"/>
      <c r="C397" s="134" t="s">
        <v>389</v>
      </c>
      <c r="D397" s="45" t="s">
        <v>134</v>
      </c>
      <c r="E397" s="38"/>
      <c r="F397" s="134" t="s">
        <v>30</v>
      </c>
      <c r="G397" s="141" t="s">
        <v>473</v>
      </c>
    </row>
    <row r="398" spans="1:7" ht="15" customHeight="1" x14ac:dyDescent="0.15">
      <c r="A398" s="135"/>
      <c r="B398" s="135"/>
      <c r="C398" s="135"/>
      <c r="D398" s="45" t="s">
        <v>369</v>
      </c>
      <c r="E398" s="38"/>
      <c r="F398" s="135"/>
      <c r="G398" s="135"/>
    </row>
    <row r="399" spans="1:7" ht="15" customHeight="1" x14ac:dyDescent="0.15">
      <c r="A399" s="135"/>
      <c r="B399" s="135"/>
      <c r="C399" s="135"/>
      <c r="D399" s="45" t="s">
        <v>135</v>
      </c>
      <c r="E399" s="38"/>
      <c r="F399" s="135"/>
      <c r="G399" s="135"/>
    </row>
    <row r="400" spans="1:7" ht="15" customHeight="1" x14ac:dyDescent="0.15">
      <c r="A400" s="135"/>
      <c r="B400" s="135"/>
      <c r="C400" s="135"/>
      <c r="D400" s="45" t="s">
        <v>370</v>
      </c>
      <c r="E400" s="38"/>
      <c r="F400" s="135"/>
      <c r="G400" s="135"/>
    </row>
    <row r="401" spans="1:7" ht="15" customHeight="1" x14ac:dyDescent="0.15">
      <c r="A401" s="135"/>
      <c r="B401" s="135"/>
      <c r="C401" s="135"/>
      <c r="D401" s="45" t="s">
        <v>371</v>
      </c>
      <c r="E401" s="38"/>
      <c r="F401" s="135"/>
      <c r="G401" s="135"/>
    </row>
    <row r="402" spans="1:7" ht="15" customHeight="1" x14ac:dyDescent="0.15">
      <c r="A402" s="135"/>
      <c r="B402" s="135"/>
      <c r="C402" s="135"/>
      <c r="D402" s="45" t="s">
        <v>390</v>
      </c>
      <c r="E402" s="38"/>
      <c r="F402" s="135"/>
      <c r="G402" s="135"/>
    </row>
    <row r="403" spans="1:7" ht="15" customHeight="1" x14ac:dyDescent="0.15">
      <c r="A403" s="135"/>
      <c r="B403" s="135"/>
      <c r="C403" s="135"/>
      <c r="D403" s="45" t="s">
        <v>138</v>
      </c>
      <c r="E403" s="38"/>
      <c r="F403" s="135"/>
      <c r="G403" s="135"/>
    </row>
    <row r="404" spans="1:7" ht="15" customHeight="1" x14ac:dyDescent="0.15">
      <c r="A404" s="135"/>
      <c r="B404" s="135"/>
      <c r="C404" s="135"/>
      <c r="D404" s="45" t="s">
        <v>391</v>
      </c>
      <c r="E404" s="38"/>
      <c r="F404" s="135"/>
      <c r="G404" s="135"/>
    </row>
    <row r="405" spans="1:7" ht="15" customHeight="1" x14ac:dyDescent="0.15">
      <c r="A405" s="135"/>
      <c r="B405" s="135"/>
      <c r="C405" s="134" t="s">
        <v>392</v>
      </c>
      <c r="D405" s="45" t="s">
        <v>134</v>
      </c>
      <c r="E405" s="38"/>
      <c r="F405" s="134" t="s">
        <v>30</v>
      </c>
      <c r="G405" s="141" t="s">
        <v>474</v>
      </c>
    </row>
    <row r="406" spans="1:7" ht="15" customHeight="1" x14ac:dyDescent="0.15">
      <c r="A406" s="135"/>
      <c r="B406" s="135"/>
      <c r="C406" s="135"/>
      <c r="D406" s="45" t="s">
        <v>369</v>
      </c>
      <c r="E406" s="38"/>
      <c r="F406" s="135"/>
      <c r="G406" s="135"/>
    </row>
    <row r="407" spans="1:7" ht="15" customHeight="1" x14ac:dyDescent="0.15">
      <c r="A407" s="135"/>
      <c r="B407" s="135"/>
      <c r="C407" s="135"/>
      <c r="D407" s="45" t="s">
        <v>135</v>
      </c>
      <c r="E407" s="38"/>
      <c r="F407" s="135"/>
      <c r="G407" s="135"/>
    </row>
    <row r="408" spans="1:7" ht="15" customHeight="1" x14ac:dyDescent="0.15">
      <c r="A408" s="135"/>
      <c r="B408" s="135"/>
      <c r="C408" s="135"/>
      <c r="D408" s="45" t="s">
        <v>370</v>
      </c>
      <c r="E408" s="38"/>
      <c r="F408" s="135"/>
      <c r="G408" s="135"/>
    </row>
    <row r="409" spans="1:7" ht="15" customHeight="1" x14ac:dyDescent="0.15">
      <c r="A409" s="135"/>
      <c r="B409" s="135"/>
      <c r="C409" s="135"/>
      <c r="D409" s="45" t="s">
        <v>371</v>
      </c>
      <c r="E409" s="38"/>
      <c r="F409" s="135"/>
      <c r="G409" s="135"/>
    </row>
    <row r="410" spans="1:7" ht="15" customHeight="1" x14ac:dyDescent="0.15">
      <c r="A410" s="135"/>
      <c r="B410" s="135"/>
      <c r="C410" s="135"/>
      <c r="D410" s="45" t="s">
        <v>376</v>
      </c>
      <c r="E410" s="38"/>
      <c r="F410" s="135"/>
      <c r="G410" s="135"/>
    </row>
    <row r="411" spans="1:7" ht="15" customHeight="1" x14ac:dyDescent="0.15">
      <c r="A411" s="135"/>
      <c r="B411" s="135"/>
      <c r="C411" s="134" t="s">
        <v>396</v>
      </c>
      <c r="D411" s="45" t="s">
        <v>134</v>
      </c>
      <c r="E411" s="38"/>
      <c r="F411" s="134" t="s">
        <v>30</v>
      </c>
      <c r="G411" s="141" t="s">
        <v>475</v>
      </c>
    </row>
    <row r="412" spans="1:7" ht="15" customHeight="1" x14ac:dyDescent="0.15">
      <c r="A412" s="135"/>
      <c r="B412" s="135"/>
      <c r="C412" s="135"/>
      <c r="D412" s="45" t="s">
        <v>369</v>
      </c>
      <c r="E412" s="38"/>
      <c r="F412" s="135"/>
      <c r="G412" s="135"/>
    </row>
    <row r="413" spans="1:7" ht="15" customHeight="1" x14ac:dyDescent="0.15">
      <c r="A413" s="135"/>
      <c r="B413" s="135"/>
      <c r="C413" s="135"/>
      <c r="D413" s="45" t="s">
        <v>135</v>
      </c>
      <c r="E413" s="38"/>
      <c r="F413" s="135"/>
      <c r="G413" s="135"/>
    </row>
    <row r="414" spans="1:7" ht="15" customHeight="1" x14ac:dyDescent="0.15">
      <c r="A414" s="135"/>
      <c r="B414" s="135"/>
      <c r="C414" s="135"/>
      <c r="D414" s="45" t="s">
        <v>370</v>
      </c>
      <c r="E414" s="38"/>
      <c r="F414" s="135"/>
      <c r="G414" s="135"/>
    </row>
    <row r="415" spans="1:7" ht="15" customHeight="1" x14ac:dyDescent="0.15">
      <c r="A415" s="135"/>
      <c r="B415" s="135"/>
      <c r="C415" s="135"/>
      <c r="D415" s="45" t="s">
        <v>371</v>
      </c>
      <c r="E415" s="38"/>
      <c r="F415" s="135"/>
      <c r="G415" s="135"/>
    </row>
    <row r="416" spans="1:7" ht="15" customHeight="1" x14ac:dyDescent="0.15">
      <c r="A416" s="135"/>
      <c r="B416" s="135"/>
      <c r="C416" s="135"/>
      <c r="D416" s="45" t="s">
        <v>390</v>
      </c>
      <c r="E416" s="38"/>
      <c r="F416" s="135"/>
      <c r="G416" s="135"/>
    </row>
    <row r="417" spans="1:7" ht="15" customHeight="1" x14ac:dyDescent="0.15">
      <c r="A417" s="135"/>
      <c r="B417" s="135"/>
      <c r="C417" s="135"/>
      <c r="D417" s="45" t="s">
        <v>136</v>
      </c>
      <c r="E417" s="38"/>
      <c r="F417" s="135"/>
      <c r="G417" s="135"/>
    </row>
    <row r="418" spans="1:7" ht="15" customHeight="1" x14ac:dyDescent="0.15">
      <c r="A418" s="135"/>
      <c r="B418" s="135"/>
      <c r="C418" s="134" t="s">
        <v>397</v>
      </c>
      <c r="D418" s="45" t="s">
        <v>134</v>
      </c>
      <c r="E418" s="38"/>
      <c r="F418" s="134" t="s">
        <v>30</v>
      </c>
      <c r="G418" s="141" t="s">
        <v>476</v>
      </c>
    </row>
    <row r="419" spans="1:7" ht="15" customHeight="1" x14ac:dyDescent="0.15">
      <c r="A419" s="135"/>
      <c r="B419" s="135"/>
      <c r="C419" s="135"/>
      <c r="D419" s="45" t="s">
        <v>369</v>
      </c>
      <c r="E419" s="38"/>
      <c r="F419" s="135"/>
      <c r="G419" s="135"/>
    </row>
    <row r="420" spans="1:7" ht="15" customHeight="1" x14ac:dyDescent="0.15">
      <c r="A420" s="135"/>
      <c r="B420" s="135"/>
      <c r="C420" s="135"/>
      <c r="D420" s="45" t="s">
        <v>135</v>
      </c>
      <c r="E420" s="38"/>
      <c r="F420" s="135"/>
      <c r="G420" s="135"/>
    </row>
    <row r="421" spans="1:7" ht="15" customHeight="1" x14ac:dyDescent="0.15">
      <c r="A421" s="135"/>
      <c r="B421" s="135"/>
      <c r="C421" s="135"/>
      <c r="D421" s="45" t="s">
        <v>370</v>
      </c>
      <c r="E421" s="38"/>
      <c r="F421" s="135"/>
      <c r="G421" s="135"/>
    </row>
    <row r="422" spans="1:7" ht="15" customHeight="1" x14ac:dyDescent="0.15">
      <c r="A422" s="135"/>
      <c r="B422" s="135"/>
      <c r="C422" s="135"/>
      <c r="D422" s="45" t="s">
        <v>371</v>
      </c>
      <c r="E422" s="38"/>
      <c r="F422" s="135"/>
      <c r="G422" s="135"/>
    </row>
    <row r="423" spans="1:7" ht="15" customHeight="1" x14ac:dyDescent="0.15">
      <c r="A423" s="135"/>
      <c r="B423" s="135"/>
      <c r="C423" s="135"/>
      <c r="D423" s="45" t="s">
        <v>390</v>
      </c>
      <c r="E423" s="38"/>
      <c r="F423" s="135"/>
      <c r="G423" s="135"/>
    </row>
    <row r="424" spans="1:7" ht="15" customHeight="1" x14ac:dyDescent="0.15">
      <c r="A424" s="135"/>
      <c r="B424" s="135"/>
      <c r="C424" s="134" t="s">
        <v>398</v>
      </c>
      <c r="D424" s="45" t="s">
        <v>134</v>
      </c>
      <c r="E424" s="38"/>
      <c r="F424" s="134" t="s">
        <v>30</v>
      </c>
      <c r="G424" s="141" t="s">
        <v>477</v>
      </c>
    </row>
    <row r="425" spans="1:7" ht="15" customHeight="1" x14ac:dyDescent="0.15">
      <c r="A425" s="135"/>
      <c r="B425" s="135"/>
      <c r="C425" s="135"/>
      <c r="D425" s="45" t="s">
        <v>369</v>
      </c>
      <c r="E425" s="38"/>
      <c r="F425" s="135"/>
      <c r="G425" s="135"/>
    </row>
    <row r="426" spans="1:7" ht="15" customHeight="1" x14ac:dyDescent="0.15">
      <c r="A426" s="135"/>
      <c r="B426" s="135"/>
      <c r="C426" s="135"/>
      <c r="D426" s="45" t="s">
        <v>135</v>
      </c>
      <c r="E426" s="38"/>
      <c r="F426" s="135"/>
      <c r="G426" s="135"/>
    </row>
    <row r="427" spans="1:7" ht="15" customHeight="1" x14ac:dyDescent="0.15">
      <c r="A427" s="135"/>
      <c r="B427" s="135"/>
      <c r="C427" s="135"/>
      <c r="D427" s="45" t="s">
        <v>370</v>
      </c>
      <c r="E427" s="38"/>
      <c r="F427" s="135"/>
      <c r="G427" s="135"/>
    </row>
    <row r="428" spans="1:7" ht="15" customHeight="1" x14ac:dyDescent="0.15">
      <c r="A428" s="135"/>
      <c r="B428" s="135"/>
      <c r="C428" s="135"/>
      <c r="D428" s="45" t="s">
        <v>371</v>
      </c>
      <c r="E428" s="38"/>
      <c r="F428" s="135"/>
      <c r="G428" s="135"/>
    </row>
    <row r="429" spans="1:7" ht="15" customHeight="1" x14ac:dyDescent="0.15">
      <c r="A429" s="135"/>
      <c r="B429" s="135"/>
      <c r="C429" s="135"/>
      <c r="D429" s="45" t="s">
        <v>139</v>
      </c>
      <c r="E429" s="38"/>
      <c r="F429" s="135"/>
      <c r="G429" s="135"/>
    </row>
    <row r="430" spans="1:7" ht="15" customHeight="1" x14ac:dyDescent="0.15">
      <c r="A430" s="135"/>
      <c r="B430" s="135"/>
      <c r="C430" s="134" t="s">
        <v>404</v>
      </c>
      <c r="D430" s="45" t="s">
        <v>134</v>
      </c>
      <c r="E430" s="38"/>
      <c r="F430" s="134" t="s">
        <v>30</v>
      </c>
      <c r="G430" s="141" t="s">
        <v>478</v>
      </c>
    </row>
    <row r="431" spans="1:7" ht="15" customHeight="1" x14ac:dyDescent="0.15">
      <c r="A431" s="135"/>
      <c r="B431" s="135"/>
      <c r="C431" s="135"/>
      <c r="D431" s="45" t="s">
        <v>369</v>
      </c>
      <c r="E431" s="38"/>
      <c r="F431" s="135"/>
      <c r="G431" s="135"/>
    </row>
    <row r="432" spans="1:7" ht="15" customHeight="1" x14ac:dyDescent="0.15">
      <c r="A432" s="135"/>
      <c r="B432" s="135"/>
      <c r="C432" s="135"/>
      <c r="D432" s="45" t="s">
        <v>135</v>
      </c>
      <c r="E432" s="38"/>
      <c r="F432" s="135"/>
      <c r="G432" s="135"/>
    </row>
    <row r="433" spans="1:7" ht="15" customHeight="1" x14ac:dyDescent="0.15">
      <c r="A433" s="135"/>
      <c r="B433" s="135"/>
      <c r="C433" s="135"/>
      <c r="D433" s="45" t="s">
        <v>370</v>
      </c>
      <c r="E433" s="38"/>
      <c r="F433" s="135"/>
      <c r="G433" s="135"/>
    </row>
    <row r="434" spans="1:7" ht="15" customHeight="1" x14ac:dyDescent="0.15">
      <c r="A434" s="135"/>
      <c r="B434" s="135"/>
      <c r="C434" s="135"/>
      <c r="D434" s="45" t="s">
        <v>371</v>
      </c>
      <c r="E434" s="38"/>
      <c r="F434" s="135"/>
      <c r="G434" s="135"/>
    </row>
    <row r="435" spans="1:7" ht="15" customHeight="1" x14ac:dyDescent="0.15">
      <c r="A435" s="135"/>
      <c r="B435" s="135"/>
      <c r="C435" s="134" t="s">
        <v>405</v>
      </c>
      <c r="D435" s="45" t="s">
        <v>134</v>
      </c>
      <c r="E435" s="38"/>
      <c r="F435" s="134" t="s">
        <v>30</v>
      </c>
      <c r="G435" s="141" t="s">
        <v>479</v>
      </c>
    </row>
    <row r="436" spans="1:7" ht="15" customHeight="1" x14ac:dyDescent="0.15">
      <c r="A436" s="135"/>
      <c r="B436" s="135"/>
      <c r="C436" s="135"/>
      <c r="D436" s="45" t="s">
        <v>369</v>
      </c>
      <c r="E436" s="38"/>
      <c r="F436" s="135"/>
      <c r="G436" s="135"/>
    </row>
    <row r="437" spans="1:7" ht="15" customHeight="1" x14ac:dyDescent="0.15">
      <c r="A437" s="135"/>
      <c r="B437" s="135"/>
      <c r="C437" s="135"/>
      <c r="D437" s="45" t="s">
        <v>135</v>
      </c>
      <c r="E437" s="38"/>
      <c r="F437" s="135"/>
      <c r="G437" s="135"/>
    </row>
    <row r="438" spans="1:7" ht="15" customHeight="1" x14ac:dyDescent="0.15">
      <c r="A438" s="135"/>
      <c r="B438" s="135"/>
      <c r="C438" s="135"/>
      <c r="D438" s="45" t="s">
        <v>370</v>
      </c>
      <c r="E438" s="38"/>
      <c r="F438" s="135"/>
      <c r="G438" s="135"/>
    </row>
    <row r="439" spans="1:7" ht="15" customHeight="1" x14ac:dyDescent="0.15">
      <c r="A439" s="135"/>
      <c r="B439" s="135"/>
      <c r="C439" s="135"/>
      <c r="D439" s="45" t="s">
        <v>371</v>
      </c>
      <c r="E439" s="38"/>
      <c r="F439" s="135"/>
      <c r="G439" s="135"/>
    </row>
    <row r="440" spans="1:7" ht="15" customHeight="1" x14ac:dyDescent="0.15">
      <c r="A440" s="135"/>
      <c r="B440" s="135"/>
      <c r="C440" s="135"/>
      <c r="D440" s="45" t="s">
        <v>406</v>
      </c>
      <c r="E440" s="38"/>
      <c r="F440" s="135"/>
      <c r="G440" s="135"/>
    </row>
    <row r="441" spans="1:7" ht="15" customHeight="1" x14ac:dyDescent="0.15">
      <c r="A441" s="135"/>
      <c r="B441" s="135"/>
      <c r="C441" s="134" t="s">
        <v>409</v>
      </c>
      <c r="D441" s="45" t="s">
        <v>134</v>
      </c>
      <c r="E441" s="38"/>
      <c r="F441" s="134" t="s">
        <v>30</v>
      </c>
      <c r="G441" s="141" t="s">
        <v>480</v>
      </c>
    </row>
    <row r="442" spans="1:7" ht="15" customHeight="1" x14ac:dyDescent="0.15">
      <c r="A442" s="135"/>
      <c r="B442" s="135"/>
      <c r="C442" s="135"/>
      <c r="D442" s="45" t="s">
        <v>369</v>
      </c>
      <c r="E442" s="38"/>
      <c r="F442" s="135"/>
      <c r="G442" s="135"/>
    </row>
    <row r="443" spans="1:7" ht="15" customHeight="1" x14ac:dyDescent="0.15">
      <c r="A443" s="135"/>
      <c r="B443" s="135"/>
      <c r="C443" s="135"/>
      <c r="D443" s="45" t="s">
        <v>135</v>
      </c>
      <c r="E443" s="38"/>
      <c r="F443" s="135"/>
      <c r="G443" s="135"/>
    </row>
    <row r="444" spans="1:7" ht="15" customHeight="1" x14ac:dyDescent="0.15">
      <c r="A444" s="135"/>
      <c r="B444" s="135"/>
      <c r="C444" s="135"/>
      <c r="D444" s="45" t="s">
        <v>370</v>
      </c>
      <c r="E444" s="38"/>
      <c r="F444" s="135"/>
      <c r="G444" s="135"/>
    </row>
    <row r="445" spans="1:7" ht="15" customHeight="1" x14ac:dyDescent="0.15">
      <c r="A445" s="135"/>
      <c r="B445" s="135"/>
      <c r="C445" s="135"/>
      <c r="D445" s="45" t="s">
        <v>371</v>
      </c>
      <c r="E445" s="38"/>
      <c r="F445" s="135"/>
      <c r="G445" s="135"/>
    </row>
    <row r="446" spans="1:7" ht="15" customHeight="1" x14ac:dyDescent="0.15">
      <c r="A446" s="135"/>
      <c r="B446" s="135"/>
      <c r="C446" s="135"/>
      <c r="D446" s="45" t="s">
        <v>406</v>
      </c>
      <c r="E446" s="38"/>
      <c r="F446" s="135"/>
      <c r="G446" s="135"/>
    </row>
    <row r="447" spans="1:7" ht="15" customHeight="1" x14ac:dyDescent="0.15">
      <c r="A447" s="135"/>
      <c r="B447" s="135"/>
      <c r="C447" s="134" t="s">
        <v>412</v>
      </c>
      <c r="D447" s="38" t="s">
        <v>461</v>
      </c>
      <c r="E447" s="38"/>
      <c r="F447" s="134" t="s">
        <v>30</v>
      </c>
      <c r="G447" s="141" t="s">
        <v>481</v>
      </c>
    </row>
    <row r="448" spans="1:7" ht="15" customHeight="1" x14ac:dyDescent="0.15">
      <c r="A448" s="135"/>
      <c r="B448" s="135"/>
      <c r="C448" s="135"/>
      <c r="D448" s="38" t="s">
        <v>363</v>
      </c>
      <c r="E448" s="38"/>
      <c r="F448" s="135"/>
      <c r="G448" s="135"/>
    </row>
    <row r="449" spans="1:7" ht="15" customHeight="1" x14ac:dyDescent="0.15">
      <c r="A449" s="135"/>
      <c r="B449" s="135"/>
      <c r="C449" s="134" t="s">
        <v>449</v>
      </c>
      <c r="D449" s="45" t="s">
        <v>134</v>
      </c>
      <c r="E449" s="38"/>
      <c r="F449" s="134" t="s">
        <v>131</v>
      </c>
      <c r="G449" s="141" t="s">
        <v>482</v>
      </c>
    </row>
    <row r="450" spans="1:7" ht="15" customHeight="1" x14ac:dyDescent="0.15">
      <c r="A450" s="135"/>
      <c r="B450" s="135"/>
      <c r="C450" s="135"/>
      <c r="D450" s="45" t="s">
        <v>369</v>
      </c>
      <c r="E450" s="38"/>
      <c r="F450" s="135"/>
      <c r="G450" s="135"/>
    </row>
    <row r="451" spans="1:7" ht="15" customHeight="1" x14ac:dyDescent="0.15">
      <c r="A451" s="135"/>
      <c r="B451" s="135"/>
      <c r="C451" s="135"/>
      <c r="D451" s="45" t="s">
        <v>135</v>
      </c>
      <c r="E451" s="38"/>
      <c r="F451" s="135"/>
      <c r="G451" s="135"/>
    </row>
    <row r="452" spans="1:7" ht="15" customHeight="1" x14ac:dyDescent="0.15">
      <c r="A452" s="135"/>
      <c r="B452" s="135"/>
      <c r="C452" s="135"/>
      <c r="D452" s="45" t="s">
        <v>370</v>
      </c>
      <c r="E452" s="38"/>
      <c r="F452" s="135"/>
      <c r="G452" s="135"/>
    </row>
    <row r="453" spans="1:7" ht="15" customHeight="1" x14ac:dyDescent="0.15">
      <c r="A453" s="135"/>
      <c r="B453" s="135"/>
      <c r="C453" s="135"/>
      <c r="D453" s="45" t="s">
        <v>371</v>
      </c>
      <c r="E453" s="38"/>
      <c r="F453" s="135"/>
      <c r="G453" s="135"/>
    </row>
    <row r="454" spans="1:7" ht="15" customHeight="1" x14ac:dyDescent="0.15">
      <c r="A454" s="135"/>
      <c r="B454" s="135"/>
      <c r="C454" s="135"/>
      <c r="D454" s="45" t="s">
        <v>139</v>
      </c>
      <c r="E454" s="38"/>
      <c r="F454" s="135"/>
      <c r="G454" s="135"/>
    </row>
    <row r="455" spans="1:7" ht="15" customHeight="1" x14ac:dyDescent="0.15">
      <c r="A455" s="135"/>
      <c r="B455" s="135"/>
      <c r="C455" s="134" t="s">
        <v>419</v>
      </c>
      <c r="D455" s="38" t="s">
        <v>137</v>
      </c>
      <c r="E455" s="38"/>
      <c r="F455" s="134" t="s">
        <v>30</v>
      </c>
      <c r="G455" s="141" t="s">
        <v>483</v>
      </c>
    </row>
    <row r="456" spans="1:7" ht="15" customHeight="1" x14ac:dyDescent="0.15">
      <c r="A456" s="135"/>
      <c r="B456" s="135"/>
      <c r="C456" s="135"/>
      <c r="D456" s="38" t="s">
        <v>406</v>
      </c>
      <c r="E456" s="38"/>
      <c r="F456" s="135"/>
      <c r="G456" s="135"/>
    </row>
    <row r="457" spans="1:7" ht="15" customHeight="1" x14ac:dyDescent="0.15">
      <c r="A457" s="135"/>
      <c r="B457" s="135"/>
      <c r="C457" s="135"/>
      <c r="D457" s="45" t="s">
        <v>121</v>
      </c>
      <c r="E457" s="38"/>
      <c r="F457" s="135"/>
      <c r="G457" s="135"/>
    </row>
    <row r="458" spans="1:7" ht="15" customHeight="1" x14ac:dyDescent="0.15">
      <c r="A458" s="135"/>
      <c r="B458" s="135"/>
      <c r="C458" s="135"/>
      <c r="D458" s="45" t="s">
        <v>421</v>
      </c>
      <c r="E458" s="38"/>
      <c r="F458" s="135"/>
      <c r="G458" s="135"/>
    </row>
    <row r="459" spans="1:7" ht="15" customHeight="1" x14ac:dyDescent="0.15">
      <c r="A459" s="135"/>
      <c r="B459" s="135"/>
      <c r="C459" s="135"/>
      <c r="D459" s="45" t="s">
        <v>420</v>
      </c>
      <c r="E459" s="38"/>
      <c r="F459" s="135"/>
      <c r="G459" s="135"/>
    </row>
    <row r="460" spans="1:7" ht="15" customHeight="1" x14ac:dyDescent="0.15">
      <c r="A460" s="135"/>
      <c r="B460" s="135"/>
      <c r="C460" s="135"/>
      <c r="D460" s="45" t="s">
        <v>422</v>
      </c>
      <c r="E460" s="38"/>
      <c r="F460" s="135"/>
      <c r="G460" s="135"/>
    </row>
    <row r="461" spans="1:7" ht="15" customHeight="1" x14ac:dyDescent="0.15">
      <c r="A461" s="135"/>
      <c r="B461" s="135"/>
      <c r="C461" s="135"/>
      <c r="D461" s="45" t="s">
        <v>423</v>
      </c>
      <c r="E461" s="38"/>
      <c r="F461" s="135"/>
      <c r="G461" s="135"/>
    </row>
    <row r="462" spans="1:7" ht="15" customHeight="1" x14ac:dyDescent="0.15">
      <c r="A462" s="135"/>
      <c r="B462" s="135"/>
      <c r="C462" s="135"/>
      <c r="D462" s="45" t="s">
        <v>424</v>
      </c>
      <c r="E462" s="38"/>
      <c r="F462" s="135"/>
      <c r="G462" s="135"/>
    </row>
    <row r="463" spans="1:7" ht="15" customHeight="1" x14ac:dyDescent="0.15">
      <c r="A463" s="135"/>
      <c r="B463" s="135"/>
      <c r="C463" s="135"/>
      <c r="D463" s="45" t="s">
        <v>425</v>
      </c>
      <c r="E463" s="38"/>
      <c r="F463" s="135"/>
      <c r="G463" s="135"/>
    </row>
    <row r="464" spans="1:7" ht="15" customHeight="1" x14ac:dyDescent="0.15">
      <c r="A464" s="135"/>
      <c r="B464" s="135"/>
      <c r="C464" s="135"/>
      <c r="D464" s="45" t="s">
        <v>121</v>
      </c>
      <c r="E464" s="38"/>
      <c r="F464" s="135"/>
      <c r="G464" s="135"/>
    </row>
    <row r="465" spans="1:10" ht="15" customHeight="1" x14ac:dyDescent="0.15">
      <c r="A465" s="135"/>
      <c r="B465" s="135"/>
      <c r="C465" s="135"/>
      <c r="D465" s="45" t="s">
        <v>363</v>
      </c>
      <c r="E465" s="38"/>
      <c r="F465" s="135"/>
      <c r="G465" s="135"/>
    </row>
    <row r="466" spans="1:10" ht="15" customHeight="1" x14ac:dyDescent="0.15">
      <c r="A466" s="135"/>
      <c r="B466" s="130" t="s">
        <v>31</v>
      </c>
      <c r="C466" s="129"/>
      <c r="D466" s="129"/>
      <c r="E466" s="129"/>
      <c r="F466" s="129"/>
      <c r="G466" s="107"/>
    </row>
    <row r="467" spans="1:10" ht="15" customHeight="1" x14ac:dyDescent="0.15">
      <c r="A467" s="135"/>
      <c r="B467" s="139" t="s">
        <v>32</v>
      </c>
      <c r="C467" s="31" t="s">
        <v>18</v>
      </c>
      <c r="D467" s="31" t="s">
        <v>33</v>
      </c>
      <c r="E467" s="31" t="s">
        <v>34</v>
      </c>
      <c r="F467" s="31" t="s">
        <v>35</v>
      </c>
      <c r="G467" s="31" t="s">
        <v>36</v>
      </c>
    </row>
    <row r="468" spans="1:10" ht="15" customHeight="1" x14ac:dyDescent="0.15">
      <c r="A468" s="135"/>
      <c r="B468" s="136"/>
      <c r="C468" s="42" t="s">
        <v>37</v>
      </c>
      <c r="D468" s="45" t="s">
        <v>507</v>
      </c>
      <c r="E468" s="45"/>
      <c r="F468" s="45"/>
      <c r="G468" s="45"/>
    </row>
    <row r="469" spans="1:10" ht="15" customHeight="1" x14ac:dyDescent="0.15">
      <c r="A469" s="135"/>
      <c r="B469" s="130" t="s">
        <v>38</v>
      </c>
      <c r="C469" s="129"/>
      <c r="D469" s="129"/>
      <c r="E469" s="129"/>
      <c r="F469" s="129"/>
      <c r="G469" s="107"/>
    </row>
    <row r="470" spans="1:10" ht="15" customHeight="1" x14ac:dyDescent="0.15">
      <c r="A470" s="135"/>
      <c r="B470" s="43" t="s">
        <v>39</v>
      </c>
      <c r="C470" s="130" t="s">
        <v>40</v>
      </c>
      <c r="D470" s="129"/>
      <c r="E470" s="107"/>
      <c r="F470" s="32" t="s">
        <v>41</v>
      </c>
      <c r="G470" s="32" t="s">
        <v>42</v>
      </c>
    </row>
    <row r="471" spans="1:10" ht="15" customHeight="1" x14ac:dyDescent="0.15">
      <c r="A471" s="135"/>
      <c r="B471" s="33" t="s">
        <v>463</v>
      </c>
      <c r="C471" s="137" t="s">
        <v>462</v>
      </c>
      <c r="D471" s="129"/>
      <c r="E471" s="107"/>
      <c r="F471" s="39" t="s">
        <v>443</v>
      </c>
      <c r="G471" s="34" t="s">
        <v>498</v>
      </c>
    </row>
    <row r="472" spans="1:10" ht="15" customHeight="1" x14ac:dyDescent="0.15">
      <c r="A472" s="135"/>
      <c r="B472" s="138" t="s">
        <v>43</v>
      </c>
      <c r="C472" s="129"/>
      <c r="D472" s="129"/>
      <c r="E472" s="129"/>
      <c r="F472" s="129"/>
      <c r="G472" s="107"/>
    </row>
    <row r="473" spans="1:10" ht="15" customHeight="1" x14ac:dyDescent="0.15">
      <c r="A473" s="135"/>
      <c r="B473" s="31" t="s">
        <v>39</v>
      </c>
      <c r="C473" s="31" t="s">
        <v>44</v>
      </c>
      <c r="D473" s="31" t="s">
        <v>18</v>
      </c>
      <c r="E473" s="31" t="s">
        <v>45</v>
      </c>
      <c r="F473" s="31" t="s">
        <v>46</v>
      </c>
      <c r="G473" s="31" t="s">
        <v>47</v>
      </c>
      <c r="H473" s="31" t="s">
        <v>513</v>
      </c>
      <c r="I473" s="31" t="s">
        <v>514</v>
      </c>
      <c r="J473" s="31" t="s">
        <v>515</v>
      </c>
    </row>
    <row r="474" spans="1:10" ht="15" customHeight="1" x14ac:dyDescent="0.15">
      <c r="A474" s="135"/>
      <c r="B474" s="35" t="s">
        <v>463</v>
      </c>
      <c r="C474" s="35" t="s">
        <v>462</v>
      </c>
      <c r="D474" s="35" t="s">
        <v>917</v>
      </c>
      <c r="E474" s="35" t="s">
        <v>130</v>
      </c>
      <c r="F474" s="35" t="s">
        <v>919</v>
      </c>
      <c r="G474" s="35" t="s">
        <v>918</v>
      </c>
      <c r="H474" s="35" t="s">
        <v>141</v>
      </c>
      <c r="I474" s="35" t="s">
        <v>512</v>
      </c>
      <c r="J474" s="35" t="s">
        <v>516</v>
      </c>
    </row>
    <row r="475" spans="1:10" ht="15" customHeight="1" x14ac:dyDescent="0.15">
      <c r="A475" s="134" t="s">
        <v>499</v>
      </c>
      <c r="B475" s="128" t="s">
        <v>48</v>
      </c>
      <c r="C475" s="129"/>
      <c r="D475" s="129"/>
      <c r="E475" s="129"/>
      <c r="F475" s="129"/>
      <c r="G475" s="107"/>
    </row>
    <row r="476" spans="1:10" ht="15" customHeight="1" x14ac:dyDescent="0.15">
      <c r="A476" s="135"/>
      <c r="B476" s="130" t="s">
        <v>49</v>
      </c>
      <c r="C476" s="129"/>
      <c r="D476" s="129"/>
      <c r="E476" s="129"/>
      <c r="F476" s="129"/>
      <c r="G476" s="107"/>
    </row>
    <row r="477" spans="1:10" ht="15" customHeight="1" x14ac:dyDescent="0.15">
      <c r="A477" s="135"/>
      <c r="B477" s="43" t="s">
        <v>39</v>
      </c>
      <c r="C477" s="130" t="s">
        <v>40</v>
      </c>
      <c r="D477" s="129"/>
      <c r="E477" s="107"/>
      <c r="F477" s="32" t="s">
        <v>41</v>
      </c>
      <c r="G477" s="32" t="s">
        <v>42</v>
      </c>
    </row>
    <row r="478" spans="1:10" ht="15" customHeight="1" x14ac:dyDescent="0.15">
      <c r="A478" s="135"/>
      <c r="B478" s="33" t="s">
        <v>501</v>
      </c>
      <c r="C478" s="137" t="s">
        <v>704</v>
      </c>
      <c r="D478" s="129"/>
      <c r="E478" s="107"/>
      <c r="F478" s="39" t="s">
        <v>503</v>
      </c>
      <c r="G478" s="39" t="s">
        <v>503</v>
      </c>
    </row>
    <row r="479" spans="1:10" ht="15" customHeight="1" x14ac:dyDescent="0.15">
      <c r="A479" s="135"/>
      <c r="B479" s="33" t="s">
        <v>502</v>
      </c>
      <c r="C479" s="116" t="s">
        <v>505</v>
      </c>
      <c r="D479" s="117"/>
      <c r="E479" s="117"/>
      <c r="F479" s="65" t="s">
        <v>506</v>
      </c>
      <c r="G479" s="65" t="s">
        <v>506</v>
      </c>
    </row>
    <row r="480" spans="1:10" ht="15" customHeight="1" x14ac:dyDescent="0.15">
      <c r="A480" s="135"/>
      <c r="B480" s="138" t="s">
        <v>50</v>
      </c>
      <c r="C480" s="129"/>
      <c r="D480" s="129"/>
      <c r="E480" s="129"/>
      <c r="F480" s="129"/>
      <c r="G480" s="107"/>
    </row>
    <row r="481" spans="1:10" ht="15" customHeight="1" x14ac:dyDescent="0.15">
      <c r="A481" s="135"/>
      <c r="B481" s="31" t="s">
        <v>39</v>
      </c>
      <c r="C481" s="31" t="s">
        <v>44</v>
      </c>
      <c r="D481" s="31" t="s">
        <v>18</v>
      </c>
      <c r="E481" s="31" t="s">
        <v>45</v>
      </c>
      <c r="F481" s="31" t="s">
        <v>46</v>
      </c>
      <c r="G481" s="31" t="s">
        <v>47</v>
      </c>
      <c r="H481" s="31" t="s">
        <v>513</v>
      </c>
      <c r="I481" s="31" t="s">
        <v>514</v>
      </c>
      <c r="J481" s="31" t="s">
        <v>515</v>
      </c>
    </row>
    <row r="482" spans="1:10" ht="15" customHeight="1" x14ac:dyDescent="0.15">
      <c r="A482" s="135"/>
      <c r="B482" s="35" t="s">
        <v>501</v>
      </c>
      <c r="C482" s="35" t="s">
        <v>704</v>
      </c>
      <c r="D482" s="35" t="s">
        <v>959</v>
      </c>
      <c r="E482" s="35" t="s">
        <v>130</v>
      </c>
      <c r="F482" s="35" t="s">
        <v>921</v>
      </c>
      <c r="G482" s="35" t="s">
        <v>920</v>
      </c>
      <c r="H482" s="35" t="s">
        <v>141</v>
      </c>
      <c r="I482" s="35" t="s">
        <v>512</v>
      </c>
      <c r="J482" s="35" t="s">
        <v>516</v>
      </c>
    </row>
    <row r="483" spans="1:10" ht="15" customHeight="1" x14ac:dyDescent="0.15">
      <c r="A483" s="136"/>
      <c r="B483" s="35" t="s">
        <v>502</v>
      </c>
      <c r="C483" s="35" t="s">
        <v>505</v>
      </c>
      <c r="D483" s="35" t="s">
        <v>506</v>
      </c>
      <c r="E483" s="35" t="s">
        <v>130</v>
      </c>
      <c r="F483" s="35" t="s">
        <v>925</v>
      </c>
      <c r="G483" s="35" t="s">
        <v>923</v>
      </c>
      <c r="H483" s="35" t="s">
        <v>143</v>
      </c>
      <c r="I483" s="35" t="s">
        <v>512</v>
      </c>
      <c r="J483" s="35" t="s">
        <v>516</v>
      </c>
    </row>
    <row r="484" spans="1:10" ht="15" customHeight="1" x14ac:dyDescent="0.15">
      <c r="A484" s="118" t="s">
        <v>511</v>
      </c>
      <c r="B484" s="121" t="s">
        <v>48</v>
      </c>
      <c r="C484" s="122"/>
      <c r="D484" s="122"/>
      <c r="E484" s="122"/>
      <c r="F484" s="122"/>
      <c r="G484" s="123"/>
      <c r="H484" s="80"/>
      <c r="I484" s="80"/>
      <c r="J484" s="80"/>
    </row>
    <row r="485" spans="1:10" ht="15" customHeight="1" x14ac:dyDescent="0.15">
      <c r="A485" s="119"/>
      <c r="B485" s="124" t="s">
        <v>49</v>
      </c>
      <c r="C485" s="122"/>
      <c r="D485" s="122"/>
      <c r="E485" s="122"/>
      <c r="F485" s="122"/>
      <c r="G485" s="123"/>
      <c r="H485" s="80"/>
      <c r="I485" s="80"/>
      <c r="J485" s="80"/>
    </row>
    <row r="486" spans="1:10" ht="15" customHeight="1" x14ac:dyDescent="0.15">
      <c r="A486" s="119"/>
      <c r="B486" s="81" t="s">
        <v>39</v>
      </c>
      <c r="C486" s="124" t="s">
        <v>40</v>
      </c>
      <c r="D486" s="122"/>
      <c r="E486" s="123"/>
      <c r="F486" s="82" t="s">
        <v>41</v>
      </c>
      <c r="G486" s="82" t="s">
        <v>42</v>
      </c>
      <c r="H486" s="80"/>
      <c r="I486" s="80"/>
      <c r="J486" s="80"/>
    </row>
    <row r="487" spans="1:10" ht="15" customHeight="1" x14ac:dyDescent="0.15">
      <c r="A487" s="119"/>
      <c r="B487" s="74" t="s">
        <v>501</v>
      </c>
      <c r="C487" s="125" t="s">
        <v>504</v>
      </c>
      <c r="D487" s="122"/>
      <c r="E487" s="123"/>
      <c r="F487" s="54" t="s">
        <v>503</v>
      </c>
      <c r="G487" s="83" t="s">
        <v>508</v>
      </c>
      <c r="H487" s="80"/>
      <c r="I487" s="80"/>
      <c r="J487" s="80"/>
    </row>
    <row r="488" spans="1:10" ht="15" customHeight="1" x14ac:dyDescent="0.15">
      <c r="A488" s="119"/>
      <c r="B488" s="74" t="s">
        <v>502</v>
      </c>
      <c r="C488" s="84" t="s">
        <v>505</v>
      </c>
      <c r="D488" s="75"/>
      <c r="E488" s="75"/>
      <c r="F488" s="85" t="s">
        <v>506</v>
      </c>
      <c r="G488" s="85" t="s">
        <v>506</v>
      </c>
      <c r="H488" s="80"/>
      <c r="I488" s="80"/>
      <c r="J488" s="80"/>
    </row>
    <row r="489" spans="1:10" ht="15" customHeight="1" x14ac:dyDescent="0.15">
      <c r="A489" s="119"/>
      <c r="B489" s="126" t="s">
        <v>50</v>
      </c>
      <c r="C489" s="122"/>
      <c r="D489" s="122"/>
      <c r="E489" s="122"/>
      <c r="F489" s="122"/>
      <c r="G489" s="123"/>
      <c r="H489" s="80"/>
      <c r="I489" s="80"/>
      <c r="J489" s="80"/>
    </row>
    <row r="490" spans="1:10" ht="15" customHeight="1" x14ac:dyDescent="0.15">
      <c r="A490" s="119"/>
      <c r="B490" s="86" t="s">
        <v>39</v>
      </c>
      <c r="C490" s="86" t="s">
        <v>44</v>
      </c>
      <c r="D490" s="86" t="s">
        <v>18</v>
      </c>
      <c r="E490" s="86" t="s">
        <v>45</v>
      </c>
      <c r="F490" s="86" t="s">
        <v>46</v>
      </c>
      <c r="G490" s="86" t="s">
        <v>47</v>
      </c>
      <c r="H490" s="86" t="s">
        <v>513</v>
      </c>
      <c r="I490" s="86" t="s">
        <v>514</v>
      </c>
      <c r="J490" s="86" t="s">
        <v>515</v>
      </c>
    </row>
    <row r="491" spans="1:10" ht="15" customHeight="1" x14ac:dyDescent="0.15">
      <c r="A491" s="119"/>
      <c r="B491" s="87" t="s">
        <v>501</v>
      </c>
      <c r="C491" s="87" t="s">
        <v>509</v>
      </c>
      <c r="D491" s="87" t="s">
        <v>508</v>
      </c>
      <c r="E491" s="87" t="s">
        <v>130</v>
      </c>
      <c r="F491" s="87" t="s">
        <v>707</v>
      </c>
      <c r="G491" s="87" t="s">
        <v>510</v>
      </c>
      <c r="H491" s="87" t="s">
        <v>141</v>
      </c>
      <c r="I491" s="87" t="s">
        <v>512</v>
      </c>
      <c r="J491" s="87" t="s">
        <v>516</v>
      </c>
    </row>
    <row r="492" spans="1:10" ht="15" customHeight="1" x14ac:dyDescent="0.15">
      <c r="A492" s="120"/>
      <c r="B492" s="87" t="s">
        <v>502</v>
      </c>
      <c r="C492" s="87" t="s">
        <v>505</v>
      </c>
      <c r="D492" s="87" t="s">
        <v>506</v>
      </c>
      <c r="E492" s="87" t="s">
        <v>130</v>
      </c>
      <c r="F492" s="87" t="s">
        <v>708</v>
      </c>
      <c r="G492" s="87" t="s">
        <v>695</v>
      </c>
      <c r="H492" s="87" t="s">
        <v>143</v>
      </c>
      <c r="I492" s="87" t="s">
        <v>512</v>
      </c>
      <c r="J492" s="87" t="s">
        <v>516</v>
      </c>
    </row>
  </sheetData>
  <mergeCells count="197">
    <mergeCell ref="B466:G466"/>
    <mergeCell ref="B467:B468"/>
    <mergeCell ref="B469:G469"/>
    <mergeCell ref="C470:E470"/>
    <mergeCell ref="C471:E471"/>
    <mergeCell ref="B472:G472"/>
    <mergeCell ref="C449:C454"/>
    <mergeCell ref="F449:F454"/>
    <mergeCell ref="G449:G454"/>
    <mergeCell ref="C455:C465"/>
    <mergeCell ref="F455:F465"/>
    <mergeCell ref="G455:G465"/>
    <mergeCell ref="C441:C446"/>
    <mergeCell ref="F441:F446"/>
    <mergeCell ref="G441:G446"/>
    <mergeCell ref="C447:C448"/>
    <mergeCell ref="F447:F448"/>
    <mergeCell ref="G447:G448"/>
    <mergeCell ref="C430:C434"/>
    <mergeCell ref="F430:F434"/>
    <mergeCell ref="G430:G434"/>
    <mergeCell ref="C435:C440"/>
    <mergeCell ref="F435:F440"/>
    <mergeCell ref="G435:G440"/>
    <mergeCell ref="G383:G389"/>
    <mergeCell ref="C418:C423"/>
    <mergeCell ref="F418:F423"/>
    <mergeCell ref="G418:G423"/>
    <mergeCell ref="C424:C429"/>
    <mergeCell ref="F424:F429"/>
    <mergeCell ref="G424:G429"/>
    <mergeCell ref="C405:C410"/>
    <mergeCell ref="F405:F410"/>
    <mergeCell ref="G405:G410"/>
    <mergeCell ref="C411:C417"/>
    <mergeCell ref="F411:F417"/>
    <mergeCell ref="G411:G417"/>
    <mergeCell ref="C369:C374"/>
    <mergeCell ref="F369:F374"/>
    <mergeCell ref="G369:G374"/>
    <mergeCell ref="C358:E358"/>
    <mergeCell ref="C359:E359"/>
    <mergeCell ref="B360:G360"/>
    <mergeCell ref="A364:A474"/>
    <mergeCell ref="B364:G364"/>
    <mergeCell ref="B365:G365"/>
    <mergeCell ref="B366:B465"/>
    <mergeCell ref="A205:A363"/>
    <mergeCell ref="B205:G205"/>
    <mergeCell ref="B206:G206"/>
    <mergeCell ref="C390:C396"/>
    <mergeCell ref="F390:F396"/>
    <mergeCell ref="G390:G396"/>
    <mergeCell ref="C397:C404"/>
    <mergeCell ref="F397:F404"/>
    <mergeCell ref="G397:G404"/>
    <mergeCell ref="C375:C382"/>
    <mergeCell ref="F375:F382"/>
    <mergeCell ref="G375:G382"/>
    <mergeCell ref="C383:C389"/>
    <mergeCell ref="F383:F389"/>
    <mergeCell ref="C345:C353"/>
    <mergeCell ref="F345:F353"/>
    <mergeCell ref="G345:G353"/>
    <mergeCell ref="B354:G354"/>
    <mergeCell ref="B355:B356"/>
    <mergeCell ref="B357:G357"/>
    <mergeCell ref="C336:C337"/>
    <mergeCell ref="F336:F337"/>
    <mergeCell ref="G336:G337"/>
    <mergeCell ref="C338:C344"/>
    <mergeCell ref="F338:F344"/>
    <mergeCell ref="G338:G344"/>
    <mergeCell ref="B207:B353"/>
    <mergeCell ref="C208:C209"/>
    <mergeCell ref="F208:F209"/>
    <mergeCell ref="G208:G209"/>
    <mergeCell ref="C210:C213"/>
    <mergeCell ref="F210:F213"/>
    <mergeCell ref="G210:G213"/>
    <mergeCell ref="C322:C326"/>
    <mergeCell ref="F322:F326"/>
    <mergeCell ref="G322:G326"/>
    <mergeCell ref="C327:C335"/>
    <mergeCell ref="F327:F335"/>
    <mergeCell ref="G327:G335"/>
    <mergeCell ref="C294:C307"/>
    <mergeCell ref="F294:F307"/>
    <mergeCell ref="G294:G307"/>
    <mergeCell ref="C308:C321"/>
    <mergeCell ref="F308:F321"/>
    <mergeCell ref="G308:G321"/>
    <mergeCell ref="C276:C283"/>
    <mergeCell ref="F276:F283"/>
    <mergeCell ref="G276:G283"/>
    <mergeCell ref="C284:C293"/>
    <mergeCell ref="F284:F293"/>
    <mergeCell ref="G284:G293"/>
    <mergeCell ref="C256:C265"/>
    <mergeCell ref="F256:F265"/>
    <mergeCell ref="G256:G265"/>
    <mergeCell ref="C266:C275"/>
    <mergeCell ref="F266:F275"/>
    <mergeCell ref="G266:G275"/>
    <mergeCell ref="C246:C255"/>
    <mergeCell ref="F246:F255"/>
    <mergeCell ref="G246:G255"/>
    <mergeCell ref="C112:C124"/>
    <mergeCell ref="F112:F124"/>
    <mergeCell ref="G112:G124"/>
    <mergeCell ref="C72:C85"/>
    <mergeCell ref="C214:C224"/>
    <mergeCell ref="F214:F224"/>
    <mergeCell ref="G214:G224"/>
    <mergeCell ref="C225:C236"/>
    <mergeCell ref="F225:F236"/>
    <mergeCell ref="G225:G236"/>
    <mergeCell ref="F186:F195"/>
    <mergeCell ref="G186:G195"/>
    <mergeCell ref="C161:C170"/>
    <mergeCell ref="F161:F170"/>
    <mergeCell ref="G161:G170"/>
    <mergeCell ref="C171:C174"/>
    <mergeCell ref="F171:F174"/>
    <mergeCell ref="G171:G174"/>
    <mergeCell ref="C13:C18"/>
    <mergeCell ref="F13:F18"/>
    <mergeCell ref="G13:G18"/>
    <mergeCell ref="C33:C47"/>
    <mergeCell ref="C237:C245"/>
    <mergeCell ref="F237:F245"/>
    <mergeCell ref="G237:G245"/>
    <mergeCell ref="C201:E201"/>
    <mergeCell ref="B202:G202"/>
    <mergeCell ref="C19:C32"/>
    <mergeCell ref="F19:F32"/>
    <mergeCell ref="G19:G32"/>
    <mergeCell ref="C48:C59"/>
    <mergeCell ref="F48:F59"/>
    <mergeCell ref="F33:F47"/>
    <mergeCell ref="G33:G47"/>
    <mergeCell ref="B196:G196"/>
    <mergeCell ref="G48:G59"/>
    <mergeCell ref="C60:C71"/>
    <mergeCell ref="F60:F71"/>
    <mergeCell ref="G60:G71"/>
    <mergeCell ref="C99:C111"/>
    <mergeCell ref="F99:F111"/>
    <mergeCell ref="G99:G111"/>
    <mergeCell ref="C10:C12"/>
    <mergeCell ref="B197:B198"/>
    <mergeCell ref="B199:G199"/>
    <mergeCell ref="C200:E200"/>
    <mergeCell ref="F86:F98"/>
    <mergeCell ref="G86:G98"/>
    <mergeCell ref="G153:G160"/>
    <mergeCell ref="C153:C160"/>
    <mergeCell ref="F153:F160"/>
    <mergeCell ref="C125:C138"/>
    <mergeCell ref="F125:F138"/>
    <mergeCell ref="G125:G138"/>
    <mergeCell ref="C139:C152"/>
    <mergeCell ref="F139:F152"/>
    <mergeCell ref="G139:G152"/>
    <mergeCell ref="C175:C185"/>
    <mergeCell ref="F175:F185"/>
    <mergeCell ref="G175:G185"/>
    <mergeCell ref="C186:C195"/>
    <mergeCell ref="F72:F85"/>
    <mergeCell ref="G72:G85"/>
    <mergeCell ref="C86:C98"/>
    <mergeCell ref="F10:F12"/>
    <mergeCell ref="G10:G12"/>
    <mergeCell ref="C479:E479"/>
    <mergeCell ref="A484:A492"/>
    <mergeCell ref="B484:G484"/>
    <mergeCell ref="B485:G485"/>
    <mergeCell ref="C486:E486"/>
    <mergeCell ref="C487:E487"/>
    <mergeCell ref="B489:G489"/>
    <mergeCell ref="F1:G1"/>
    <mergeCell ref="F2:G2"/>
    <mergeCell ref="B7:G7"/>
    <mergeCell ref="B8:G8"/>
    <mergeCell ref="A1:A6"/>
    <mergeCell ref="F5:G5"/>
    <mergeCell ref="F3:G3"/>
    <mergeCell ref="F4:G4"/>
    <mergeCell ref="A475:A483"/>
    <mergeCell ref="B475:G475"/>
    <mergeCell ref="B476:G476"/>
    <mergeCell ref="C477:E477"/>
    <mergeCell ref="C478:E478"/>
    <mergeCell ref="B480:G480"/>
    <mergeCell ref="F6:G6"/>
    <mergeCell ref="A7:A204"/>
    <mergeCell ref="B9:B195"/>
  </mergeCells>
  <phoneticPr fontId="1" type="noConversion"/>
  <dataValidations disablePrompts="1" count="1">
    <dataValidation type="list" allowBlank="1" showInputMessage="1" showErrorMessage="1" sqref="C2:C6" xr:uid="{75BB34E5-0034-4078-8FC9-D8C963543922}">
      <formula1>"流程图,状态机,等价类划分&amp;数据组合,直接分析"</formula1>
    </dataValidation>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947CF6-CADD-4327-BDE6-BF1B88289DBE}">
  <dimension ref="A1:J93"/>
  <sheetViews>
    <sheetView workbookViewId="0">
      <pane xSplit="1" ySplit="7" topLeftCell="B71" activePane="bottomRight" state="frozen"/>
      <selection pane="topRight" activeCell="B1" sqref="B1"/>
      <selection pane="bottomLeft" activeCell="A6" sqref="A6"/>
      <selection pane="bottomRight" activeCell="F82" sqref="F82"/>
    </sheetView>
  </sheetViews>
  <sheetFormatPr defaultColWidth="9" defaultRowHeight="13.5" x14ac:dyDescent="0.15"/>
  <cols>
    <col min="1" max="1" width="15" customWidth="1"/>
    <col min="2" max="2" width="32.125" customWidth="1"/>
    <col min="3" max="3" width="23.5" bestFit="1" customWidth="1"/>
    <col min="4" max="4" width="24" customWidth="1"/>
    <col min="5" max="5" width="17.375" bestFit="1" customWidth="1"/>
    <col min="6" max="6" width="61.875" customWidth="1"/>
    <col min="7" max="7" width="82.5" customWidth="1"/>
  </cols>
  <sheetData>
    <row r="1" spans="1:7" ht="13.5" customHeight="1" x14ac:dyDescent="0.15">
      <c r="A1" s="131" t="s">
        <v>22</v>
      </c>
      <c r="B1" s="47" t="s">
        <v>14</v>
      </c>
      <c r="C1" s="47" t="s">
        <v>15</v>
      </c>
      <c r="D1" s="47" t="s">
        <v>16</v>
      </c>
      <c r="E1" s="47" t="s">
        <v>17</v>
      </c>
      <c r="F1" s="127" t="s">
        <v>18</v>
      </c>
      <c r="G1" s="103"/>
    </row>
    <row r="2" spans="1:7" ht="13.5" customHeight="1" x14ac:dyDescent="0.15">
      <c r="A2" s="132"/>
      <c r="B2" s="39" t="s">
        <v>191</v>
      </c>
      <c r="C2" s="39" t="s">
        <v>634</v>
      </c>
      <c r="D2" s="39"/>
      <c r="E2" s="52">
        <v>9</v>
      </c>
      <c r="F2" s="105" t="s">
        <v>192</v>
      </c>
      <c r="G2" s="105"/>
    </row>
    <row r="3" spans="1:7" ht="13.5" customHeight="1" x14ac:dyDescent="0.15">
      <c r="A3" s="132"/>
      <c r="B3" s="39" t="s">
        <v>193</v>
      </c>
      <c r="C3" s="39" t="s">
        <v>19</v>
      </c>
      <c r="D3" s="39"/>
      <c r="E3" s="52">
        <v>3</v>
      </c>
      <c r="F3" s="105" t="s">
        <v>194</v>
      </c>
      <c r="G3" s="105"/>
    </row>
    <row r="4" spans="1:7" ht="13.5" customHeight="1" x14ac:dyDescent="0.15">
      <c r="A4" s="132"/>
      <c r="B4" s="39" t="s">
        <v>950</v>
      </c>
      <c r="C4" s="39" t="s">
        <v>20</v>
      </c>
      <c r="D4" s="39"/>
      <c r="E4" s="52">
        <v>1</v>
      </c>
      <c r="F4" s="105" t="s">
        <v>551</v>
      </c>
      <c r="G4" s="105"/>
    </row>
    <row r="5" spans="1:7" ht="13.5" customHeight="1" x14ac:dyDescent="0.15">
      <c r="A5" s="132"/>
      <c r="B5" s="39" t="s">
        <v>935</v>
      </c>
      <c r="C5" s="39" t="s">
        <v>20</v>
      </c>
      <c r="D5" s="39"/>
      <c r="E5" s="52">
        <v>1</v>
      </c>
      <c r="F5" s="105" t="s">
        <v>551</v>
      </c>
      <c r="G5" s="105"/>
    </row>
    <row r="6" spans="1:7" ht="13.5" customHeight="1" x14ac:dyDescent="0.15">
      <c r="A6" s="132"/>
      <c r="B6" s="39" t="s">
        <v>936</v>
      </c>
      <c r="C6" s="39" t="s">
        <v>20</v>
      </c>
      <c r="D6" s="39"/>
      <c r="E6" s="52">
        <v>1</v>
      </c>
      <c r="F6" s="105" t="s">
        <v>551</v>
      </c>
      <c r="G6" s="105"/>
    </row>
    <row r="7" spans="1:7" ht="13.5" customHeight="1" x14ac:dyDescent="0.15">
      <c r="A7" s="132"/>
      <c r="B7" s="39" t="s">
        <v>557</v>
      </c>
      <c r="C7" s="39" t="s">
        <v>20</v>
      </c>
      <c r="D7" s="39"/>
      <c r="E7" s="52">
        <v>1</v>
      </c>
      <c r="F7" s="105" t="s">
        <v>552</v>
      </c>
      <c r="G7" s="105"/>
    </row>
    <row r="8" spans="1:7" ht="13.5" customHeight="1" x14ac:dyDescent="0.15">
      <c r="A8" s="134" t="s">
        <v>187</v>
      </c>
      <c r="B8" s="128" t="s">
        <v>23</v>
      </c>
      <c r="C8" s="129"/>
      <c r="D8" s="129"/>
      <c r="E8" s="129"/>
      <c r="F8" s="129"/>
      <c r="G8" s="107"/>
    </row>
    <row r="9" spans="1:7" ht="13.5" customHeight="1" x14ac:dyDescent="0.15">
      <c r="A9" s="135"/>
      <c r="B9" s="130" t="s">
        <v>24</v>
      </c>
      <c r="C9" s="129"/>
      <c r="D9" s="129"/>
      <c r="E9" s="129"/>
      <c r="F9" s="129"/>
      <c r="G9" s="107"/>
    </row>
    <row r="10" spans="1:7" ht="13.5" customHeight="1" x14ac:dyDescent="0.15">
      <c r="A10" s="135"/>
      <c r="B10" s="139" t="s">
        <v>25</v>
      </c>
      <c r="C10" s="37" t="s">
        <v>18</v>
      </c>
      <c r="D10" s="37" t="s">
        <v>26</v>
      </c>
      <c r="E10" s="37" t="s">
        <v>27</v>
      </c>
      <c r="F10" s="32" t="s">
        <v>28</v>
      </c>
      <c r="G10" s="32" t="s">
        <v>29</v>
      </c>
    </row>
    <row r="11" spans="1:7" ht="13.5" customHeight="1" x14ac:dyDescent="0.15">
      <c r="A11" s="135"/>
      <c r="B11" s="135"/>
      <c r="C11" s="134" t="s">
        <v>413</v>
      </c>
      <c r="D11" s="45" t="s">
        <v>368</v>
      </c>
      <c r="E11" s="45"/>
      <c r="F11" s="134" t="s">
        <v>522</v>
      </c>
      <c r="G11" s="141" t="s">
        <v>523</v>
      </c>
    </row>
    <row r="12" spans="1:7" ht="13.5" customHeight="1" x14ac:dyDescent="0.15">
      <c r="A12" s="135"/>
      <c r="B12" s="135"/>
      <c r="C12" s="142"/>
      <c r="D12" s="45" t="s">
        <v>381</v>
      </c>
      <c r="E12" s="45"/>
      <c r="F12" s="142"/>
      <c r="G12" s="143"/>
    </row>
    <row r="13" spans="1:7" ht="13.5" customHeight="1" x14ac:dyDescent="0.15">
      <c r="A13" s="135"/>
      <c r="B13" s="135"/>
      <c r="C13" s="142"/>
      <c r="D13" s="45" t="s">
        <v>379</v>
      </c>
      <c r="E13" s="45"/>
      <c r="F13" s="142"/>
      <c r="G13" s="143"/>
    </row>
    <row r="14" spans="1:7" ht="13.5" customHeight="1" x14ac:dyDescent="0.15">
      <c r="A14" s="135"/>
      <c r="B14" s="135"/>
      <c r="C14" s="142"/>
      <c r="D14" s="45" t="s">
        <v>389</v>
      </c>
      <c r="E14" s="45"/>
      <c r="F14" s="142"/>
      <c r="G14" s="143"/>
    </row>
    <row r="15" spans="1:7" ht="13.5" customHeight="1" x14ac:dyDescent="0.15">
      <c r="A15" s="135"/>
      <c r="B15" s="135"/>
      <c r="C15" s="142"/>
      <c r="D15" s="45" t="s">
        <v>388</v>
      </c>
      <c r="E15" s="45"/>
      <c r="F15" s="142"/>
      <c r="G15" s="143"/>
    </row>
    <row r="16" spans="1:7" ht="13.5" customHeight="1" x14ac:dyDescent="0.15">
      <c r="A16" s="135"/>
      <c r="B16" s="135"/>
      <c r="C16" s="142"/>
      <c r="D16" s="45" t="s">
        <v>392</v>
      </c>
      <c r="E16" s="45"/>
      <c r="F16" s="142"/>
      <c r="G16" s="143"/>
    </row>
    <row r="17" spans="1:10" ht="13.5" customHeight="1" x14ac:dyDescent="0.15">
      <c r="A17" s="135"/>
      <c r="B17" s="135"/>
      <c r="C17" s="142"/>
      <c r="D17" s="45" t="s">
        <v>397</v>
      </c>
      <c r="E17" s="45"/>
      <c r="F17" s="142"/>
      <c r="G17" s="143"/>
    </row>
    <row r="18" spans="1:10" ht="13.5" customHeight="1" x14ac:dyDescent="0.15">
      <c r="A18" s="135"/>
      <c r="B18" s="135"/>
      <c r="C18" s="140"/>
      <c r="D18" s="45" t="s">
        <v>396</v>
      </c>
      <c r="E18" s="45"/>
      <c r="F18" s="135"/>
      <c r="G18" s="135"/>
    </row>
    <row r="19" spans="1:10" ht="13.5" customHeight="1" x14ac:dyDescent="0.15">
      <c r="A19" s="135"/>
      <c r="B19" s="135"/>
      <c r="C19" s="140"/>
      <c r="D19" s="45" t="s">
        <v>405</v>
      </c>
      <c r="E19" s="45"/>
      <c r="F19" s="135"/>
      <c r="G19" s="135"/>
    </row>
    <row r="20" spans="1:10" ht="13.5" customHeight="1" x14ac:dyDescent="0.15">
      <c r="A20" s="135"/>
      <c r="B20" s="135"/>
      <c r="C20" s="140"/>
      <c r="D20" s="45" t="s">
        <v>409</v>
      </c>
      <c r="E20" s="45"/>
      <c r="F20" s="135"/>
      <c r="G20" s="135"/>
    </row>
    <row r="21" spans="1:10" ht="13.5" customHeight="1" x14ac:dyDescent="0.15">
      <c r="A21" s="135"/>
      <c r="B21" s="130" t="s">
        <v>31</v>
      </c>
      <c r="C21" s="129"/>
      <c r="D21" s="129"/>
      <c r="E21" s="129"/>
      <c r="F21" s="129"/>
      <c r="G21" s="107"/>
    </row>
    <row r="22" spans="1:10" ht="13.5" customHeight="1" x14ac:dyDescent="0.15">
      <c r="A22" s="135"/>
      <c r="B22" s="139" t="s">
        <v>32</v>
      </c>
      <c r="C22" s="31" t="s">
        <v>18</v>
      </c>
      <c r="D22" s="31" t="s">
        <v>33</v>
      </c>
      <c r="E22" s="31" t="s">
        <v>34</v>
      </c>
      <c r="F22" s="31" t="s">
        <v>35</v>
      </c>
      <c r="G22" s="31" t="s">
        <v>36</v>
      </c>
    </row>
    <row r="23" spans="1:10" ht="13.5" customHeight="1" x14ac:dyDescent="0.15">
      <c r="A23" s="135"/>
      <c r="B23" s="136"/>
      <c r="C23" s="42" t="s">
        <v>37</v>
      </c>
      <c r="D23" s="45" t="s">
        <v>521</v>
      </c>
      <c r="E23" s="45"/>
      <c r="F23" s="45"/>
      <c r="G23" s="45"/>
    </row>
    <row r="24" spans="1:10" ht="13.5" customHeight="1" x14ac:dyDescent="0.15">
      <c r="A24" s="135"/>
      <c r="B24" s="130" t="s">
        <v>38</v>
      </c>
      <c r="C24" s="129"/>
      <c r="D24" s="129"/>
      <c r="E24" s="129"/>
      <c r="F24" s="129"/>
      <c r="G24" s="107"/>
    </row>
    <row r="25" spans="1:10" ht="13.5" customHeight="1" x14ac:dyDescent="0.15">
      <c r="A25" s="135"/>
      <c r="B25" s="43" t="s">
        <v>39</v>
      </c>
      <c r="C25" s="130" t="s">
        <v>40</v>
      </c>
      <c r="D25" s="129"/>
      <c r="E25" s="107"/>
      <c r="F25" s="32" t="s">
        <v>41</v>
      </c>
      <c r="G25" s="32" t="s">
        <v>42</v>
      </c>
    </row>
    <row r="26" spans="1:10" ht="13.5" customHeight="1" x14ac:dyDescent="0.15">
      <c r="A26" s="135"/>
      <c r="B26" s="33" t="s">
        <v>525</v>
      </c>
      <c r="C26" s="137" t="s">
        <v>524</v>
      </c>
      <c r="D26" s="129"/>
      <c r="E26" s="107"/>
      <c r="F26" s="39" t="s">
        <v>443</v>
      </c>
      <c r="G26" s="34" t="s">
        <v>523</v>
      </c>
    </row>
    <row r="27" spans="1:10" ht="13.5" customHeight="1" x14ac:dyDescent="0.15">
      <c r="A27" s="135"/>
      <c r="B27" s="138" t="s">
        <v>43</v>
      </c>
      <c r="C27" s="129"/>
      <c r="D27" s="129"/>
      <c r="E27" s="129"/>
      <c r="F27" s="129"/>
      <c r="G27" s="107"/>
    </row>
    <row r="28" spans="1:10" ht="13.5" customHeight="1" x14ac:dyDescent="0.15">
      <c r="A28" s="135"/>
      <c r="B28" s="31" t="s">
        <v>39</v>
      </c>
      <c r="C28" s="31" t="s">
        <v>44</v>
      </c>
      <c r="D28" s="31" t="s">
        <v>18</v>
      </c>
      <c r="E28" s="31" t="s">
        <v>45</v>
      </c>
      <c r="F28" s="31" t="s">
        <v>46</v>
      </c>
      <c r="G28" s="31" t="s">
        <v>47</v>
      </c>
      <c r="H28" s="31" t="s">
        <v>513</v>
      </c>
      <c r="I28" s="31" t="s">
        <v>514</v>
      </c>
      <c r="J28" s="31" t="s">
        <v>515</v>
      </c>
    </row>
    <row r="29" spans="1:10" ht="81" x14ac:dyDescent="0.15">
      <c r="A29" s="135"/>
      <c r="B29" s="35" t="s">
        <v>525</v>
      </c>
      <c r="C29" s="35" t="s">
        <v>524</v>
      </c>
      <c r="D29" s="35" t="s">
        <v>523</v>
      </c>
      <c r="E29" s="35" t="s">
        <v>130</v>
      </c>
      <c r="F29" s="35" t="s">
        <v>926</v>
      </c>
      <c r="G29" s="35" t="s">
        <v>526</v>
      </c>
      <c r="H29" s="35" t="s">
        <v>141</v>
      </c>
      <c r="I29" s="35" t="s">
        <v>512</v>
      </c>
      <c r="J29" s="35" t="s">
        <v>516</v>
      </c>
    </row>
    <row r="30" spans="1:10" x14ac:dyDescent="0.15">
      <c r="A30" s="134" t="s">
        <v>193</v>
      </c>
      <c r="B30" s="128" t="s">
        <v>23</v>
      </c>
      <c r="C30" s="129"/>
      <c r="D30" s="129"/>
      <c r="E30" s="129"/>
      <c r="F30" s="129"/>
      <c r="G30" s="107"/>
    </row>
    <row r="31" spans="1:10" x14ac:dyDescent="0.15">
      <c r="A31" s="135"/>
      <c r="B31" s="130" t="s">
        <v>24</v>
      </c>
      <c r="C31" s="129"/>
      <c r="D31" s="129"/>
      <c r="E31" s="129"/>
      <c r="F31" s="129"/>
      <c r="G31" s="107"/>
    </row>
    <row r="32" spans="1:10" x14ac:dyDescent="0.15">
      <c r="A32" s="135"/>
      <c r="B32" s="139" t="s">
        <v>25</v>
      </c>
      <c r="C32" s="37" t="s">
        <v>18</v>
      </c>
      <c r="D32" s="37" t="s">
        <v>26</v>
      </c>
      <c r="E32" s="37" t="s">
        <v>27</v>
      </c>
      <c r="F32" s="32" t="s">
        <v>28</v>
      </c>
      <c r="G32" s="32" t="s">
        <v>29</v>
      </c>
    </row>
    <row r="33" spans="1:7" x14ac:dyDescent="0.15">
      <c r="A33" s="135"/>
      <c r="B33" s="139"/>
      <c r="C33" s="134" t="s">
        <v>413</v>
      </c>
      <c r="D33" s="45" t="s">
        <v>368</v>
      </c>
      <c r="E33" s="45"/>
      <c r="F33" s="134" t="s">
        <v>522</v>
      </c>
      <c r="G33" s="141" t="s">
        <v>523</v>
      </c>
    </row>
    <row r="34" spans="1:7" x14ac:dyDescent="0.15">
      <c r="A34" s="135"/>
      <c r="B34" s="139"/>
      <c r="C34" s="134"/>
      <c r="D34" s="45" t="s">
        <v>381</v>
      </c>
      <c r="E34" s="45"/>
      <c r="F34" s="134"/>
      <c r="G34" s="141"/>
    </row>
    <row r="35" spans="1:7" x14ac:dyDescent="0.15">
      <c r="A35" s="135"/>
      <c r="B35" s="139"/>
      <c r="C35" s="134"/>
      <c r="D35" s="45" t="s">
        <v>379</v>
      </c>
      <c r="E35" s="45"/>
      <c r="F35" s="134"/>
      <c r="G35" s="141"/>
    </row>
    <row r="36" spans="1:7" x14ac:dyDescent="0.15">
      <c r="A36" s="135"/>
      <c r="B36" s="139"/>
      <c r="C36" s="134"/>
      <c r="D36" s="45" t="s">
        <v>389</v>
      </c>
      <c r="E36" s="45"/>
      <c r="F36" s="134"/>
      <c r="G36" s="141"/>
    </row>
    <row r="37" spans="1:7" x14ac:dyDescent="0.15">
      <c r="A37" s="135"/>
      <c r="B37" s="139"/>
      <c r="C37" s="134"/>
      <c r="D37" s="45" t="s">
        <v>388</v>
      </c>
      <c r="E37" s="45"/>
      <c r="F37" s="134"/>
      <c r="G37" s="141"/>
    </row>
    <row r="38" spans="1:7" x14ac:dyDescent="0.15">
      <c r="A38" s="135"/>
      <c r="B38" s="139"/>
      <c r="C38" s="134"/>
      <c r="D38" s="45" t="s">
        <v>392</v>
      </c>
      <c r="E38" s="45"/>
      <c r="F38" s="134"/>
      <c r="G38" s="141"/>
    </row>
    <row r="39" spans="1:7" x14ac:dyDescent="0.15">
      <c r="A39" s="135"/>
      <c r="B39" s="139"/>
      <c r="C39" s="134"/>
      <c r="D39" s="45" t="s">
        <v>397</v>
      </c>
      <c r="E39" s="45"/>
      <c r="F39" s="134"/>
      <c r="G39" s="141"/>
    </row>
    <row r="40" spans="1:7" x14ac:dyDescent="0.15">
      <c r="A40" s="135"/>
      <c r="B40" s="139"/>
      <c r="C40" s="152"/>
      <c r="D40" s="45" t="s">
        <v>396</v>
      </c>
      <c r="E40" s="45"/>
      <c r="F40" s="151"/>
      <c r="G40" s="151"/>
    </row>
    <row r="41" spans="1:7" x14ac:dyDescent="0.15">
      <c r="A41" s="135"/>
      <c r="B41" s="139"/>
      <c r="C41" s="152"/>
      <c r="D41" s="45" t="s">
        <v>405</v>
      </c>
      <c r="E41" s="45"/>
      <c r="F41" s="151"/>
      <c r="G41" s="151"/>
    </row>
    <row r="42" spans="1:7" x14ac:dyDescent="0.15">
      <c r="A42" s="135"/>
      <c r="B42" s="139"/>
      <c r="C42" s="152"/>
      <c r="D42" s="45" t="s">
        <v>409</v>
      </c>
      <c r="E42" s="45"/>
      <c r="F42" s="151"/>
      <c r="G42" s="151"/>
    </row>
    <row r="43" spans="1:7" x14ac:dyDescent="0.15">
      <c r="A43" s="135"/>
      <c r="B43" s="139"/>
      <c r="C43" s="154" t="s">
        <v>527</v>
      </c>
      <c r="D43" s="45" t="s">
        <v>528</v>
      </c>
      <c r="E43" s="45"/>
      <c r="F43" s="144" t="s">
        <v>522</v>
      </c>
      <c r="G43" s="144"/>
    </row>
    <row r="44" spans="1:7" x14ac:dyDescent="0.15">
      <c r="A44" s="135"/>
      <c r="B44" s="139"/>
      <c r="C44" s="154"/>
      <c r="D44" s="45" t="s">
        <v>529</v>
      </c>
      <c r="E44" s="45"/>
      <c r="F44" s="144"/>
      <c r="G44" s="144"/>
    </row>
    <row r="45" spans="1:7" x14ac:dyDescent="0.15">
      <c r="A45" s="135"/>
      <c r="B45" s="139"/>
      <c r="C45" s="154"/>
      <c r="D45" s="45" t="s">
        <v>530</v>
      </c>
      <c r="E45" s="45"/>
      <c r="F45" s="144"/>
      <c r="G45" s="144"/>
    </row>
    <row r="46" spans="1:7" x14ac:dyDescent="0.15">
      <c r="A46" s="135"/>
      <c r="B46" s="139"/>
      <c r="C46" s="154"/>
      <c r="D46" s="45" t="s">
        <v>531</v>
      </c>
      <c r="E46" s="45"/>
      <c r="F46" s="144"/>
      <c r="G46" s="144"/>
    </row>
    <row r="47" spans="1:7" x14ac:dyDescent="0.15">
      <c r="A47" s="135"/>
      <c r="B47" s="130" t="s">
        <v>31</v>
      </c>
      <c r="C47" s="129"/>
      <c r="D47" s="129"/>
      <c r="E47" s="129"/>
      <c r="F47" s="129"/>
      <c r="G47" s="107"/>
    </row>
    <row r="48" spans="1:7" x14ac:dyDescent="0.15">
      <c r="A48" s="135"/>
      <c r="B48" s="139" t="s">
        <v>32</v>
      </c>
      <c r="C48" s="31" t="s">
        <v>18</v>
      </c>
      <c r="D48" s="31" t="s">
        <v>33</v>
      </c>
      <c r="E48" s="31" t="s">
        <v>34</v>
      </c>
      <c r="F48" s="31" t="s">
        <v>35</v>
      </c>
      <c r="G48" s="31" t="s">
        <v>36</v>
      </c>
    </row>
    <row r="49" spans="1:10" s="26" customFormat="1" x14ac:dyDescent="0.15">
      <c r="A49" s="135"/>
      <c r="B49" s="153"/>
      <c r="C49" s="155" t="s">
        <v>413</v>
      </c>
      <c r="D49" s="45" t="s">
        <v>368</v>
      </c>
      <c r="E49" s="45"/>
      <c r="F49" s="155" t="s">
        <v>540</v>
      </c>
      <c r="G49" s="157" t="s">
        <v>542</v>
      </c>
    </row>
    <row r="50" spans="1:10" s="26" customFormat="1" x14ac:dyDescent="0.15">
      <c r="A50" s="135"/>
      <c r="B50" s="153"/>
      <c r="C50" s="142"/>
      <c r="D50" s="45" t="s">
        <v>381</v>
      </c>
      <c r="E50" s="45"/>
      <c r="F50" s="142"/>
      <c r="G50" s="143"/>
    </row>
    <row r="51" spans="1:10" s="26" customFormat="1" x14ac:dyDescent="0.15">
      <c r="A51" s="135"/>
      <c r="B51" s="153"/>
      <c r="C51" s="142"/>
      <c r="D51" s="45" t="s">
        <v>405</v>
      </c>
      <c r="E51" s="45"/>
      <c r="F51" s="142"/>
      <c r="G51" s="143"/>
    </row>
    <row r="52" spans="1:10" s="26" customFormat="1" x14ac:dyDescent="0.15">
      <c r="A52" s="135"/>
      <c r="B52" s="153"/>
      <c r="C52" s="156"/>
      <c r="D52" s="45" t="s">
        <v>392</v>
      </c>
      <c r="E52" s="45"/>
      <c r="F52" s="156"/>
      <c r="G52" s="143"/>
    </row>
    <row r="53" spans="1:10" s="26" customFormat="1" x14ac:dyDescent="0.15">
      <c r="A53" s="135"/>
      <c r="B53" s="153"/>
      <c r="C53" s="155" t="s">
        <v>527</v>
      </c>
      <c r="D53" s="45" t="s">
        <v>528</v>
      </c>
      <c r="E53" s="45"/>
      <c r="F53" s="155" t="s">
        <v>541</v>
      </c>
      <c r="G53" s="143"/>
    </row>
    <row r="54" spans="1:10" s="26" customFormat="1" x14ac:dyDescent="0.15">
      <c r="A54" s="135"/>
      <c r="B54" s="153"/>
      <c r="C54" s="142"/>
      <c r="D54" s="45" t="s">
        <v>529</v>
      </c>
      <c r="E54" s="45"/>
      <c r="F54" s="142"/>
      <c r="G54" s="143"/>
    </row>
    <row r="55" spans="1:10" s="26" customFormat="1" x14ac:dyDescent="0.15">
      <c r="A55" s="135"/>
      <c r="B55" s="153"/>
      <c r="C55" s="142"/>
      <c r="D55" s="45" t="s">
        <v>530</v>
      </c>
      <c r="E55" s="45"/>
      <c r="F55" s="142"/>
      <c r="G55" s="143"/>
    </row>
    <row r="56" spans="1:10" x14ac:dyDescent="0.15">
      <c r="A56" s="135"/>
      <c r="B56" s="136"/>
      <c r="C56" s="156"/>
      <c r="D56" s="45" t="s">
        <v>531</v>
      </c>
      <c r="E56" s="45"/>
      <c r="F56" s="156"/>
      <c r="G56" s="158"/>
    </row>
    <row r="57" spans="1:10" x14ac:dyDescent="0.15">
      <c r="A57" s="135"/>
      <c r="B57" s="130" t="s">
        <v>38</v>
      </c>
      <c r="C57" s="129"/>
      <c r="D57" s="129"/>
      <c r="E57" s="129"/>
      <c r="F57" s="129"/>
      <c r="G57" s="107"/>
    </row>
    <row r="58" spans="1:10" x14ac:dyDescent="0.15">
      <c r="A58" s="135"/>
      <c r="B58" s="43" t="s">
        <v>39</v>
      </c>
      <c r="C58" s="130" t="s">
        <v>40</v>
      </c>
      <c r="D58" s="129"/>
      <c r="E58" s="107"/>
      <c r="F58" s="32" t="s">
        <v>41</v>
      </c>
      <c r="G58" s="32" t="s">
        <v>42</v>
      </c>
    </row>
    <row r="59" spans="1:10" ht="54" x14ac:dyDescent="0.15">
      <c r="A59" s="135"/>
      <c r="B59" s="33" t="s">
        <v>532</v>
      </c>
      <c r="C59" s="137" t="s">
        <v>545</v>
      </c>
      <c r="D59" s="129"/>
      <c r="E59" s="107"/>
      <c r="F59" s="39" t="s">
        <v>443</v>
      </c>
      <c r="G59" s="34" t="s">
        <v>542</v>
      </c>
    </row>
    <row r="60" spans="1:10" x14ac:dyDescent="0.15">
      <c r="A60" s="135"/>
      <c r="B60" s="138" t="s">
        <v>43</v>
      </c>
      <c r="C60" s="129"/>
      <c r="D60" s="129"/>
      <c r="E60" s="129"/>
      <c r="F60" s="129"/>
      <c r="G60" s="107"/>
    </row>
    <row r="61" spans="1:10" x14ac:dyDescent="0.15">
      <c r="A61" s="135"/>
      <c r="B61" s="31" t="s">
        <v>39</v>
      </c>
      <c r="C61" s="31" t="s">
        <v>44</v>
      </c>
      <c r="D61" s="31" t="s">
        <v>18</v>
      </c>
      <c r="E61" s="31" t="s">
        <v>45</v>
      </c>
      <c r="F61" s="31" t="s">
        <v>46</v>
      </c>
      <c r="G61" s="31" t="s">
        <v>47</v>
      </c>
      <c r="H61" s="31" t="s">
        <v>513</v>
      </c>
      <c r="I61" s="31" t="s">
        <v>514</v>
      </c>
      <c r="J61" s="31" t="s">
        <v>515</v>
      </c>
    </row>
    <row r="62" spans="1:10" ht="108" x14ac:dyDescent="0.15">
      <c r="A62" s="135"/>
      <c r="B62" s="35" t="s">
        <v>534</v>
      </c>
      <c r="C62" s="35" t="s">
        <v>545</v>
      </c>
      <c r="D62" s="35" t="s">
        <v>544</v>
      </c>
      <c r="E62" s="35" t="s">
        <v>130</v>
      </c>
      <c r="F62" s="35" t="s">
        <v>927</v>
      </c>
      <c r="G62" s="35" t="s">
        <v>546</v>
      </c>
      <c r="H62" s="35" t="s">
        <v>141</v>
      </c>
      <c r="I62" s="35" t="s">
        <v>512</v>
      </c>
      <c r="J62" s="35" t="s">
        <v>516</v>
      </c>
    </row>
    <row r="63" spans="1:10" ht="108" x14ac:dyDescent="0.15">
      <c r="A63" s="135"/>
      <c r="B63" s="35" t="s">
        <v>533</v>
      </c>
      <c r="C63" s="35" t="s">
        <v>545</v>
      </c>
      <c r="D63" s="35" t="s">
        <v>543</v>
      </c>
      <c r="E63" s="35" t="s">
        <v>130</v>
      </c>
      <c r="F63" s="35" t="s">
        <v>927</v>
      </c>
      <c r="G63" s="35" t="s">
        <v>546</v>
      </c>
      <c r="H63" s="35" t="s">
        <v>145</v>
      </c>
      <c r="I63" s="35" t="s">
        <v>512</v>
      </c>
      <c r="J63" s="35" t="s">
        <v>547</v>
      </c>
    </row>
    <row r="64" spans="1:10" x14ac:dyDescent="0.15">
      <c r="A64" s="134" t="s">
        <v>950</v>
      </c>
      <c r="B64" s="128" t="s">
        <v>48</v>
      </c>
      <c r="C64" s="129"/>
      <c r="D64" s="129"/>
      <c r="E64" s="129"/>
      <c r="F64" s="129"/>
      <c r="G64" s="107"/>
    </row>
    <row r="65" spans="1:10" x14ac:dyDescent="0.15">
      <c r="A65" s="135"/>
      <c r="B65" s="130" t="s">
        <v>49</v>
      </c>
      <c r="C65" s="129"/>
      <c r="D65" s="129"/>
      <c r="E65" s="129"/>
      <c r="F65" s="129"/>
      <c r="G65" s="107"/>
    </row>
    <row r="66" spans="1:10" x14ac:dyDescent="0.15">
      <c r="A66" s="135"/>
      <c r="B66" s="43" t="s">
        <v>39</v>
      </c>
      <c r="C66" s="130" t="s">
        <v>40</v>
      </c>
      <c r="D66" s="129"/>
      <c r="E66" s="107"/>
      <c r="F66" s="32" t="s">
        <v>41</v>
      </c>
      <c r="G66" s="32" t="s">
        <v>42</v>
      </c>
    </row>
    <row r="67" spans="1:10" ht="27" x14ac:dyDescent="0.15">
      <c r="A67" s="135"/>
      <c r="B67" s="33" t="s">
        <v>951</v>
      </c>
      <c r="C67" s="137" t="s">
        <v>549</v>
      </c>
      <c r="D67" s="129"/>
      <c r="E67" s="107"/>
      <c r="F67" s="39" t="s">
        <v>523</v>
      </c>
      <c r="G67" s="34" t="s">
        <v>523</v>
      </c>
    </row>
    <row r="68" spans="1:10" x14ac:dyDescent="0.15">
      <c r="A68" s="135"/>
      <c r="B68" s="138" t="s">
        <v>50</v>
      </c>
      <c r="C68" s="129"/>
      <c r="D68" s="129"/>
      <c r="E68" s="129"/>
      <c r="F68" s="129"/>
      <c r="G68" s="107"/>
    </row>
    <row r="69" spans="1:10" x14ac:dyDescent="0.15">
      <c r="A69" s="135"/>
      <c r="B69" s="31" t="s">
        <v>39</v>
      </c>
      <c r="C69" s="31" t="s">
        <v>44</v>
      </c>
      <c r="D69" s="31" t="s">
        <v>18</v>
      </c>
      <c r="E69" s="31" t="s">
        <v>45</v>
      </c>
      <c r="F69" s="31" t="s">
        <v>46</v>
      </c>
      <c r="G69" s="31" t="s">
        <v>47</v>
      </c>
      <c r="H69" s="31" t="s">
        <v>513</v>
      </c>
      <c r="I69" s="31" t="s">
        <v>514</v>
      </c>
      <c r="J69" s="31" t="s">
        <v>515</v>
      </c>
    </row>
    <row r="70" spans="1:10" ht="108" x14ac:dyDescent="0.15">
      <c r="A70" s="135"/>
      <c r="B70" s="35" t="s">
        <v>951</v>
      </c>
      <c r="C70" s="35" t="s">
        <v>953</v>
      </c>
      <c r="D70" s="35" t="s">
        <v>523</v>
      </c>
      <c r="E70" s="35" t="s">
        <v>130</v>
      </c>
      <c r="F70" s="35" t="s">
        <v>954</v>
      </c>
      <c r="G70" s="35" t="s">
        <v>955</v>
      </c>
      <c r="H70" s="35" t="s">
        <v>143</v>
      </c>
      <c r="I70" s="35" t="s">
        <v>512</v>
      </c>
      <c r="J70" s="35" t="s">
        <v>516</v>
      </c>
    </row>
    <row r="71" spans="1:10" x14ac:dyDescent="0.15">
      <c r="A71" s="134" t="s">
        <v>195</v>
      </c>
      <c r="B71" s="128" t="s">
        <v>48</v>
      </c>
      <c r="C71" s="129"/>
      <c r="D71" s="129"/>
      <c r="E71" s="129"/>
      <c r="F71" s="129"/>
      <c r="G71" s="107"/>
    </row>
    <row r="72" spans="1:10" x14ac:dyDescent="0.15">
      <c r="A72" s="135"/>
      <c r="B72" s="130" t="s">
        <v>49</v>
      </c>
      <c r="C72" s="129"/>
      <c r="D72" s="129"/>
      <c r="E72" s="129"/>
      <c r="F72" s="129"/>
      <c r="G72" s="107"/>
    </row>
    <row r="73" spans="1:10" x14ac:dyDescent="0.15">
      <c r="A73" s="135"/>
      <c r="B73" s="43" t="s">
        <v>39</v>
      </c>
      <c r="C73" s="130" t="s">
        <v>40</v>
      </c>
      <c r="D73" s="129"/>
      <c r="E73" s="107"/>
      <c r="F73" s="32" t="s">
        <v>41</v>
      </c>
      <c r="G73" s="32" t="s">
        <v>42</v>
      </c>
    </row>
    <row r="74" spans="1:10" ht="27" x14ac:dyDescent="0.15">
      <c r="A74" s="135"/>
      <c r="B74" s="33" t="s">
        <v>548</v>
      </c>
      <c r="C74" s="137" t="s">
        <v>549</v>
      </c>
      <c r="D74" s="129"/>
      <c r="E74" s="107"/>
      <c r="F74" s="39" t="s">
        <v>523</v>
      </c>
      <c r="G74" s="34" t="s">
        <v>523</v>
      </c>
    </row>
    <row r="75" spans="1:10" x14ac:dyDescent="0.15">
      <c r="A75" s="135"/>
      <c r="B75" s="138" t="s">
        <v>50</v>
      </c>
      <c r="C75" s="129"/>
      <c r="D75" s="129"/>
      <c r="E75" s="129"/>
      <c r="F75" s="129"/>
      <c r="G75" s="107"/>
    </row>
    <row r="76" spans="1:10" x14ac:dyDescent="0.15">
      <c r="A76" s="135"/>
      <c r="B76" s="31" t="s">
        <v>39</v>
      </c>
      <c r="C76" s="31" t="s">
        <v>44</v>
      </c>
      <c r="D76" s="31" t="s">
        <v>18</v>
      </c>
      <c r="E76" s="31" t="s">
        <v>45</v>
      </c>
      <c r="F76" s="31" t="s">
        <v>46</v>
      </c>
      <c r="G76" s="31" t="s">
        <v>47</v>
      </c>
      <c r="H76" s="31" t="s">
        <v>513</v>
      </c>
      <c r="I76" s="31" t="s">
        <v>514</v>
      </c>
      <c r="J76" s="31" t="s">
        <v>515</v>
      </c>
    </row>
    <row r="77" spans="1:10" ht="94.5" x14ac:dyDescent="0.15">
      <c r="A77" s="135"/>
      <c r="B77" s="35" t="s">
        <v>928</v>
      </c>
      <c r="C77" s="35" t="s">
        <v>930</v>
      </c>
      <c r="D77" s="35" t="s">
        <v>523</v>
      </c>
      <c r="E77" s="35" t="s">
        <v>130</v>
      </c>
      <c r="F77" s="35" t="s">
        <v>933</v>
      </c>
      <c r="G77" s="35" t="s">
        <v>970</v>
      </c>
      <c r="H77" s="35" t="s">
        <v>143</v>
      </c>
      <c r="I77" s="35" t="s">
        <v>512</v>
      </c>
      <c r="J77" s="35" t="s">
        <v>516</v>
      </c>
    </row>
    <row r="78" spans="1:10" ht="81" x14ac:dyDescent="0.15">
      <c r="A78" s="136"/>
      <c r="B78" s="35" t="s">
        <v>548</v>
      </c>
      <c r="C78" s="35" t="s">
        <v>549</v>
      </c>
      <c r="D78" s="35" t="s">
        <v>523</v>
      </c>
      <c r="E78" s="35" t="s">
        <v>130</v>
      </c>
      <c r="F78" s="35" t="s">
        <v>934</v>
      </c>
      <c r="G78" s="35" t="s">
        <v>550</v>
      </c>
      <c r="H78" s="35" t="s">
        <v>143</v>
      </c>
      <c r="I78" s="35" t="s">
        <v>512</v>
      </c>
      <c r="J78" s="35" t="s">
        <v>516</v>
      </c>
    </row>
    <row r="79" spans="1:10" x14ac:dyDescent="0.15">
      <c r="A79" s="134" t="s">
        <v>937</v>
      </c>
      <c r="B79" s="128" t="s">
        <v>48</v>
      </c>
      <c r="C79" s="129"/>
      <c r="D79" s="129"/>
      <c r="E79" s="129"/>
      <c r="F79" s="129"/>
      <c r="G79" s="107"/>
    </row>
    <row r="80" spans="1:10" x14ac:dyDescent="0.15">
      <c r="A80" s="135"/>
      <c r="B80" s="130" t="s">
        <v>49</v>
      </c>
      <c r="C80" s="129"/>
      <c r="D80" s="129"/>
      <c r="E80" s="129"/>
      <c r="F80" s="129"/>
      <c r="G80" s="107"/>
    </row>
    <row r="81" spans="1:10" x14ac:dyDescent="0.15">
      <c r="A81" s="135"/>
      <c r="B81" s="43" t="s">
        <v>39</v>
      </c>
      <c r="C81" s="130" t="s">
        <v>40</v>
      </c>
      <c r="D81" s="129"/>
      <c r="E81" s="107"/>
      <c r="F81" s="32" t="s">
        <v>41</v>
      </c>
      <c r="G81" s="32" t="s">
        <v>42</v>
      </c>
    </row>
    <row r="82" spans="1:10" ht="27" x14ac:dyDescent="0.15">
      <c r="A82" s="135"/>
      <c r="B82" s="33" t="s">
        <v>938</v>
      </c>
      <c r="C82" s="137" t="s">
        <v>554</v>
      </c>
      <c r="D82" s="129"/>
      <c r="E82" s="107"/>
      <c r="F82" s="39" t="s">
        <v>523</v>
      </c>
      <c r="G82" s="34" t="s">
        <v>523</v>
      </c>
    </row>
    <row r="83" spans="1:10" x14ac:dyDescent="0.15">
      <c r="A83" s="135"/>
      <c r="B83" s="138" t="s">
        <v>50</v>
      </c>
      <c r="C83" s="129"/>
      <c r="D83" s="129"/>
      <c r="E83" s="129"/>
      <c r="F83" s="129"/>
      <c r="G83" s="107"/>
    </row>
    <row r="84" spans="1:10" x14ac:dyDescent="0.15">
      <c r="A84" s="135"/>
      <c r="B84" s="31" t="s">
        <v>39</v>
      </c>
      <c r="C84" s="31" t="s">
        <v>44</v>
      </c>
      <c r="D84" s="31" t="s">
        <v>18</v>
      </c>
      <c r="E84" s="31" t="s">
        <v>45</v>
      </c>
      <c r="F84" s="31" t="s">
        <v>46</v>
      </c>
      <c r="G84" s="31" t="s">
        <v>47</v>
      </c>
      <c r="H84" s="31" t="s">
        <v>513</v>
      </c>
      <c r="I84" s="31" t="s">
        <v>514</v>
      </c>
      <c r="J84" s="31" t="s">
        <v>515</v>
      </c>
    </row>
    <row r="85" spans="1:10" ht="81" x14ac:dyDescent="0.15">
      <c r="A85" s="135"/>
      <c r="B85" s="35" t="s">
        <v>938</v>
      </c>
      <c r="C85" s="35" t="s">
        <v>961</v>
      </c>
      <c r="D85" s="35" t="s">
        <v>523</v>
      </c>
      <c r="E85" s="35" t="s">
        <v>130</v>
      </c>
      <c r="F85" s="35" t="s">
        <v>940</v>
      </c>
      <c r="G85" s="35" t="s">
        <v>942</v>
      </c>
      <c r="H85" s="35" t="s">
        <v>145</v>
      </c>
      <c r="I85" s="35" t="s">
        <v>586</v>
      </c>
      <c r="J85" s="35" t="s">
        <v>547</v>
      </c>
    </row>
    <row r="86" spans="1:10" x14ac:dyDescent="0.15">
      <c r="A86" s="134" t="s">
        <v>557</v>
      </c>
      <c r="B86" s="128" t="s">
        <v>48</v>
      </c>
      <c r="C86" s="129"/>
      <c r="D86" s="129"/>
      <c r="E86" s="129"/>
      <c r="F86" s="129"/>
      <c r="G86" s="107"/>
    </row>
    <row r="87" spans="1:10" x14ac:dyDescent="0.15">
      <c r="A87" s="135"/>
      <c r="B87" s="130" t="s">
        <v>49</v>
      </c>
      <c r="C87" s="129"/>
      <c r="D87" s="129"/>
      <c r="E87" s="129"/>
      <c r="F87" s="129"/>
      <c r="G87" s="107"/>
    </row>
    <row r="88" spans="1:10" x14ac:dyDescent="0.15">
      <c r="A88" s="135"/>
      <c r="B88" s="43" t="s">
        <v>39</v>
      </c>
      <c r="C88" s="130" t="s">
        <v>40</v>
      </c>
      <c r="D88" s="129"/>
      <c r="E88" s="107"/>
      <c r="F88" s="32" t="s">
        <v>41</v>
      </c>
      <c r="G88" s="32" t="s">
        <v>42</v>
      </c>
    </row>
    <row r="89" spans="1:10" ht="27" x14ac:dyDescent="0.15">
      <c r="A89" s="135"/>
      <c r="B89" s="33" t="s">
        <v>553</v>
      </c>
      <c r="C89" s="137" t="s">
        <v>554</v>
      </c>
      <c r="D89" s="129"/>
      <c r="E89" s="107"/>
      <c r="F89" s="39" t="s">
        <v>523</v>
      </c>
      <c r="G89" s="34" t="s">
        <v>523</v>
      </c>
    </row>
    <row r="90" spans="1:10" x14ac:dyDescent="0.15">
      <c r="A90" s="135"/>
      <c r="B90" s="138" t="s">
        <v>50</v>
      </c>
      <c r="C90" s="129"/>
      <c r="D90" s="129"/>
      <c r="E90" s="129"/>
      <c r="F90" s="129"/>
      <c r="G90" s="107"/>
    </row>
    <row r="91" spans="1:10" x14ac:dyDescent="0.15">
      <c r="A91" s="135"/>
      <c r="B91" s="31" t="s">
        <v>39</v>
      </c>
      <c r="C91" s="31" t="s">
        <v>44</v>
      </c>
      <c r="D91" s="31" t="s">
        <v>18</v>
      </c>
      <c r="E91" s="31" t="s">
        <v>45</v>
      </c>
      <c r="F91" s="31" t="s">
        <v>46</v>
      </c>
      <c r="G91" s="31" t="s">
        <v>47</v>
      </c>
      <c r="H91" s="31" t="s">
        <v>513</v>
      </c>
      <c r="I91" s="31" t="s">
        <v>514</v>
      </c>
      <c r="J91" s="31" t="s">
        <v>515</v>
      </c>
    </row>
    <row r="92" spans="1:10" ht="94.5" x14ac:dyDescent="0.15">
      <c r="A92" s="135"/>
      <c r="B92" s="35" t="s">
        <v>555</v>
      </c>
      <c r="C92" s="35" t="s">
        <v>963</v>
      </c>
      <c r="D92" s="35" t="s">
        <v>523</v>
      </c>
      <c r="E92" s="35" t="s">
        <v>130</v>
      </c>
      <c r="F92" s="35" t="s">
        <v>931</v>
      </c>
      <c r="G92" s="35" t="s">
        <v>696</v>
      </c>
      <c r="H92" s="35" t="s">
        <v>145</v>
      </c>
      <c r="I92" s="35" t="s">
        <v>586</v>
      </c>
      <c r="J92" s="35" t="s">
        <v>547</v>
      </c>
    </row>
    <row r="93" spans="1:10" ht="94.5" x14ac:dyDescent="0.15">
      <c r="A93" s="136"/>
      <c r="B93" s="35" t="s">
        <v>556</v>
      </c>
      <c r="C93" s="35" t="s">
        <v>554</v>
      </c>
      <c r="D93" s="35" t="s">
        <v>523</v>
      </c>
      <c r="E93" s="35" t="s">
        <v>130</v>
      </c>
      <c r="F93" s="35" t="s">
        <v>932</v>
      </c>
      <c r="G93" s="35" t="s">
        <v>696</v>
      </c>
      <c r="H93" s="35" t="s">
        <v>145</v>
      </c>
      <c r="I93" s="35" t="s">
        <v>586</v>
      </c>
      <c r="J93" s="35" t="s">
        <v>547</v>
      </c>
    </row>
  </sheetData>
  <mergeCells count="66">
    <mergeCell ref="A86:A93"/>
    <mergeCell ref="B86:G86"/>
    <mergeCell ref="B87:G87"/>
    <mergeCell ref="C88:E88"/>
    <mergeCell ref="C89:E89"/>
    <mergeCell ref="B90:G90"/>
    <mergeCell ref="A71:A78"/>
    <mergeCell ref="B71:G71"/>
    <mergeCell ref="B72:G72"/>
    <mergeCell ref="C73:E73"/>
    <mergeCell ref="C74:E74"/>
    <mergeCell ref="B75:G75"/>
    <mergeCell ref="C53:C56"/>
    <mergeCell ref="C49:C52"/>
    <mergeCell ref="F49:F52"/>
    <mergeCell ref="F53:F56"/>
    <mergeCell ref="G49:G56"/>
    <mergeCell ref="A1:A7"/>
    <mergeCell ref="F1:G1"/>
    <mergeCell ref="F2:G2"/>
    <mergeCell ref="F3:G3"/>
    <mergeCell ref="F5:G5"/>
    <mergeCell ref="F7:G7"/>
    <mergeCell ref="F6:G6"/>
    <mergeCell ref="F4:G4"/>
    <mergeCell ref="A8:A29"/>
    <mergeCell ref="B8:G8"/>
    <mergeCell ref="B9:G9"/>
    <mergeCell ref="B10:B20"/>
    <mergeCell ref="C11:C20"/>
    <mergeCell ref="F11:F20"/>
    <mergeCell ref="G11:G20"/>
    <mergeCell ref="C25:E25"/>
    <mergeCell ref="C26:E26"/>
    <mergeCell ref="B27:G27"/>
    <mergeCell ref="B21:G21"/>
    <mergeCell ref="B22:B23"/>
    <mergeCell ref="B24:G24"/>
    <mergeCell ref="A30:A63"/>
    <mergeCell ref="B30:G30"/>
    <mergeCell ref="B31:G31"/>
    <mergeCell ref="C33:C42"/>
    <mergeCell ref="F33:F42"/>
    <mergeCell ref="G33:G42"/>
    <mergeCell ref="B47:G47"/>
    <mergeCell ref="B48:B56"/>
    <mergeCell ref="B57:G57"/>
    <mergeCell ref="C58:E58"/>
    <mergeCell ref="C59:E59"/>
    <mergeCell ref="B60:G60"/>
    <mergeCell ref="B32:B46"/>
    <mergeCell ref="C43:C46"/>
    <mergeCell ref="F43:F46"/>
    <mergeCell ref="G43:G46"/>
    <mergeCell ref="A79:A85"/>
    <mergeCell ref="B79:G79"/>
    <mergeCell ref="B80:G80"/>
    <mergeCell ref="C81:E81"/>
    <mergeCell ref="C82:E82"/>
    <mergeCell ref="B83:G83"/>
    <mergeCell ref="A64:A70"/>
    <mergeCell ref="B64:G64"/>
    <mergeCell ref="B65:G65"/>
    <mergeCell ref="C66:E66"/>
    <mergeCell ref="C67:E67"/>
    <mergeCell ref="B68:G68"/>
  </mergeCells>
  <phoneticPr fontId="1" type="noConversion"/>
  <dataValidations count="1">
    <dataValidation type="list" allowBlank="1" showInputMessage="1" showErrorMessage="1" sqref="C2:C7" xr:uid="{85DF4F38-93D0-43F3-B518-94001FA4DD6C}">
      <formula1>"流程图,状态机,等价类划分&amp;数据组合,直接分析"</formula1>
    </dataValidation>
  </dataValidation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F85B86-F0E9-43C5-ACB7-EC32F984E96C}">
  <dimension ref="A1:J90"/>
  <sheetViews>
    <sheetView workbookViewId="0">
      <pane xSplit="1" ySplit="4" topLeftCell="B60" activePane="bottomRight" state="frozen"/>
      <selection pane="topRight" activeCell="B1" sqref="B1"/>
      <selection pane="bottomLeft" activeCell="A5" sqref="A5"/>
      <selection pane="bottomRight" activeCell="B89" sqref="B89:J90"/>
    </sheetView>
  </sheetViews>
  <sheetFormatPr defaultColWidth="9" defaultRowHeight="12" customHeight="1" x14ac:dyDescent="0.15"/>
  <cols>
    <col min="1" max="1" width="15" customWidth="1"/>
    <col min="2" max="2" width="50.5" customWidth="1"/>
    <col min="3" max="3" width="23.5" bestFit="1" customWidth="1"/>
    <col min="4" max="4" width="24" customWidth="1"/>
    <col min="5" max="5" width="17.375" bestFit="1" customWidth="1"/>
    <col min="6" max="6" width="61.875" customWidth="1"/>
    <col min="7" max="7" width="82.5" customWidth="1"/>
  </cols>
  <sheetData>
    <row r="1" spans="1:7" ht="12" customHeight="1" x14ac:dyDescent="0.15">
      <c r="A1" s="131" t="s">
        <v>22</v>
      </c>
      <c r="B1" s="47" t="s">
        <v>14</v>
      </c>
      <c r="C1" s="47" t="s">
        <v>15</v>
      </c>
      <c r="D1" s="47" t="s">
        <v>16</v>
      </c>
      <c r="E1" s="47" t="s">
        <v>17</v>
      </c>
      <c r="F1" s="127" t="s">
        <v>18</v>
      </c>
      <c r="G1" s="103"/>
    </row>
    <row r="2" spans="1:7" ht="12" customHeight="1" x14ac:dyDescent="0.15">
      <c r="A2" s="132"/>
      <c r="B2" s="39" t="s">
        <v>198</v>
      </c>
      <c r="C2" s="39" t="s">
        <v>19</v>
      </c>
      <c r="D2" s="39"/>
      <c r="E2" s="52">
        <v>16</v>
      </c>
      <c r="F2" s="105" t="s">
        <v>199</v>
      </c>
      <c r="G2" s="105"/>
    </row>
    <row r="3" spans="1:7" ht="12" customHeight="1" x14ac:dyDescent="0.15">
      <c r="A3" s="132"/>
      <c r="B3" s="39" t="s">
        <v>560</v>
      </c>
      <c r="C3" s="39" t="s">
        <v>20</v>
      </c>
      <c r="D3" s="39"/>
      <c r="E3" s="52">
        <v>16</v>
      </c>
      <c r="F3" s="109" t="s">
        <v>582</v>
      </c>
      <c r="G3" s="110"/>
    </row>
    <row r="4" spans="1:7" ht="12" customHeight="1" x14ac:dyDescent="0.15">
      <c r="A4" s="132"/>
      <c r="B4" s="54" t="s">
        <v>200</v>
      </c>
      <c r="C4" s="54" t="s">
        <v>20</v>
      </c>
      <c r="D4" s="54"/>
      <c r="E4" s="36">
        <v>1</v>
      </c>
      <c r="F4" s="108" t="s">
        <v>558</v>
      </c>
      <c r="G4" s="108"/>
    </row>
    <row r="5" spans="1:7" ht="12" customHeight="1" x14ac:dyDescent="0.15">
      <c r="A5" s="134" t="s">
        <v>198</v>
      </c>
      <c r="B5" s="128" t="s">
        <v>23</v>
      </c>
      <c r="C5" s="129"/>
      <c r="D5" s="129"/>
      <c r="E5" s="129"/>
      <c r="F5" s="129"/>
      <c r="G5" s="107"/>
    </row>
    <row r="6" spans="1:7" ht="12" customHeight="1" x14ac:dyDescent="0.15">
      <c r="A6" s="135"/>
      <c r="B6" s="130" t="s">
        <v>24</v>
      </c>
      <c r="C6" s="129"/>
      <c r="D6" s="129"/>
      <c r="E6" s="129"/>
      <c r="F6" s="129"/>
      <c r="G6" s="107"/>
    </row>
    <row r="7" spans="1:7" ht="12" customHeight="1" x14ac:dyDescent="0.15">
      <c r="A7" s="135"/>
      <c r="B7" s="139" t="s">
        <v>25</v>
      </c>
      <c r="C7" s="37" t="s">
        <v>18</v>
      </c>
      <c r="D7" s="37" t="s">
        <v>26</v>
      </c>
      <c r="E7" s="37" t="s">
        <v>27</v>
      </c>
      <c r="F7" s="32" t="s">
        <v>28</v>
      </c>
      <c r="G7" s="32" t="s">
        <v>29</v>
      </c>
    </row>
    <row r="8" spans="1:7" ht="12" customHeight="1" x14ac:dyDescent="0.15">
      <c r="A8" s="135"/>
      <c r="B8" s="139"/>
      <c r="C8" s="134" t="s">
        <v>413</v>
      </c>
      <c r="D8" s="45" t="s">
        <v>567</v>
      </c>
      <c r="E8" s="45"/>
      <c r="F8" s="134" t="s">
        <v>522</v>
      </c>
      <c r="G8" s="141" t="s">
        <v>581</v>
      </c>
    </row>
    <row r="9" spans="1:7" ht="12" customHeight="1" x14ac:dyDescent="0.15">
      <c r="A9" s="135"/>
      <c r="B9" s="139"/>
      <c r="C9" s="134"/>
      <c r="D9" s="45" t="s">
        <v>568</v>
      </c>
      <c r="E9" s="45"/>
      <c r="F9" s="134"/>
      <c r="G9" s="141"/>
    </row>
    <row r="10" spans="1:7" ht="12" customHeight="1" x14ac:dyDescent="0.15">
      <c r="A10" s="135"/>
      <c r="B10" s="139"/>
      <c r="C10" s="134"/>
      <c r="D10" s="45" t="s">
        <v>535</v>
      </c>
      <c r="E10" s="45"/>
      <c r="F10" s="134"/>
      <c r="G10" s="141"/>
    </row>
    <row r="11" spans="1:7" ht="12" customHeight="1" x14ac:dyDescent="0.15">
      <c r="A11" s="135"/>
      <c r="B11" s="139"/>
      <c r="C11" s="134"/>
      <c r="D11" s="45" t="s">
        <v>537</v>
      </c>
      <c r="E11" s="45"/>
      <c r="F11" s="134"/>
      <c r="G11" s="141"/>
    </row>
    <row r="12" spans="1:7" ht="12" customHeight="1" x14ac:dyDescent="0.15">
      <c r="A12" s="135"/>
      <c r="B12" s="139"/>
      <c r="C12" s="134"/>
      <c r="D12" s="45" t="s">
        <v>536</v>
      </c>
      <c r="E12" s="45"/>
      <c r="F12" s="134"/>
      <c r="G12" s="141"/>
    </row>
    <row r="13" spans="1:7" ht="12" customHeight="1" x14ac:dyDescent="0.15">
      <c r="A13" s="135"/>
      <c r="B13" s="139"/>
      <c r="C13" s="134"/>
      <c r="D13" s="45" t="s">
        <v>569</v>
      </c>
      <c r="E13" s="45"/>
      <c r="F13" s="134"/>
      <c r="G13" s="141"/>
    </row>
    <row r="14" spans="1:7" ht="12" customHeight="1" x14ac:dyDescent="0.15">
      <c r="A14" s="135"/>
      <c r="B14" s="139"/>
      <c r="C14" s="134"/>
      <c r="D14" s="45" t="s">
        <v>570</v>
      </c>
      <c r="E14" s="45"/>
      <c r="F14" s="134"/>
      <c r="G14" s="141"/>
    </row>
    <row r="15" spans="1:7" ht="12" customHeight="1" x14ac:dyDescent="0.15">
      <c r="A15" s="135"/>
      <c r="B15" s="139"/>
      <c r="C15" s="134"/>
      <c r="D15" s="45" t="s">
        <v>539</v>
      </c>
      <c r="E15" s="45"/>
      <c r="F15" s="134"/>
      <c r="G15" s="141"/>
    </row>
    <row r="16" spans="1:7" ht="12" customHeight="1" x14ac:dyDescent="0.15">
      <c r="A16" s="135"/>
      <c r="B16" s="139"/>
      <c r="C16" s="134"/>
      <c r="D16" s="45" t="s">
        <v>571</v>
      </c>
      <c r="E16" s="45"/>
      <c r="F16" s="134"/>
      <c r="G16" s="141"/>
    </row>
    <row r="17" spans="1:7" ht="12" customHeight="1" x14ac:dyDescent="0.15">
      <c r="A17" s="135"/>
      <c r="B17" s="139"/>
      <c r="C17" s="134"/>
      <c r="D17" s="45" t="s">
        <v>572</v>
      </c>
      <c r="E17" s="45"/>
      <c r="F17" s="134"/>
      <c r="G17" s="141"/>
    </row>
    <row r="18" spans="1:7" ht="12" customHeight="1" x14ac:dyDescent="0.15">
      <c r="A18" s="135"/>
      <c r="B18" s="139"/>
      <c r="C18" s="134"/>
      <c r="D18" s="45" t="s">
        <v>573</v>
      </c>
      <c r="E18" s="45"/>
      <c r="F18" s="134"/>
      <c r="G18" s="141"/>
    </row>
    <row r="19" spans="1:7" ht="12" customHeight="1" x14ac:dyDescent="0.15">
      <c r="A19" s="135"/>
      <c r="B19" s="139"/>
      <c r="C19" s="134"/>
      <c r="D19" s="45" t="s">
        <v>574</v>
      </c>
      <c r="E19" s="45"/>
      <c r="F19" s="134"/>
      <c r="G19" s="141"/>
    </row>
    <row r="20" spans="1:7" ht="12" customHeight="1" x14ac:dyDescent="0.15">
      <c r="A20" s="135"/>
      <c r="B20" s="139"/>
      <c r="C20" s="134"/>
      <c r="D20" s="45" t="s">
        <v>538</v>
      </c>
      <c r="E20" s="45"/>
      <c r="F20" s="134"/>
      <c r="G20" s="141"/>
    </row>
    <row r="21" spans="1:7" ht="12" customHeight="1" x14ac:dyDescent="0.15">
      <c r="A21" s="135"/>
      <c r="B21" s="139"/>
      <c r="C21" s="134"/>
      <c r="D21" s="45" t="s">
        <v>575</v>
      </c>
      <c r="E21" s="45"/>
      <c r="F21" s="134"/>
      <c r="G21" s="141"/>
    </row>
    <row r="22" spans="1:7" ht="12" customHeight="1" x14ac:dyDescent="0.15">
      <c r="A22" s="135"/>
      <c r="B22" s="139"/>
      <c r="C22" s="134"/>
      <c r="D22" s="45" t="s">
        <v>576</v>
      </c>
      <c r="E22" s="45"/>
      <c r="F22" s="134"/>
      <c r="G22" s="141"/>
    </row>
    <row r="23" spans="1:7" ht="12" customHeight="1" x14ac:dyDescent="0.15">
      <c r="A23" s="135"/>
      <c r="B23" s="139"/>
      <c r="C23" s="134"/>
      <c r="D23" s="45" t="s">
        <v>577</v>
      </c>
      <c r="E23" s="45"/>
      <c r="F23" s="134"/>
      <c r="G23" s="141"/>
    </row>
    <row r="24" spans="1:7" ht="12" customHeight="1" x14ac:dyDescent="0.15">
      <c r="A24" s="135"/>
      <c r="B24" s="139"/>
      <c r="C24" s="134"/>
      <c r="D24" s="45" t="s">
        <v>578</v>
      </c>
      <c r="E24" s="45"/>
      <c r="F24" s="134"/>
      <c r="G24" s="141"/>
    </row>
    <row r="25" spans="1:7" ht="12" customHeight="1" x14ac:dyDescent="0.15">
      <c r="A25" s="135"/>
      <c r="B25" s="139"/>
      <c r="C25" s="134" t="s">
        <v>583</v>
      </c>
      <c r="D25" s="45" t="s">
        <v>604</v>
      </c>
      <c r="E25" s="45"/>
      <c r="F25" s="134" t="s">
        <v>587</v>
      </c>
      <c r="G25" s="134"/>
    </row>
    <row r="26" spans="1:7" ht="12" customHeight="1" x14ac:dyDescent="0.15">
      <c r="A26" s="135"/>
      <c r="B26" s="139"/>
      <c r="C26" s="134"/>
      <c r="D26" s="45" t="s">
        <v>605</v>
      </c>
      <c r="E26" s="45"/>
      <c r="F26" s="134"/>
      <c r="G26" s="134"/>
    </row>
    <row r="27" spans="1:7" ht="12" customHeight="1" x14ac:dyDescent="0.15">
      <c r="A27" s="135"/>
      <c r="B27" s="139"/>
      <c r="C27" s="134"/>
      <c r="D27" s="45" t="s">
        <v>606</v>
      </c>
      <c r="E27" s="45"/>
      <c r="F27" s="134"/>
      <c r="G27" s="134"/>
    </row>
    <row r="28" spans="1:7" ht="12" customHeight="1" x14ac:dyDescent="0.15">
      <c r="A28" s="135"/>
      <c r="B28" s="130" t="s">
        <v>31</v>
      </c>
      <c r="C28" s="151"/>
      <c r="D28" s="151"/>
      <c r="E28" s="151"/>
      <c r="F28" s="151"/>
      <c r="G28" s="151"/>
    </row>
    <row r="29" spans="1:7" ht="12" customHeight="1" x14ac:dyDescent="0.15">
      <c r="A29" s="135"/>
      <c r="B29" s="139" t="s">
        <v>32</v>
      </c>
      <c r="C29" s="31" t="s">
        <v>18</v>
      </c>
      <c r="D29" s="31" t="s">
        <v>33</v>
      </c>
      <c r="E29" s="31" t="s">
        <v>34</v>
      </c>
      <c r="F29" s="31" t="s">
        <v>35</v>
      </c>
      <c r="G29" s="31" t="s">
        <v>36</v>
      </c>
    </row>
    <row r="30" spans="1:7" ht="12" customHeight="1" x14ac:dyDescent="0.15">
      <c r="A30" s="135"/>
      <c r="B30" s="139"/>
      <c r="C30" s="134" t="s">
        <v>413</v>
      </c>
      <c r="D30" s="45" t="s">
        <v>567</v>
      </c>
      <c r="E30" s="45" t="s">
        <v>604</v>
      </c>
      <c r="F30" s="154" t="s">
        <v>584</v>
      </c>
      <c r="G30" s="141" t="s">
        <v>618</v>
      </c>
    </row>
    <row r="31" spans="1:7" ht="12" customHeight="1" x14ac:dyDescent="0.15">
      <c r="A31" s="135"/>
      <c r="B31" s="139"/>
      <c r="C31" s="134"/>
      <c r="D31" s="45" t="s">
        <v>568</v>
      </c>
      <c r="E31" s="45" t="s">
        <v>605</v>
      </c>
      <c r="F31" s="154"/>
      <c r="G31" s="137"/>
    </row>
    <row r="32" spans="1:7" ht="12" customHeight="1" x14ac:dyDescent="0.15">
      <c r="A32" s="135"/>
      <c r="B32" s="139"/>
      <c r="C32" s="134"/>
      <c r="D32" s="45" t="s">
        <v>535</v>
      </c>
      <c r="E32" s="45" t="s">
        <v>604</v>
      </c>
      <c r="F32" s="154"/>
      <c r="G32" s="137"/>
    </row>
    <row r="33" spans="1:7" ht="12" customHeight="1" x14ac:dyDescent="0.15">
      <c r="A33" s="135"/>
      <c r="B33" s="139"/>
      <c r="C33" s="134"/>
      <c r="D33" s="45" t="s">
        <v>537</v>
      </c>
      <c r="E33" s="45" t="s">
        <v>605</v>
      </c>
      <c r="F33" s="154"/>
      <c r="G33" s="137"/>
    </row>
    <row r="34" spans="1:7" ht="12" customHeight="1" x14ac:dyDescent="0.15">
      <c r="A34" s="135"/>
      <c r="B34" s="139"/>
      <c r="C34" s="134"/>
      <c r="D34" s="45" t="s">
        <v>536</v>
      </c>
      <c r="E34" s="45" t="s">
        <v>606</v>
      </c>
      <c r="F34" s="154"/>
      <c r="G34" s="137"/>
    </row>
    <row r="35" spans="1:7" ht="12" customHeight="1" x14ac:dyDescent="0.15">
      <c r="A35" s="135"/>
      <c r="B35" s="139"/>
      <c r="C35" s="134"/>
      <c r="D35" s="45" t="s">
        <v>569</v>
      </c>
      <c r="E35" s="45" t="s">
        <v>604</v>
      </c>
      <c r="F35" s="154"/>
      <c r="G35" s="137"/>
    </row>
    <row r="36" spans="1:7" ht="12" customHeight="1" x14ac:dyDescent="0.15">
      <c r="A36" s="135"/>
      <c r="B36" s="139"/>
      <c r="C36" s="134"/>
      <c r="D36" s="45" t="s">
        <v>570</v>
      </c>
      <c r="E36" s="45" t="s">
        <v>605</v>
      </c>
      <c r="F36" s="154"/>
      <c r="G36" s="137"/>
    </row>
    <row r="37" spans="1:7" ht="12" customHeight="1" x14ac:dyDescent="0.15">
      <c r="A37" s="135"/>
      <c r="B37" s="139"/>
      <c r="C37" s="134"/>
      <c r="D37" s="45" t="s">
        <v>539</v>
      </c>
      <c r="E37" s="45" t="s">
        <v>606</v>
      </c>
      <c r="F37" s="154"/>
      <c r="G37" s="137"/>
    </row>
    <row r="38" spans="1:7" ht="12" customHeight="1" x14ac:dyDescent="0.15">
      <c r="A38" s="135"/>
      <c r="B38" s="139"/>
      <c r="C38" s="134"/>
      <c r="D38" s="45" t="s">
        <v>571</v>
      </c>
      <c r="E38" s="45" t="s">
        <v>604</v>
      </c>
      <c r="F38" s="154"/>
      <c r="G38" s="137"/>
    </row>
    <row r="39" spans="1:7" ht="12" customHeight="1" x14ac:dyDescent="0.15">
      <c r="A39" s="135"/>
      <c r="B39" s="139"/>
      <c r="C39" s="134"/>
      <c r="D39" s="45" t="s">
        <v>572</v>
      </c>
      <c r="E39" s="45" t="s">
        <v>605</v>
      </c>
      <c r="F39" s="154"/>
      <c r="G39" s="137"/>
    </row>
    <row r="40" spans="1:7" ht="12" customHeight="1" x14ac:dyDescent="0.15">
      <c r="A40" s="135"/>
      <c r="B40" s="139"/>
      <c r="C40" s="134"/>
      <c r="D40" s="45" t="s">
        <v>398</v>
      </c>
      <c r="E40" s="45" t="s">
        <v>606</v>
      </c>
      <c r="F40" s="154"/>
      <c r="G40" s="137"/>
    </row>
    <row r="41" spans="1:7" ht="12" customHeight="1" x14ac:dyDescent="0.15">
      <c r="A41" s="135"/>
      <c r="B41" s="139"/>
      <c r="C41" s="134"/>
      <c r="D41" s="45" t="s">
        <v>574</v>
      </c>
      <c r="E41" s="45" t="s">
        <v>604</v>
      </c>
      <c r="F41" s="154"/>
      <c r="G41" s="137"/>
    </row>
    <row r="42" spans="1:7" ht="12" customHeight="1" x14ac:dyDescent="0.15">
      <c r="A42" s="135"/>
      <c r="B42" s="139"/>
      <c r="C42" s="134"/>
      <c r="D42" s="45" t="s">
        <v>538</v>
      </c>
      <c r="E42" s="45" t="s">
        <v>605</v>
      </c>
      <c r="F42" s="154"/>
      <c r="G42" s="137"/>
    </row>
    <row r="43" spans="1:7" ht="12" customHeight="1" x14ac:dyDescent="0.15">
      <c r="A43" s="135"/>
      <c r="B43" s="139"/>
      <c r="C43" s="134"/>
      <c r="D43" s="45" t="s">
        <v>575</v>
      </c>
      <c r="E43" s="45" t="s">
        <v>606</v>
      </c>
      <c r="F43" s="154"/>
      <c r="G43" s="137"/>
    </row>
    <row r="44" spans="1:7" ht="12" customHeight="1" x14ac:dyDescent="0.15">
      <c r="A44" s="135"/>
      <c r="B44" s="139"/>
      <c r="C44" s="134"/>
      <c r="D44" s="45" t="s">
        <v>576</v>
      </c>
      <c r="E44" s="45" t="s">
        <v>604</v>
      </c>
      <c r="F44" s="154"/>
      <c r="G44" s="137"/>
    </row>
    <row r="45" spans="1:7" ht="12" customHeight="1" x14ac:dyDescent="0.15">
      <c r="A45" s="135"/>
      <c r="B45" s="139"/>
      <c r="C45" s="134"/>
      <c r="D45" s="45" t="s">
        <v>577</v>
      </c>
      <c r="E45" s="45" t="s">
        <v>605</v>
      </c>
      <c r="F45" s="154"/>
      <c r="G45" s="137"/>
    </row>
    <row r="46" spans="1:7" ht="12" customHeight="1" x14ac:dyDescent="0.15">
      <c r="A46" s="135"/>
      <c r="B46" s="139"/>
      <c r="C46" s="134"/>
      <c r="D46" s="45" t="s">
        <v>578</v>
      </c>
      <c r="E46" s="45" t="s">
        <v>606</v>
      </c>
      <c r="F46" s="154"/>
      <c r="G46" s="137"/>
    </row>
    <row r="47" spans="1:7" ht="12" customHeight="1" x14ac:dyDescent="0.15">
      <c r="A47" s="135"/>
      <c r="B47" s="139"/>
      <c r="C47" s="134" t="s">
        <v>583</v>
      </c>
      <c r="D47" s="45" t="s">
        <v>604</v>
      </c>
      <c r="E47" s="33"/>
      <c r="F47" s="154" t="s">
        <v>584</v>
      </c>
      <c r="G47" s="45" t="s">
        <v>608</v>
      </c>
    </row>
    <row r="48" spans="1:7" ht="12" customHeight="1" x14ac:dyDescent="0.15">
      <c r="A48" s="135"/>
      <c r="B48" s="139"/>
      <c r="C48" s="134"/>
      <c r="D48" s="45" t="s">
        <v>605</v>
      </c>
      <c r="E48" s="33"/>
      <c r="F48" s="154"/>
      <c r="G48" s="45" t="s">
        <v>610</v>
      </c>
    </row>
    <row r="49" spans="1:10" ht="12" customHeight="1" x14ac:dyDescent="0.15">
      <c r="A49" s="135"/>
      <c r="B49" s="139"/>
      <c r="C49" s="134"/>
      <c r="D49" s="45" t="s">
        <v>606</v>
      </c>
      <c r="E49" s="33"/>
      <c r="F49" s="154"/>
      <c r="G49" s="45" t="s">
        <v>611</v>
      </c>
    </row>
    <row r="50" spans="1:10" ht="12" customHeight="1" x14ac:dyDescent="0.15">
      <c r="A50" s="135"/>
      <c r="B50" s="130" t="s">
        <v>38</v>
      </c>
      <c r="C50" s="129"/>
      <c r="D50" s="129"/>
      <c r="E50" s="129"/>
      <c r="F50" s="129"/>
      <c r="G50" s="107"/>
    </row>
    <row r="51" spans="1:10" ht="12" customHeight="1" x14ac:dyDescent="0.15">
      <c r="A51" s="135"/>
      <c r="B51" s="43" t="s">
        <v>39</v>
      </c>
      <c r="C51" s="130" t="s">
        <v>40</v>
      </c>
      <c r="D51" s="129"/>
      <c r="E51" s="107"/>
      <c r="F51" s="32" t="s">
        <v>41</v>
      </c>
      <c r="G51" s="32" t="s">
        <v>42</v>
      </c>
    </row>
    <row r="52" spans="1:10" ht="12" customHeight="1" x14ac:dyDescent="0.15">
      <c r="A52" s="135"/>
      <c r="B52" s="33" t="s">
        <v>580</v>
      </c>
      <c r="C52" s="137" t="s">
        <v>589</v>
      </c>
      <c r="D52" s="129"/>
      <c r="E52" s="107"/>
      <c r="F52" s="39" t="s">
        <v>585</v>
      </c>
      <c r="G52" s="45" t="s">
        <v>608</v>
      </c>
    </row>
    <row r="53" spans="1:10" ht="12" customHeight="1" x14ac:dyDescent="0.15">
      <c r="A53" s="135"/>
      <c r="B53" s="33" t="s">
        <v>613</v>
      </c>
      <c r="C53" s="137" t="s">
        <v>589</v>
      </c>
      <c r="D53" s="129"/>
      <c r="E53" s="107"/>
      <c r="F53" s="39" t="s">
        <v>585</v>
      </c>
      <c r="G53" s="45" t="s">
        <v>610</v>
      </c>
    </row>
    <row r="54" spans="1:10" ht="12" customHeight="1" x14ac:dyDescent="0.15">
      <c r="A54" s="135"/>
      <c r="B54" s="33" t="s">
        <v>615</v>
      </c>
      <c r="C54" s="137" t="s">
        <v>589</v>
      </c>
      <c r="D54" s="129"/>
      <c r="E54" s="107"/>
      <c r="F54" s="39" t="s">
        <v>585</v>
      </c>
      <c r="G54" s="45" t="s">
        <v>611</v>
      </c>
    </row>
    <row r="55" spans="1:10" ht="12" customHeight="1" x14ac:dyDescent="0.15">
      <c r="A55" s="135"/>
      <c r="B55" s="74" t="s">
        <v>588</v>
      </c>
      <c r="C55" s="125" t="s">
        <v>589</v>
      </c>
      <c r="D55" s="122"/>
      <c r="E55" s="123"/>
      <c r="F55" s="54" t="s">
        <v>585</v>
      </c>
      <c r="G55" s="73" t="s">
        <v>590</v>
      </c>
    </row>
    <row r="56" spans="1:10" ht="12" customHeight="1" x14ac:dyDescent="0.15">
      <c r="A56" s="135"/>
      <c r="B56" s="138" t="s">
        <v>43</v>
      </c>
      <c r="C56" s="129"/>
      <c r="D56" s="129"/>
      <c r="E56" s="129"/>
      <c r="F56" s="129"/>
      <c r="G56" s="107"/>
    </row>
    <row r="57" spans="1:10" ht="12" customHeight="1" x14ac:dyDescent="0.15">
      <c r="A57" s="135"/>
      <c r="B57" s="31" t="s">
        <v>39</v>
      </c>
      <c r="C57" s="31" t="s">
        <v>44</v>
      </c>
      <c r="D57" s="31" t="s">
        <v>18</v>
      </c>
      <c r="E57" s="31" t="s">
        <v>45</v>
      </c>
      <c r="F57" s="31" t="s">
        <v>46</v>
      </c>
      <c r="G57" s="31" t="s">
        <v>47</v>
      </c>
      <c r="H57" s="31" t="s">
        <v>513</v>
      </c>
      <c r="I57" s="31" t="s">
        <v>514</v>
      </c>
      <c r="J57" s="31" t="s">
        <v>515</v>
      </c>
    </row>
    <row r="58" spans="1:10" ht="162" x14ac:dyDescent="0.15">
      <c r="A58" s="135"/>
      <c r="B58" s="35" t="s">
        <v>579</v>
      </c>
      <c r="C58" s="35" t="s">
        <v>589</v>
      </c>
      <c r="D58" s="35" t="s">
        <v>607</v>
      </c>
      <c r="E58" s="35" t="s">
        <v>130</v>
      </c>
      <c r="F58" s="35" t="s">
        <v>616</v>
      </c>
      <c r="G58" s="35" t="s">
        <v>591</v>
      </c>
      <c r="H58" s="35" t="s">
        <v>145</v>
      </c>
      <c r="I58" s="35" t="s">
        <v>586</v>
      </c>
      <c r="J58" s="35" t="s">
        <v>547</v>
      </c>
    </row>
    <row r="59" spans="1:10" ht="175.5" x14ac:dyDescent="0.15">
      <c r="A59" s="135"/>
      <c r="B59" s="35" t="s">
        <v>612</v>
      </c>
      <c r="C59" s="35" t="s">
        <v>589</v>
      </c>
      <c r="D59" s="35" t="s">
        <v>609</v>
      </c>
      <c r="E59" s="35" t="s">
        <v>130</v>
      </c>
      <c r="F59" s="35" t="s">
        <v>617</v>
      </c>
      <c r="G59" s="35" t="s">
        <v>944</v>
      </c>
      <c r="H59" s="35" t="s">
        <v>145</v>
      </c>
      <c r="I59" s="35" t="s">
        <v>586</v>
      </c>
      <c r="J59" s="35" t="s">
        <v>547</v>
      </c>
    </row>
    <row r="60" spans="1:10" ht="148.5" x14ac:dyDescent="0.15">
      <c r="A60" s="135"/>
      <c r="B60" s="35" t="s">
        <v>614</v>
      </c>
      <c r="C60" s="35" t="s">
        <v>589</v>
      </c>
      <c r="D60" s="35" t="s">
        <v>611</v>
      </c>
      <c r="E60" s="35" t="s">
        <v>130</v>
      </c>
      <c r="F60" s="35" t="s">
        <v>630</v>
      </c>
      <c r="G60" s="35" t="s">
        <v>946</v>
      </c>
      <c r="H60" s="35" t="s">
        <v>145</v>
      </c>
      <c r="I60" s="35" t="s">
        <v>586</v>
      </c>
      <c r="J60" s="35" t="s">
        <v>547</v>
      </c>
    </row>
    <row r="61" spans="1:10" ht="12" customHeight="1" x14ac:dyDescent="0.15">
      <c r="A61" s="134" t="s">
        <v>560</v>
      </c>
      <c r="B61" s="128" t="s">
        <v>23</v>
      </c>
      <c r="C61" s="129"/>
      <c r="D61" s="129"/>
      <c r="E61" s="129"/>
      <c r="F61" s="129"/>
      <c r="G61" s="107"/>
    </row>
    <row r="62" spans="1:10" ht="12" customHeight="1" x14ac:dyDescent="0.15">
      <c r="A62" s="135"/>
      <c r="B62" s="130" t="s">
        <v>24</v>
      </c>
      <c r="C62" s="129"/>
      <c r="D62" s="129"/>
      <c r="E62" s="129"/>
      <c r="F62" s="129"/>
      <c r="G62" s="107"/>
    </row>
    <row r="63" spans="1:10" ht="12" customHeight="1" x14ac:dyDescent="0.15">
      <c r="A63" s="135"/>
      <c r="B63" s="139" t="s">
        <v>25</v>
      </c>
      <c r="C63" s="37" t="s">
        <v>18</v>
      </c>
      <c r="D63" s="37" t="s">
        <v>26</v>
      </c>
      <c r="E63" s="37" t="s">
        <v>27</v>
      </c>
      <c r="F63" s="32" t="s">
        <v>28</v>
      </c>
      <c r="G63" s="32" t="s">
        <v>29</v>
      </c>
    </row>
    <row r="64" spans="1:10" ht="12" customHeight="1" x14ac:dyDescent="0.15">
      <c r="A64" s="135"/>
      <c r="B64" s="139"/>
      <c r="C64" s="134" t="s">
        <v>413</v>
      </c>
      <c r="D64" s="45" t="s">
        <v>567</v>
      </c>
      <c r="E64" s="45" t="s">
        <v>364</v>
      </c>
      <c r="F64" s="134" t="s">
        <v>522</v>
      </c>
      <c r="G64" s="141" t="s">
        <v>592</v>
      </c>
    </row>
    <row r="65" spans="1:7" ht="12" customHeight="1" x14ac:dyDescent="0.15">
      <c r="A65" s="135"/>
      <c r="B65" s="139"/>
      <c r="C65" s="134"/>
      <c r="D65" s="45" t="s">
        <v>535</v>
      </c>
      <c r="E65" s="45"/>
      <c r="F65" s="134"/>
      <c r="G65" s="141"/>
    </row>
    <row r="66" spans="1:7" ht="12" customHeight="1" x14ac:dyDescent="0.15">
      <c r="A66" s="135"/>
      <c r="B66" s="139"/>
      <c r="C66" s="134"/>
      <c r="D66" s="45" t="s">
        <v>537</v>
      </c>
      <c r="E66" s="45"/>
      <c r="F66" s="134"/>
      <c r="G66" s="141"/>
    </row>
    <row r="67" spans="1:7" ht="12" customHeight="1" x14ac:dyDescent="0.15">
      <c r="A67" s="135"/>
      <c r="B67" s="139"/>
      <c r="C67" s="134"/>
      <c r="D67" s="45" t="s">
        <v>536</v>
      </c>
      <c r="E67" s="45"/>
      <c r="F67" s="134"/>
      <c r="G67" s="141"/>
    </row>
    <row r="68" spans="1:7" ht="12" customHeight="1" x14ac:dyDescent="0.15">
      <c r="A68" s="135"/>
      <c r="B68" s="139"/>
      <c r="C68" s="134"/>
      <c r="D68" s="45" t="s">
        <v>569</v>
      </c>
      <c r="E68" s="45"/>
      <c r="F68" s="134"/>
      <c r="G68" s="141"/>
    </row>
    <row r="69" spans="1:7" ht="12" customHeight="1" x14ac:dyDescent="0.15">
      <c r="A69" s="135"/>
      <c r="B69" s="139"/>
      <c r="C69" s="134"/>
      <c r="D69" s="45" t="s">
        <v>570</v>
      </c>
      <c r="E69" s="45"/>
      <c r="F69" s="134"/>
      <c r="G69" s="141"/>
    </row>
    <row r="70" spans="1:7" ht="12" customHeight="1" x14ac:dyDescent="0.15">
      <c r="A70" s="135"/>
      <c r="B70" s="139"/>
      <c r="C70" s="134"/>
      <c r="D70" s="45" t="s">
        <v>539</v>
      </c>
      <c r="E70" s="45"/>
      <c r="F70" s="134"/>
      <c r="G70" s="141"/>
    </row>
    <row r="71" spans="1:7" ht="12" customHeight="1" x14ac:dyDescent="0.15">
      <c r="A71" s="135"/>
      <c r="B71" s="139"/>
      <c r="C71" s="134"/>
      <c r="D71" s="45" t="s">
        <v>571</v>
      </c>
      <c r="E71" s="45"/>
      <c r="F71" s="134"/>
      <c r="G71" s="141"/>
    </row>
    <row r="72" spans="1:7" ht="12" customHeight="1" x14ac:dyDescent="0.15">
      <c r="A72" s="135"/>
      <c r="B72" s="139"/>
      <c r="C72" s="134"/>
      <c r="D72" s="45" t="s">
        <v>572</v>
      </c>
      <c r="E72" s="45"/>
      <c r="F72" s="134"/>
      <c r="G72" s="141"/>
    </row>
    <row r="73" spans="1:7" ht="12" customHeight="1" x14ac:dyDescent="0.15">
      <c r="A73" s="135"/>
      <c r="B73" s="139"/>
      <c r="C73" s="134"/>
      <c r="D73" s="45" t="s">
        <v>573</v>
      </c>
      <c r="E73" s="45"/>
      <c r="F73" s="134"/>
      <c r="G73" s="141"/>
    </row>
    <row r="74" spans="1:7" ht="12" customHeight="1" x14ac:dyDescent="0.15">
      <c r="A74" s="135"/>
      <c r="B74" s="139"/>
      <c r="C74" s="134"/>
      <c r="D74" s="45" t="s">
        <v>574</v>
      </c>
      <c r="E74" s="45"/>
      <c r="F74" s="134"/>
      <c r="G74" s="141"/>
    </row>
    <row r="75" spans="1:7" ht="12" customHeight="1" x14ac:dyDescent="0.15">
      <c r="A75" s="135"/>
      <c r="B75" s="139"/>
      <c r="C75" s="134"/>
      <c r="D75" s="45" t="s">
        <v>538</v>
      </c>
      <c r="E75" s="45"/>
      <c r="F75" s="134"/>
      <c r="G75" s="141"/>
    </row>
    <row r="76" spans="1:7" ht="12" customHeight="1" x14ac:dyDescent="0.15">
      <c r="A76" s="135"/>
      <c r="B76" s="139"/>
      <c r="C76" s="134"/>
      <c r="D76" s="45" t="s">
        <v>575</v>
      </c>
      <c r="E76" s="45"/>
      <c r="F76" s="134"/>
      <c r="G76" s="141"/>
    </row>
    <row r="77" spans="1:7" ht="12" customHeight="1" x14ac:dyDescent="0.15">
      <c r="A77" s="135"/>
      <c r="B77" s="139"/>
      <c r="C77" s="134"/>
      <c r="D77" s="45" t="s">
        <v>576</v>
      </c>
      <c r="E77" s="45"/>
      <c r="F77" s="134"/>
      <c r="G77" s="141"/>
    </row>
    <row r="78" spans="1:7" ht="12" customHeight="1" x14ac:dyDescent="0.15">
      <c r="A78" s="135"/>
      <c r="B78" s="139"/>
      <c r="C78" s="134"/>
      <c r="D78" s="45" t="s">
        <v>577</v>
      </c>
      <c r="E78" s="45"/>
      <c r="F78" s="134"/>
      <c r="G78" s="141"/>
    </row>
    <row r="79" spans="1:7" ht="12" customHeight="1" x14ac:dyDescent="0.15">
      <c r="A79" s="135"/>
      <c r="B79" s="139"/>
      <c r="C79" s="134"/>
      <c r="D79" s="45" t="s">
        <v>578</v>
      </c>
      <c r="E79" s="45"/>
      <c r="F79" s="134"/>
      <c r="G79" s="141"/>
    </row>
    <row r="80" spans="1:7" ht="12" customHeight="1" x14ac:dyDescent="0.15">
      <c r="A80" s="135"/>
      <c r="B80" s="130" t="s">
        <v>31</v>
      </c>
      <c r="C80" s="151"/>
      <c r="D80" s="151"/>
      <c r="E80" s="151"/>
      <c r="F80" s="151"/>
      <c r="G80" s="151"/>
    </row>
    <row r="81" spans="1:10" ht="12" customHeight="1" x14ac:dyDescent="0.15">
      <c r="A81" s="135"/>
      <c r="B81" s="139" t="s">
        <v>32</v>
      </c>
      <c r="C81" s="31" t="s">
        <v>18</v>
      </c>
      <c r="D81" s="31" t="s">
        <v>33</v>
      </c>
      <c r="E81" s="31" t="s">
        <v>34</v>
      </c>
      <c r="F81" s="31" t="s">
        <v>35</v>
      </c>
      <c r="G81" s="31" t="s">
        <v>36</v>
      </c>
    </row>
    <row r="82" spans="1:10" ht="12" customHeight="1" x14ac:dyDescent="0.15">
      <c r="A82" s="135"/>
      <c r="B82" s="139"/>
      <c r="C82" s="42" t="s">
        <v>37</v>
      </c>
      <c r="D82" s="45" t="s">
        <v>521</v>
      </c>
      <c r="E82" s="45"/>
      <c r="F82" s="45"/>
      <c r="G82" s="45"/>
    </row>
    <row r="83" spans="1:10" ht="12" customHeight="1" x14ac:dyDescent="0.15">
      <c r="A83" s="135"/>
      <c r="B83" s="130" t="s">
        <v>38</v>
      </c>
      <c r="C83" s="129"/>
      <c r="D83" s="129"/>
      <c r="E83" s="129"/>
      <c r="F83" s="129"/>
      <c r="G83" s="107"/>
    </row>
    <row r="84" spans="1:10" ht="12" customHeight="1" x14ac:dyDescent="0.15">
      <c r="A84" s="135"/>
      <c r="B84" s="43" t="s">
        <v>39</v>
      </c>
      <c r="C84" s="130" t="s">
        <v>40</v>
      </c>
      <c r="D84" s="129"/>
      <c r="E84" s="107"/>
      <c r="F84" s="32" t="s">
        <v>41</v>
      </c>
      <c r="G84" s="32" t="s">
        <v>42</v>
      </c>
    </row>
    <row r="85" spans="1:10" ht="12" customHeight="1" x14ac:dyDescent="0.15">
      <c r="A85" s="135"/>
      <c r="B85" s="33" t="s">
        <v>594</v>
      </c>
      <c r="C85" s="137" t="s">
        <v>597</v>
      </c>
      <c r="D85" s="129"/>
      <c r="E85" s="107"/>
      <c r="F85" s="39" t="s">
        <v>413</v>
      </c>
      <c r="G85" s="72" t="s">
        <v>598</v>
      </c>
    </row>
    <row r="86" spans="1:10" ht="12" customHeight="1" x14ac:dyDescent="0.15">
      <c r="A86" s="135"/>
      <c r="B86" s="33" t="s">
        <v>596</v>
      </c>
      <c r="C86" s="137" t="s">
        <v>597</v>
      </c>
      <c r="D86" s="129"/>
      <c r="E86" s="107"/>
      <c r="F86" s="39" t="s">
        <v>413</v>
      </c>
      <c r="G86" s="72" t="s">
        <v>599</v>
      </c>
    </row>
    <row r="87" spans="1:10" ht="12" customHeight="1" x14ac:dyDescent="0.15">
      <c r="A87" s="135"/>
      <c r="B87" s="138" t="s">
        <v>43</v>
      </c>
      <c r="C87" s="129"/>
      <c r="D87" s="129"/>
      <c r="E87" s="129"/>
      <c r="F87" s="129"/>
      <c r="G87" s="107"/>
    </row>
    <row r="88" spans="1:10" ht="12" customHeight="1" x14ac:dyDescent="0.15">
      <c r="A88" s="135"/>
      <c r="B88" s="31" t="s">
        <v>39</v>
      </c>
      <c r="C88" s="31" t="s">
        <v>44</v>
      </c>
      <c r="D88" s="31" t="s">
        <v>18</v>
      </c>
      <c r="E88" s="31" t="s">
        <v>45</v>
      </c>
      <c r="F88" s="31" t="s">
        <v>46</v>
      </c>
      <c r="G88" s="31" t="s">
        <v>47</v>
      </c>
      <c r="H88" s="31" t="s">
        <v>513</v>
      </c>
      <c r="I88" s="31" t="s">
        <v>514</v>
      </c>
      <c r="J88" s="31" t="s">
        <v>515</v>
      </c>
    </row>
    <row r="89" spans="1:10" ht="135" x14ac:dyDescent="0.15">
      <c r="A89" s="135"/>
      <c r="B89" s="35" t="s">
        <v>593</v>
      </c>
      <c r="C89" s="35" t="s">
        <v>597</v>
      </c>
      <c r="D89" s="35" t="s">
        <v>598</v>
      </c>
      <c r="E89" s="35" t="s">
        <v>130</v>
      </c>
      <c r="F89" s="35" t="s">
        <v>600</v>
      </c>
      <c r="G89" s="35" t="s">
        <v>602</v>
      </c>
      <c r="H89" s="35" t="s">
        <v>143</v>
      </c>
      <c r="I89" s="35" t="s">
        <v>512</v>
      </c>
      <c r="J89" s="35" t="s">
        <v>516</v>
      </c>
    </row>
    <row r="90" spans="1:10" ht="94.5" x14ac:dyDescent="0.15">
      <c r="A90" s="135"/>
      <c r="B90" s="35" t="s">
        <v>595</v>
      </c>
      <c r="C90" s="35" t="s">
        <v>597</v>
      </c>
      <c r="D90" s="35" t="s">
        <v>599</v>
      </c>
      <c r="E90" s="35" t="s">
        <v>130</v>
      </c>
      <c r="F90" s="35" t="s">
        <v>601</v>
      </c>
      <c r="G90" s="35" t="s">
        <v>948</v>
      </c>
      <c r="H90" s="35" t="s">
        <v>143</v>
      </c>
      <c r="I90" s="35" t="s">
        <v>512</v>
      </c>
      <c r="J90" s="35" t="s">
        <v>516</v>
      </c>
    </row>
  </sheetData>
  <mergeCells count="43">
    <mergeCell ref="B81:B82"/>
    <mergeCell ref="C54:E54"/>
    <mergeCell ref="C55:E55"/>
    <mergeCell ref="C53:E53"/>
    <mergeCell ref="A61:A90"/>
    <mergeCell ref="B61:G61"/>
    <mergeCell ref="B62:G62"/>
    <mergeCell ref="B63:B79"/>
    <mergeCell ref="C64:C79"/>
    <mergeCell ref="F64:F79"/>
    <mergeCell ref="G64:G79"/>
    <mergeCell ref="B83:G83"/>
    <mergeCell ref="C84:E84"/>
    <mergeCell ref="C85:E85"/>
    <mergeCell ref="C86:E86"/>
    <mergeCell ref="B87:G87"/>
    <mergeCell ref="B80:G80"/>
    <mergeCell ref="F30:F46"/>
    <mergeCell ref="B29:B49"/>
    <mergeCell ref="C47:C49"/>
    <mergeCell ref="G30:G46"/>
    <mergeCell ref="F47:F49"/>
    <mergeCell ref="C51:E51"/>
    <mergeCell ref="C52:E52"/>
    <mergeCell ref="B56:G56"/>
    <mergeCell ref="A5:A60"/>
    <mergeCell ref="B5:G5"/>
    <mergeCell ref="B6:G6"/>
    <mergeCell ref="C8:C24"/>
    <mergeCell ref="F8:F24"/>
    <mergeCell ref="G8:G24"/>
    <mergeCell ref="B28:G28"/>
    <mergeCell ref="B50:G50"/>
    <mergeCell ref="B7:B27"/>
    <mergeCell ref="C25:C27"/>
    <mergeCell ref="F25:F27"/>
    <mergeCell ref="G25:G27"/>
    <mergeCell ref="C30:C46"/>
    <mergeCell ref="A1:A4"/>
    <mergeCell ref="F1:G1"/>
    <mergeCell ref="F2:G2"/>
    <mergeCell ref="F4:G4"/>
    <mergeCell ref="F3:G3"/>
  </mergeCells>
  <phoneticPr fontId="1" type="noConversion"/>
  <dataValidations count="1">
    <dataValidation type="list" allowBlank="1" showInputMessage="1" showErrorMessage="1" sqref="C2:C4" xr:uid="{B93B885C-C1DE-44EC-BB9B-4F1E13B498AD}">
      <formula1>"流程图,状态机,等价类划分&amp;数据组合,直接分析"</formula1>
    </dataValidation>
  </dataValidation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EC3E3E-4021-448B-9523-656A471F7919}">
  <dimension ref="A1:J107"/>
  <sheetViews>
    <sheetView zoomScale="115" zoomScaleNormal="115" workbookViewId="0">
      <pane xSplit="1" ySplit="12" topLeftCell="B93" activePane="bottomRight" state="frozen"/>
      <selection pane="topRight" activeCell="B1" sqref="B1"/>
      <selection pane="bottomLeft" activeCell="A11" sqref="A11"/>
      <selection pane="bottomRight" activeCell="B93" sqref="B93"/>
    </sheetView>
  </sheetViews>
  <sheetFormatPr defaultColWidth="9" defaultRowHeight="15.75" customHeight="1" x14ac:dyDescent="0.15"/>
  <cols>
    <col min="1" max="1" width="15" customWidth="1"/>
    <col min="2" max="2" width="32.125" customWidth="1"/>
    <col min="3" max="4" width="14.625" customWidth="1"/>
    <col min="5" max="5" width="12.75" customWidth="1"/>
    <col min="6" max="6" width="61.875" customWidth="1"/>
    <col min="7" max="7" width="82.5" customWidth="1"/>
  </cols>
  <sheetData>
    <row r="1" spans="1:7" ht="15.75" customHeight="1" x14ac:dyDescent="0.15">
      <c r="A1" s="131" t="s">
        <v>22</v>
      </c>
      <c r="B1" s="47" t="s">
        <v>14</v>
      </c>
      <c r="C1" s="47" t="s">
        <v>15</v>
      </c>
      <c r="D1" s="47" t="s">
        <v>16</v>
      </c>
      <c r="E1" s="47" t="s">
        <v>17</v>
      </c>
      <c r="F1" s="127" t="s">
        <v>18</v>
      </c>
      <c r="G1" s="103"/>
    </row>
    <row r="2" spans="1:7" ht="15.75" customHeight="1" x14ac:dyDescent="0.15">
      <c r="A2" s="132"/>
      <c r="B2" s="44"/>
      <c r="C2" s="44"/>
      <c r="D2" s="44"/>
      <c r="E2" s="44"/>
      <c r="F2" s="44"/>
      <c r="G2" s="63"/>
    </row>
    <row r="3" spans="1:7" ht="15.75" customHeight="1" x14ac:dyDescent="0.15">
      <c r="A3" s="132"/>
      <c r="B3" s="39" t="s">
        <v>563</v>
      </c>
      <c r="C3" s="39" t="s">
        <v>19</v>
      </c>
      <c r="D3" s="39"/>
      <c r="E3" s="52">
        <v>17</v>
      </c>
      <c r="F3" s="105" t="s">
        <v>565</v>
      </c>
      <c r="G3" s="105"/>
    </row>
    <row r="4" spans="1:7" ht="15.75" customHeight="1" x14ac:dyDescent="0.15">
      <c r="A4" s="132"/>
      <c r="B4" s="39" t="s">
        <v>635</v>
      </c>
      <c r="C4" s="39" t="s">
        <v>20</v>
      </c>
      <c r="D4" s="39"/>
      <c r="E4" s="52">
        <v>2</v>
      </c>
      <c r="F4" s="105" t="s">
        <v>205</v>
      </c>
      <c r="G4" s="105"/>
    </row>
    <row r="5" spans="1:7" ht="15.75" customHeight="1" x14ac:dyDescent="0.15">
      <c r="A5" s="132"/>
      <c r="B5" s="78" t="s">
        <v>564</v>
      </c>
      <c r="C5" s="54" t="s">
        <v>20</v>
      </c>
      <c r="D5" s="54"/>
      <c r="E5" s="36">
        <v>17</v>
      </c>
      <c r="F5" s="108" t="s">
        <v>603</v>
      </c>
      <c r="G5" s="108"/>
    </row>
    <row r="6" spans="1:7" ht="15.75" customHeight="1" x14ac:dyDescent="0.15">
      <c r="A6" s="132"/>
      <c r="B6" s="39" t="s">
        <v>682</v>
      </c>
      <c r="C6" s="39" t="s">
        <v>20</v>
      </c>
      <c r="D6" s="39"/>
      <c r="E6" s="52">
        <v>1</v>
      </c>
      <c r="F6" s="105"/>
      <c r="G6" s="105"/>
    </row>
    <row r="7" spans="1:7" ht="15.75" customHeight="1" x14ac:dyDescent="0.15">
      <c r="A7" s="132"/>
      <c r="B7" s="39" t="s">
        <v>640</v>
      </c>
      <c r="C7" s="39" t="s">
        <v>20</v>
      </c>
      <c r="D7" s="39"/>
      <c r="E7" s="52">
        <v>3</v>
      </c>
      <c r="F7" s="105" t="s">
        <v>207</v>
      </c>
      <c r="G7" s="105"/>
    </row>
    <row r="8" spans="1:7" ht="15.75" customHeight="1" x14ac:dyDescent="0.15">
      <c r="A8" s="132"/>
      <c r="B8" s="79" t="s">
        <v>208</v>
      </c>
      <c r="C8" s="54" t="s">
        <v>20</v>
      </c>
      <c r="D8" s="54"/>
      <c r="E8" s="36">
        <v>1</v>
      </c>
      <c r="F8" s="108" t="s">
        <v>633</v>
      </c>
      <c r="G8" s="108"/>
    </row>
    <row r="9" spans="1:7" ht="15.75" customHeight="1" x14ac:dyDescent="0.15">
      <c r="A9" s="132"/>
      <c r="B9" s="79" t="s">
        <v>210</v>
      </c>
      <c r="C9" s="54" t="s">
        <v>20</v>
      </c>
      <c r="D9" s="54"/>
      <c r="E9" s="36">
        <v>1</v>
      </c>
      <c r="F9" s="159" t="s">
        <v>660</v>
      </c>
      <c r="G9" s="108"/>
    </row>
    <row r="10" spans="1:7" ht="15.75" customHeight="1" x14ac:dyDescent="0.15">
      <c r="A10" s="132"/>
      <c r="B10" s="79" t="s">
        <v>211</v>
      </c>
      <c r="C10" s="54" t="s">
        <v>20</v>
      </c>
      <c r="D10" s="54"/>
      <c r="E10" s="36">
        <v>1</v>
      </c>
      <c r="F10" s="159" t="s">
        <v>660</v>
      </c>
      <c r="G10" s="108"/>
    </row>
    <row r="11" spans="1:7" ht="15.75" customHeight="1" x14ac:dyDescent="0.15">
      <c r="A11" s="132"/>
      <c r="B11" s="55" t="s">
        <v>675</v>
      </c>
      <c r="C11" s="55" t="s">
        <v>20</v>
      </c>
      <c r="D11" s="55"/>
      <c r="E11" s="71">
        <v>1</v>
      </c>
      <c r="F11" s="76"/>
      <c r="G11" s="64"/>
    </row>
    <row r="12" spans="1:7" ht="15.75" customHeight="1" x14ac:dyDescent="0.15">
      <c r="A12" s="132"/>
      <c r="B12" s="39" t="s">
        <v>212</v>
      </c>
      <c r="C12" s="39" t="s">
        <v>20</v>
      </c>
      <c r="D12" s="39"/>
      <c r="E12" s="52">
        <v>1</v>
      </c>
      <c r="F12" s="105"/>
      <c r="G12" s="105"/>
    </row>
    <row r="13" spans="1:7" ht="15.75" customHeight="1" x14ac:dyDescent="0.15">
      <c r="A13" s="134" t="s">
        <v>563</v>
      </c>
      <c r="B13" s="128" t="s">
        <v>23</v>
      </c>
      <c r="C13" s="129"/>
      <c r="D13" s="129"/>
      <c r="E13" s="129"/>
      <c r="F13" s="129"/>
      <c r="G13" s="107"/>
    </row>
    <row r="14" spans="1:7" ht="15.75" customHeight="1" x14ac:dyDescent="0.15">
      <c r="A14" s="135"/>
      <c r="B14" s="130" t="s">
        <v>24</v>
      </c>
      <c r="C14" s="129"/>
      <c r="D14" s="129"/>
      <c r="E14" s="129"/>
      <c r="F14" s="129"/>
      <c r="G14" s="107"/>
    </row>
    <row r="15" spans="1:7" ht="15.75" customHeight="1" x14ac:dyDescent="0.15">
      <c r="A15" s="135"/>
      <c r="B15" s="139" t="s">
        <v>25</v>
      </c>
      <c r="C15" s="37" t="s">
        <v>18</v>
      </c>
      <c r="D15" s="37" t="s">
        <v>26</v>
      </c>
      <c r="E15" s="37" t="s">
        <v>27</v>
      </c>
      <c r="F15" s="32" t="s">
        <v>28</v>
      </c>
      <c r="G15" s="32" t="s">
        <v>29</v>
      </c>
    </row>
    <row r="16" spans="1:7" ht="15.75" customHeight="1" x14ac:dyDescent="0.15">
      <c r="A16" s="135"/>
      <c r="B16" s="139"/>
      <c r="C16" s="134" t="s">
        <v>413</v>
      </c>
      <c r="D16" s="45" t="s">
        <v>567</v>
      </c>
      <c r="E16" s="45"/>
      <c r="F16" s="134" t="s">
        <v>522</v>
      </c>
      <c r="G16" s="141" t="s">
        <v>581</v>
      </c>
    </row>
    <row r="17" spans="1:7" ht="15.75" customHeight="1" x14ac:dyDescent="0.15">
      <c r="A17" s="135"/>
      <c r="B17" s="139"/>
      <c r="C17" s="134"/>
      <c r="D17" s="45" t="s">
        <v>568</v>
      </c>
      <c r="E17" s="45"/>
      <c r="F17" s="134"/>
      <c r="G17" s="141"/>
    </row>
    <row r="18" spans="1:7" ht="15.75" customHeight="1" x14ac:dyDescent="0.15">
      <c r="A18" s="135"/>
      <c r="B18" s="139"/>
      <c r="C18" s="134"/>
      <c r="D18" s="45" t="s">
        <v>535</v>
      </c>
      <c r="E18" s="45"/>
      <c r="F18" s="134"/>
      <c r="G18" s="141"/>
    </row>
    <row r="19" spans="1:7" ht="15.75" customHeight="1" x14ac:dyDescent="0.15">
      <c r="A19" s="135"/>
      <c r="B19" s="139"/>
      <c r="C19" s="134"/>
      <c r="D19" s="45" t="s">
        <v>537</v>
      </c>
      <c r="E19" s="45"/>
      <c r="F19" s="134"/>
      <c r="G19" s="141"/>
    </row>
    <row r="20" spans="1:7" ht="15.75" customHeight="1" x14ac:dyDescent="0.15">
      <c r="A20" s="135"/>
      <c r="B20" s="139"/>
      <c r="C20" s="134"/>
      <c r="D20" s="45" t="s">
        <v>536</v>
      </c>
      <c r="E20" s="45"/>
      <c r="F20" s="134"/>
      <c r="G20" s="141"/>
    </row>
    <row r="21" spans="1:7" ht="15.75" customHeight="1" x14ac:dyDescent="0.15">
      <c r="A21" s="135"/>
      <c r="B21" s="139"/>
      <c r="C21" s="134"/>
      <c r="D21" s="45" t="s">
        <v>569</v>
      </c>
      <c r="E21" s="45"/>
      <c r="F21" s="134"/>
      <c r="G21" s="141"/>
    </row>
    <row r="22" spans="1:7" ht="15.75" customHeight="1" x14ac:dyDescent="0.15">
      <c r="A22" s="135"/>
      <c r="B22" s="139"/>
      <c r="C22" s="134"/>
      <c r="D22" s="45" t="s">
        <v>570</v>
      </c>
      <c r="E22" s="45"/>
      <c r="F22" s="134"/>
      <c r="G22" s="141"/>
    </row>
    <row r="23" spans="1:7" ht="15.75" customHeight="1" x14ac:dyDescent="0.15">
      <c r="A23" s="135"/>
      <c r="B23" s="139"/>
      <c r="C23" s="134"/>
      <c r="D23" s="45" t="s">
        <v>539</v>
      </c>
      <c r="E23" s="45"/>
      <c r="F23" s="134"/>
      <c r="G23" s="141"/>
    </row>
    <row r="24" spans="1:7" ht="15.75" customHeight="1" x14ac:dyDescent="0.15">
      <c r="A24" s="135"/>
      <c r="B24" s="139"/>
      <c r="C24" s="134"/>
      <c r="D24" s="45" t="s">
        <v>571</v>
      </c>
      <c r="E24" s="45"/>
      <c r="F24" s="134"/>
      <c r="G24" s="141"/>
    </row>
    <row r="25" spans="1:7" ht="15.75" customHeight="1" x14ac:dyDescent="0.15">
      <c r="A25" s="135"/>
      <c r="B25" s="139"/>
      <c r="C25" s="134"/>
      <c r="D25" s="45" t="s">
        <v>572</v>
      </c>
      <c r="E25" s="45"/>
      <c r="F25" s="134"/>
      <c r="G25" s="141"/>
    </row>
    <row r="26" spans="1:7" ht="15.75" customHeight="1" x14ac:dyDescent="0.15">
      <c r="A26" s="135"/>
      <c r="B26" s="139"/>
      <c r="C26" s="134"/>
      <c r="D26" s="45" t="s">
        <v>573</v>
      </c>
      <c r="E26" s="45"/>
      <c r="F26" s="134"/>
      <c r="G26" s="141"/>
    </row>
    <row r="27" spans="1:7" ht="15.75" customHeight="1" x14ac:dyDescent="0.15">
      <c r="A27" s="135"/>
      <c r="B27" s="139"/>
      <c r="C27" s="134"/>
      <c r="D27" s="45" t="s">
        <v>574</v>
      </c>
      <c r="E27" s="45"/>
      <c r="F27" s="134"/>
      <c r="G27" s="141"/>
    </row>
    <row r="28" spans="1:7" ht="15.75" customHeight="1" x14ac:dyDescent="0.15">
      <c r="A28" s="135"/>
      <c r="B28" s="139"/>
      <c r="C28" s="134"/>
      <c r="D28" s="45" t="s">
        <v>538</v>
      </c>
      <c r="E28" s="45"/>
      <c r="F28" s="134"/>
      <c r="G28" s="141"/>
    </row>
    <row r="29" spans="1:7" ht="15.75" customHeight="1" x14ac:dyDescent="0.15">
      <c r="A29" s="135"/>
      <c r="B29" s="139"/>
      <c r="C29" s="134"/>
      <c r="D29" s="45" t="s">
        <v>575</v>
      </c>
      <c r="E29" s="45"/>
      <c r="F29" s="134"/>
      <c r="G29" s="141"/>
    </row>
    <row r="30" spans="1:7" ht="15.75" customHeight="1" x14ac:dyDescent="0.15">
      <c r="A30" s="135"/>
      <c r="B30" s="139"/>
      <c r="C30" s="134"/>
      <c r="D30" s="45" t="s">
        <v>576</v>
      </c>
      <c r="E30" s="45"/>
      <c r="F30" s="134"/>
      <c r="G30" s="141"/>
    </row>
    <row r="31" spans="1:7" ht="15.75" customHeight="1" x14ac:dyDescent="0.15">
      <c r="A31" s="135"/>
      <c r="B31" s="139"/>
      <c r="C31" s="134"/>
      <c r="D31" s="45" t="s">
        <v>577</v>
      </c>
      <c r="E31" s="45"/>
      <c r="F31" s="134"/>
      <c r="G31" s="141"/>
    </row>
    <row r="32" spans="1:7" ht="15.75" customHeight="1" x14ac:dyDescent="0.15">
      <c r="A32" s="135"/>
      <c r="B32" s="139"/>
      <c r="C32" s="134"/>
      <c r="D32" s="45" t="s">
        <v>578</v>
      </c>
      <c r="E32" s="45"/>
      <c r="F32" s="134"/>
      <c r="G32" s="141"/>
    </row>
    <row r="33" spans="1:7" ht="15.75" customHeight="1" x14ac:dyDescent="0.15">
      <c r="A33" s="135"/>
      <c r="B33" s="139"/>
      <c r="C33" s="134" t="s">
        <v>583</v>
      </c>
      <c r="D33" s="45" t="s">
        <v>620</v>
      </c>
      <c r="E33" s="45"/>
      <c r="F33" s="134" t="s">
        <v>587</v>
      </c>
      <c r="G33" s="134" t="s">
        <v>621</v>
      </c>
    </row>
    <row r="34" spans="1:7" ht="15.75" customHeight="1" x14ac:dyDescent="0.15">
      <c r="A34" s="135"/>
      <c r="B34" s="139"/>
      <c r="C34" s="134"/>
      <c r="D34" s="45" t="s">
        <v>619</v>
      </c>
      <c r="E34" s="45"/>
      <c r="F34" s="134"/>
      <c r="G34" s="134"/>
    </row>
    <row r="35" spans="1:7" ht="15.75" customHeight="1" x14ac:dyDescent="0.15">
      <c r="A35" s="135"/>
      <c r="B35" s="130" t="s">
        <v>31</v>
      </c>
      <c r="C35" s="151"/>
      <c r="D35" s="151"/>
      <c r="E35" s="151"/>
      <c r="F35" s="151"/>
      <c r="G35" s="151"/>
    </row>
    <row r="36" spans="1:7" ht="15.75" customHeight="1" x14ac:dyDescent="0.15">
      <c r="A36" s="135"/>
      <c r="B36" s="139" t="s">
        <v>32</v>
      </c>
      <c r="C36" s="31" t="s">
        <v>18</v>
      </c>
      <c r="D36" s="31" t="s">
        <v>33</v>
      </c>
      <c r="E36" s="31" t="s">
        <v>34</v>
      </c>
      <c r="F36" s="31" t="s">
        <v>35</v>
      </c>
      <c r="G36" s="31" t="s">
        <v>36</v>
      </c>
    </row>
    <row r="37" spans="1:7" ht="15.75" customHeight="1" x14ac:dyDescent="0.15">
      <c r="A37" s="135"/>
      <c r="B37" s="139"/>
      <c r="C37" s="134" t="s">
        <v>413</v>
      </c>
      <c r="D37" s="45" t="s">
        <v>567</v>
      </c>
      <c r="E37" s="45"/>
      <c r="F37" s="154" t="s">
        <v>584</v>
      </c>
      <c r="G37" s="141" t="s">
        <v>622</v>
      </c>
    </row>
    <row r="38" spans="1:7" ht="15.75" customHeight="1" x14ac:dyDescent="0.15">
      <c r="A38" s="135"/>
      <c r="B38" s="139"/>
      <c r="C38" s="134"/>
      <c r="D38" s="45" t="s">
        <v>568</v>
      </c>
      <c r="E38" s="45"/>
      <c r="F38" s="154"/>
      <c r="G38" s="137"/>
    </row>
    <row r="39" spans="1:7" ht="15.75" customHeight="1" x14ac:dyDescent="0.15">
      <c r="A39" s="135"/>
      <c r="B39" s="139"/>
      <c r="C39" s="134"/>
      <c r="D39" s="45" t="s">
        <v>535</v>
      </c>
      <c r="E39" s="45"/>
      <c r="F39" s="154"/>
      <c r="G39" s="137"/>
    </row>
    <row r="40" spans="1:7" ht="15.75" customHeight="1" x14ac:dyDescent="0.15">
      <c r="A40" s="135"/>
      <c r="B40" s="139"/>
      <c r="C40" s="134"/>
      <c r="D40" s="45" t="s">
        <v>537</v>
      </c>
      <c r="E40" s="45"/>
      <c r="F40" s="154"/>
      <c r="G40" s="137"/>
    </row>
    <row r="41" spans="1:7" ht="15.75" customHeight="1" x14ac:dyDescent="0.15">
      <c r="A41" s="135"/>
      <c r="B41" s="139"/>
      <c r="C41" s="134"/>
      <c r="D41" s="45" t="s">
        <v>536</v>
      </c>
      <c r="E41" s="45"/>
      <c r="F41" s="154"/>
      <c r="G41" s="137"/>
    </row>
    <row r="42" spans="1:7" ht="15.75" customHeight="1" x14ac:dyDescent="0.15">
      <c r="A42" s="135"/>
      <c r="B42" s="139"/>
      <c r="C42" s="134"/>
      <c r="D42" s="45" t="s">
        <v>569</v>
      </c>
      <c r="E42" s="45"/>
      <c r="F42" s="154"/>
      <c r="G42" s="137"/>
    </row>
    <row r="43" spans="1:7" ht="15.75" customHeight="1" x14ac:dyDescent="0.15">
      <c r="A43" s="135"/>
      <c r="B43" s="139"/>
      <c r="C43" s="134"/>
      <c r="D43" s="45" t="s">
        <v>570</v>
      </c>
      <c r="E43" s="45"/>
      <c r="F43" s="154"/>
      <c r="G43" s="137"/>
    </row>
    <row r="44" spans="1:7" ht="15.75" customHeight="1" x14ac:dyDescent="0.15">
      <c r="A44" s="135"/>
      <c r="B44" s="139"/>
      <c r="C44" s="134"/>
      <c r="D44" s="45" t="s">
        <v>539</v>
      </c>
      <c r="E44" s="45"/>
      <c r="F44" s="154"/>
      <c r="G44" s="137"/>
    </row>
    <row r="45" spans="1:7" ht="15.75" customHeight="1" x14ac:dyDescent="0.15">
      <c r="A45" s="135"/>
      <c r="B45" s="139"/>
      <c r="C45" s="134"/>
      <c r="D45" s="45" t="s">
        <v>571</v>
      </c>
      <c r="E45" s="45"/>
      <c r="F45" s="154"/>
      <c r="G45" s="137"/>
    </row>
    <row r="46" spans="1:7" ht="15.75" customHeight="1" x14ac:dyDescent="0.15">
      <c r="A46" s="135"/>
      <c r="B46" s="139"/>
      <c r="C46" s="134"/>
      <c r="D46" s="45" t="s">
        <v>572</v>
      </c>
      <c r="E46" s="45"/>
      <c r="F46" s="154"/>
      <c r="G46" s="137"/>
    </row>
    <row r="47" spans="1:7" ht="15.75" customHeight="1" x14ac:dyDescent="0.15">
      <c r="A47" s="135"/>
      <c r="B47" s="139"/>
      <c r="C47" s="134"/>
      <c r="D47" s="45" t="s">
        <v>398</v>
      </c>
      <c r="E47" s="45"/>
      <c r="F47" s="154"/>
      <c r="G47" s="137"/>
    </row>
    <row r="48" spans="1:7" ht="15.75" customHeight="1" x14ac:dyDescent="0.15">
      <c r="A48" s="135"/>
      <c r="B48" s="139"/>
      <c r="C48" s="134"/>
      <c r="D48" s="45" t="s">
        <v>574</v>
      </c>
      <c r="E48" s="45"/>
      <c r="F48" s="154"/>
      <c r="G48" s="137"/>
    </row>
    <row r="49" spans="1:10" ht="15.75" customHeight="1" x14ac:dyDescent="0.15">
      <c r="A49" s="135"/>
      <c r="B49" s="139"/>
      <c r="C49" s="134"/>
      <c r="D49" s="45" t="s">
        <v>538</v>
      </c>
      <c r="E49" s="45"/>
      <c r="F49" s="154"/>
      <c r="G49" s="137"/>
    </row>
    <row r="50" spans="1:10" ht="15.75" customHeight="1" x14ac:dyDescent="0.15">
      <c r="A50" s="135"/>
      <c r="B50" s="139"/>
      <c r="C50" s="134"/>
      <c r="D50" s="45" t="s">
        <v>575</v>
      </c>
      <c r="E50" s="45"/>
      <c r="F50" s="154"/>
      <c r="G50" s="137"/>
    </row>
    <row r="51" spans="1:10" ht="15.75" customHeight="1" x14ac:dyDescent="0.15">
      <c r="A51" s="135"/>
      <c r="B51" s="139"/>
      <c r="C51" s="134"/>
      <c r="D51" s="45" t="s">
        <v>576</v>
      </c>
      <c r="E51" s="45"/>
      <c r="F51" s="154"/>
      <c r="G51" s="137"/>
    </row>
    <row r="52" spans="1:10" ht="15.75" customHeight="1" x14ac:dyDescent="0.15">
      <c r="A52" s="135"/>
      <c r="B52" s="139"/>
      <c r="C52" s="134"/>
      <c r="D52" s="45" t="s">
        <v>577</v>
      </c>
      <c r="E52" s="45"/>
      <c r="F52" s="154"/>
      <c r="G52" s="137"/>
    </row>
    <row r="53" spans="1:10" ht="15.75" customHeight="1" x14ac:dyDescent="0.15">
      <c r="A53" s="135"/>
      <c r="B53" s="139"/>
      <c r="C53" s="134"/>
      <c r="D53" s="45" t="s">
        <v>578</v>
      </c>
      <c r="E53" s="45"/>
      <c r="F53" s="154"/>
      <c r="G53" s="137"/>
    </row>
    <row r="54" spans="1:10" ht="15.75" customHeight="1" x14ac:dyDescent="0.15">
      <c r="A54" s="135"/>
      <c r="B54" s="139"/>
      <c r="C54" s="134" t="s">
        <v>378</v>
      </c>
      <c r="D54" s="45" t="s">
        <v>620</v>
      </c>
      <c r="E54" s="33"/>
      <c r="F54" s="154" t="s">
        <v>584</v>
      </c>
      <c r="G54" s="45" t="s">
        <v>622</v>
      </c>
    </row>
    <row r="55" spans="1:10" ht="15.75" customHeight="1" x14ac:dyDescent="0.15">
      <c r="A55" s="135"/>
      <c r="B55" s="139"/>
      <c r="C55" s="134"/>
      <c r="D55" s="45" t="s">
        <v>619</v>
      </c>
      <c r="E55" s="33"/>
      <c r="F55" s="154"/>
      <c r="G55" s="45" t="s">
        <v>623</v>
      </c>
    </row>
    <row r="56" spans="1:10" ht="15.75" customHeight="1" x14ac:dyDescent="0.15">
      <c r="A56" s="135"/>
      <c r="B56" s="130" t="s">
        <v>38</v>
      </c>
      <c r="C56" s="129"/>
      <c r="D56" s="129"/>
      <c r="E56" s="129"/>
      <c r="F56" s="129"/>
      <c r="G56" s="107"/>
    </row>
    <row r="57" spans="1:10" ht="15.75" customHeight="1" x14ac:dyDescent="0.15">
      <c r="A57" s="135"/>
      <c r="B57" s="43" t="s">
        <v>39</v>
      </c>
      <c r="C57" s="130" t="s">
        <v>40</v>
      </c>
      <c r="D57" s="129"/>
      <c r="E57" s="107"/>
      <c r="F57" s="32" t="s">
        <v>41</v>
      </c>
      <c r="G57" s="32" t="s">
        <v>42</v>
      </c>
    </row>
    <row r="58" spans="1:10" ht="15.75" customHeight="1" x14ac:dyDescent="0.15">
      <c r="A58" s="135"/>
      <c r="B58" s="33" t="s">
        <v>625</v>
      </c>
      <c r="C58" s="137" t="s">
        <v>628</v>
      </c>
      <c r="D58" s="129"/>
      <c r="E58" s="107"/>
      <c r="F58" s="39" t="s">
        <v>629</v>
      </c>
      <c r="G58" s="45" t="s">
        <v>622</v>
      </c>
    </row>
    <row r="59" spans="1:10" ht="15.75" customHeight="1" x14ac:dyDescent="0.15">
      <c r="A59" s="135"/>
      <c r="B59" s="33" t="s">
        <v>627</v>
      </c>
      <c r="C59" s="137" t="s">
        <v>628</v>
      </c>
      <c r="D59" s="129"/>
      <c r="E59" s="107"/>
      <c r="F59" s="39" t="s">
        <v>629</v>
      </c>
      <c r="G59" s="45" t="s">
        <v>623</v>
      </c>
    </row>
    <row r="60" spans="1:10" ht="15.75" customHeight="1" x14ac:dyDescent="0.15">
      <c r="A60" s="135"/>
      <c r="B60" s="138" t="s">
        <v>43</v>
      </c>
      <c r="C60" s="129"/>
      <c r="D60" s="129"/>
      <c r="E60" s="129"/>
      <c r="F60" s="129"/>
      <c r="G60" s="107"/>
    </row>
    <row r="61" spans="1:10" ht="15.75" customHeight="1" x14ac:dyDescent="0.15">
      <c r="A61" s="135"/>
      <c r="B61" s="31" t="s">
        <v>39</v>
      </c>
      <c r="C61" s="31" t="s">
        <v>44</v>
      </c>
      <c r="D61" s="31" t="s">
        <v>18</v>
      </c>
      <c r="E61" s="31" t="s">
        <v>45</v>
      </c>
      <c r="F61" s="31" t="s">
        <v>46</v>
      </c>
      <c r="G61" s="31" t="s">
        <v>47</v>
      </c>
      <c r="H61" s="31" t="s">
        <v>513</v>
      </c>
      <c r="I61" s="31" t="s">
        <v>514</v>
      </c>
      <c r="J61" s="31" t="s">
        <v>515</v>
      </c>
    </row>
    <row r="62" spans="1:10" ht="15.75" customHeight="1" x14ac:dyDescent="0.15">
      <c r="A62" s="135"/>
      <c r="B62" s="35" t="s">
        <v>624</v>
      </c>
      <c r="C62" s="35" t="s">
        <v>628</v>
      </c>
      <c r="D62" s="35" t="s">
        <v>622</v>
      </c>
      <c r="E62" s="35" t="s">
        <v>130</v>
      </c>
      <c r="F62" s="35" t="s">
        <v>657</v>
      </c>
      <c r="G62" s="35" t="s">
        <v>632</v>
      </c>
      <c r="H62" s="35" t="s">
        <v>143</v>
      </c>
      <c r="I62" s="35" t="s">
        <v>586</v>
      </c>
      <c r="J62" s="35" t="s">
        <v>516</v>
      </c>
    </row>
    <row r="63" spans="1:10" ht="15.75" customHeight="1" x14ac:dyDescent="0.15">
      <c r="A63" s="135"/>
      <c r="B63" s="35" t="s">
        <v>626</v>
      </c>
      <c r="C63" s="35" t="s">
        <v>628</v>
      </c>
      <c r="D63" s="35" t="s">
        <v>623</v>
      </c>
      <c r="E63" s="35" t="s">
        <v>130</v>
      </c>
      <c r="F63" s="35" t="s">
        <v>658</v>
      </c>
      <c r="G63" s="35" t="s">
        <v>631</v>
      </c>
      <c r="H63" s="35" t="s">
        <v>143</v>
      </c>
      <c r="I63" s="35" t="s">
        <v>586</v>
      </c>
      <c r="J63" s="35" t="s">
        <v>516</v>
      </c>
    </row>
    <row r="64" spans="1:10" ht="15.75" customHeight="1" x14ac:dyDescent="0.15">
      <c r="A64" s="134" t="s">
        <v>682</v>
      </c>
      <c r="B64" s="128" t="s">
        <v>48</v>
      </c>
      <c r="C64" s="129"/>
      <c r="D64" s="129"/>
      <c r="E64" s="129"/>
      <c r="F64" s="129"/>
      <c r="G64" s="107"/>
    </row>
    <row r="65" spans="1:10" ht="15.75" customHeight="1" x14ac:dyDescent="0.15">
      <c r="A65" s="135"/>
      <c r="B65" s="130" t="s">
        <v>49</v>
      </c>
      <c r="C65" s="129"/>
      <c r="D65" s="129"/>
      <c r="E65" s="129"/>
      <c r="F65" s="129"/>
      <c r="G65" s="107"/>
    </row>
    <row r="66" spans="1:10" ht="15.75" customHeight="1" x14ac:dyDescent="0.15">
      <c r="A66" s="135"/>
      <c r="B66" s="43" t="s">
        <v>39</v>
      </c>
      <c r="C66" s="130" t="s">
        <v>40</v>
      </c>
      <c r="D66" s="129"/>
      <c r="E66" s="107"/>
      <c r="F66" s="32" t="s">
        <v>41</v>
      </c>
      <c r="G66" s="32" t="s">
        <v>42</v>
      </c>
    </row>
    <row r="67" spans="1:10" ht="15.75" customHeight="1" x14ac:dyDescent="0.15">
      <c r="A67" s="135"/>
      <c r="B67" s="33" t="s">
        <v>683</v>
      </c>
      <c r="C67" s="137" t="s">
        <v>684</v>
      </c>
      <c r="D67" s="129"/>
      <c r="E67" s="107"/>
      <c r="F67" s="34" t="s">
        <v>685</v>
      </c>
      <c r="G67" s="34" t="s">
        <v>686</v>
      </c>
    </row>
    <row r="68" spans="1:10" ht="15.75" customHeight="1" x14ac:dyDescent="0.15">
      <c r="A68" s="135"/>
      <c r="B68" s="138" t="s">
        <v>50</v>
      </c>
      <c r="C68" s="129"/>
      <c r="D68" s="129"/>
      <c r="E68" s="129"/>
      <c r="F68" s="129"/>
      <c r="G68" s="107"/>
    </row>
    <row r="69" spans="1:10" ht="15.75" customHeight="1" x14ac:dyDescent="0.15">
      <c r="A69" s="135"/>
      <c r="B69" s="31" t="s">
        <v>39</v>
      </c>
      <c r="C69" s="31" t="s">
        <v>44</v>
      </c>
      <c r="D69" s="31" t="s">
        <v>18</v>
      </c>
      <c r="E69" s="31" t="s">
        <v>45</v>
      </c>
      <c r="F69" s="31" t="s">
        <v>46</v>
      </c>
      <c r="G69" s="31" t="s">
        <v>47</v>
      </c>
      <c r="H69" s="31" t="s">
        <v>513</v>
      </c>
      <c r="I69" s="31" t="s">
        <v>514</v>
      </c>
      <c r="J69" s="31" t="s">
        <v>515</v>
      </c>
    </row>
    <row r="70" spans="1:10" ht="162" x14ac:dyDescent="0.15">
      <c r="A70" s="135"/>
      <c r="B70" s="35" t="s">
        <v>683</v>
      </c>
      <c r="C70" s="35" t="s">
        <v>684</v>
      </c>
      <c r="D70" s="35" t="s">
        <v>686</v>
      </c>
      <c r="E70" s="35" t="s">
        <v>130</v>
      </c>
      <c r="F70" s="35" t="s">
        <v>689</v>
      </c>
      <c r="G70" s="35" t="s">
        <v>690</v>
      </c>
      <c r="H70" s="66" t="s">
        <v>141</v>
      </c>
      <c r="I70" s="66" t="s">
        <v>174</v>
      </c>
      <c r="J70" s="66" t="s">
        <v>516</v>
      </c>
    </row>
    <row r="71" spans="1:10" ht="15.75" customHeight="1" x14ac:dyDescent="0.15">
      <c r="A71" s="134" t="s">
        <v>635</v>
      </c>
      <c r="B71" s="128" t="s">
        <v>48</v>
      </c>
      <c r="C71" s="129"/>
      <c r="D71" s="129"/>
      <c r="E71" s="129"/>
      <c r="F71" s="129"/>
      <c r="G71" s="107"/>
    </row>
    <row r="72" spans="1:10" ht="15.75" customHeight="1" x14ac:dyDescent="0.15">
      <c r="A72" s="135"/>
      <c r="B72" s="130" t="s">
        <v>49</v>
      </c>
      <c r="C72" s="129"/>
      <c r="D72" s="129"/>
      <c r="E72" s="129"/>
      <c r="F72" s="129"/>
      <c r="G72" s="107"/>
    </row>
    <row r="73" spans="1:10" ht="15.75" customHeight="1" x14ac:dyDescent="0.15">
      <c r="A73" s="135"/>
      <c r="B73" s="43" t="s">
        <v>39</v>
      </c>
      <c r="C73" s="130" t="s">
        <v>40</v>
      </c>
      <c r="D73" s="129"/>
      <c r="E73" s="107"/>
      <c r="F73" s="32" t="s">
        <v>41</v>
      </c>
      <c r="G73" s="32" t="s">
        <v>42</v>
      </c>
    </row>
    <row r="74" spans="1:10" ht="15.75" customHeight="1" x14ac:dyDescent="0.15">
      <c r="A74" s="135"/>
      <c r="B74" s="33" t="s">
        <v>636</v>
      </c>
      <c r="C74" s="137" t="s">
        <v>637</v>
      </c>
      <c r="D74" s="129"/>
      <c r="E74" s="107"/>
      <c r="F74" s="34" t="s">
        <v>638</v>
      </c>
      <c r="G74" s="34" t="s">
        <v>653</v>
      </c>
    </row>
    <row r="75" spans="1:10" ht="15.75" customHeight="1" x14ac:dyDescent="0.15">
      <c r="A75" s="135"/>
      <c r="B75" s="138" t="s">
        <v>50</v>
      </c>
      <c r="C75" s="129"/>
      <c r="D75" s="129"/>
      <c r="E75" s="129"/>
      <c r="F75" s="129"/>
      <c r="G75" s="107"/>
    </row>
    <row r="76" spans="1:10" ht="15.75" customHeight="1" x14ac:dyDescent="0.15">
      <c r="A76" s="135"/>
      <c r="B76" s="31" t="s">
        <v>39</v>
      </c>
      <c r="C76" s="31" t="s">
        <v>44</v>
      </c>
      <c r="D76" s="31" t="s">
        <v>18</v>
      </c>
      <c r="E76" s="31" t="s">
        <v>45</v>
      </c>
      <c r="F76" s="31" t="s">
        <v>46</v>
      </c>
      <c r="G76" s="31" t="s">
        <v>47</v>
      </c>
      <c r="H76" s="31" t="s">
        <v>513</v>
      </c>
      <c r="I76" s="31" t="s">
        <v>514</v>
      </c>
      <c r="J76" s="31" t="s">
        <v>515</v>
      </c>
    </row>
    <row r="77" spans="1:10" ht="108" x14ac:dyDescent="0.15">
      <c r="A77" s="135"/>
      <c r="B77" s="35" t="s">
        <v>636</v>
      </c>
      <c r="C77" s="35" t="s">
        <v>637</v>
      </c>
      <c r="D77" s="35" t="s">
        <v>639</v>
      </c>
      <c r="E77" s="35" t="s">
        <v>130</v>
      </c>
      <c r="F77" s="35" t="s">
        <v>651</v>
      </c>
      <c r="G77" s="35" t="s">
        <v>652</v>
      </c>
      <c r="H77" s="66" t="s">
        <v>140</v>
      </c>
      <c r="I77" s="66" t="s">
        <v>174</v>
      </c>
      <c r="J77" s="66" t="s">
        <v>516</v>
      </c>
    </row>
    <row r="78" spans="1:10" ht="15.75" customHeight="1" x14ac:dyDescent="0.15">
      <c r="A78" s="134" t="s">
        <v>640</v>
      </c>
      <c r="B78" s="128" t="s">
        <v>23</v>
      </c>
      <c r="C78" s="129"/>
      <c r="D78" s="129"/>
      <c r="E78" s="129"/>
      <c r="F78" s="129"/>
      <c r="G78" s="107"/>
    </row>
    <row r="79" spans="1:10" ht="15.75" customHeight="1" x14ac:dyDescent="0.15">
      <c r="A79" s="135"/>
      <c r="B79" s="130" t="s">
        <v>24</v>
      </c>
      <c r="C79" s="129"/>
      <c r="D79" s="129"/>
      <c r="E79" s="129"/>
      <c r="F79" s="129"/>
      <c r="G79" s="107"/>
    </row>
    <row r="80" spans="1:10" ht="15.75" customHeight="1" x14ac:dyDescent="0.15">
      <c r="A80" s="135"/>
      <c r="B80" s="139" t="s">
        <v>25</v>
      </c>
      <c r="C80" s="37" t="s">
        <v>18</v>
      </c>
      <c r="D80" s="37" t="s">
        <v>26</v>
      </c>
      <c r="E80" s="37" t="s">
        <v>27</v>
      </c>
      <c r="F80" s="32" t="s">
        <v>28</v>
      </c>
      <c r="G80" s="32" t="s">
        <v>29</v>
      </c>
    </row>
    <row r="81" spans="1:10" ht="15.75" customHeight="1" x14ac:dyDescent="0.15">
      <c r="A81" s="135"/>
      <c r="B81" s="139"/>
      <c r="C81" s="134" t="s">
        <v>644</v>
      </c>
      <c r="D81" s="45" t="s">
        <v>641</v>
      </c>
      <c r="E81" s="45"/>
      <c r="F81" s="134" t="s">
        <v>522</v>
      </c>
      <c r="G81" s="141" t="s">
        <v>656</v>
      </c>
    </row>
    <row r="82" spans="1:10" ht="15.75" customHeight="1" x14ac:dyDescent="0.15">
      <c r="A82" s="135"/>
      <c r="B82" s="139"/>
      <c r="C82" s="134"/>
      <c r="D82" s="45" t="s">
        <v>642</v>
      </c>
      <c r="E82" s="45"/>
      <c r="F82" s="134"/>
      <c r="G82" s="141"/>
    </row>
    <row r="83" spans="1:10" ht="15.75" customHeight="1" x14ac:dyDescent="0.15">
      <c r="A83" s="135"/>
      <c r="B83" s="139"/>
      <c r="C83" s="134"/>
      <c r="D83" s="45" t="s">
        <v>643</v>
      </c>
      <c r="E83" s="45"/>
      <c r="F83" s="134"/>
      <c r="G83" s="141"/>
    </row>
    <row r="84" spans="1:10" ht="15.75" customHeight="1" x14ac:dyDescent="0.15">
      <c r="A84" s="135"/>
      <c r="B84" s="139"/>
      <c r="C84" s="134"/>
      <c r="D84" s="45" t="s">
        <v>655</v>
      </c>
      <c r="E84" s="45"/>
      <c r="F84" s="134"/>
      <c r="G84" s="141"/>
    </row>
    <row r="85" spans="1:10" ht="15.75" customHeight="1" x14ac:dyDescent="0.15">
      <c r="A85" s="135"/>
      <c r="B85" s="130" t="s">
        <v>31</v>
      </c>
      <c r="C85" s="151"/>
      <c r="D85" s="151"/>
      <c r="E85" s="151"/>
      <c r="F85" s="151"/>
      <c r="G85" s="151"/>
    </row>
    <row r="86" spans="1:10" ht="15.75" customHeight="1" x14ac:dyDescent="0.15">
      <c r="A86" s="135"/>
      <c r="B86" s="139" t="s">
        <v>32</v>
      </c>
      <c r="C86" s="31" t="s">
        <v>18</v>
      </c>
      <c r="D86" s="31" t="s">
        <v>33</v>
      </c>
      <c r="E86" s="31" t="s">
        <v>34</v>
      </c>
      <c r="F86" s="31" t="s">
        <v>35</v>
      </c>
      <c r="G86" s="31" t="s">
        <v>36</v>
      </c>
    </row>
    <row r="87" spans="1:10" ht="15.75" customHeight="1" x14ac:dyDescent="0.15">
      <c r="A87" s="135"/>
      <c r="B87" s="139"/>
      <c r="C87" s="42" t="s">
        <v>644</v>
      </c>
      <c r="D87" s="45" t="s">
        <v>646</v>
      </c>
      <c r="E87" s="45"/>
      <c r="F87" s="68" t="s">
        <v>646</v>
      </c>
      <c r="G87" s="67" t="s">
        <v>656</v>
      </c>
    </row>
    <row r="88" spans="1:10" ht="15.75" customHeight="1" x14ac:dyDescent="0.15">
      <c r="A88" s="135"/>
      <c r="B88" s="130" t="s">
        <v>38</v>
      </c>
      <c r="C88" s="129"/>
      <c r="D88" s="129"/>
      <c r="E88" s="129"/>
      <c r="F88" s="129"/>
      <c r="G88" s="107"/>
    </row>
    <row r="89" spans="1:10" ht="15.75" customHeight="1" x14ac:dyDescent="0.15">
      <c r="A89" s="135"/>
      <c r="B89" s="43" t="s">
        <v>39</v>
      </c>
      <c r="C89" s="130" t="s">
        <v>40</v>
      </c>
      <c r="D89" s="129"/>
      <c r="E89" s="107"/>
      <c r="F89" s="32" t="s">
        <v>41</v>
      </c>
      <c r="G89" s="32" t="s">
        <v>42</v>
      </c>
    </row>
    <row r="90" spans="1:10" ht="15.75" customHeight="1" x14ac:dyDescent="0.15">
      <c r="A90" s="135"/>
      <c r="B90" s="33" t="s">
        <v>645</v>
      </c>
      <c r="C90" s="137" t="s">
        <v>654</v>
      </c>
      <c r="D90" s="129"/>
      <c r="E90" s="107"/>
      <c r="F90" s="39" t="s">
        <v>644</v>
      </c>
      <c r="G90" s="45" t="s">
        <v>656</v>
      </c>
    </row>
    <row r="91" spans="1:10" ht="15.75" customHeight="1" x14ac:dyDescent="0.15">
      <c r="A91" s="135"/>
      <c r="B91" s="138" t="s">
        <v>43</v>
      </c>
      <c r="C91" s="129"/>
      <c r="D91" s="129"/>
      <c r="E91" s="129"/>
      <c r="F91" s="129"/>
      <c r="G91" s="107"/>
    </row>
    <row r="92" spans="1:10" ht="15.75" customHeight="1" x14ac:dyDescent="0.15">
      <c r="A92" s="135"/>
      <c r="B92" s="31" t="s">
        <v>39</v>
      </c>
      <c r="C92" s="31" t="s">
        <v>44</v>
      </c>
      <c r="D92" s="31" t="s">
        <v>18</v>
      </c>
      <c r="E92" s="31" t="s">
        <v>45</v>
      </c>
      <c r="F92" s="31" t="s">
        <v>46</v>
      </c>
      <c r="G92" s="31" t="s">
        <v>47</v>
      </c>
      <c r="H92" s="31" t="s">
        <v>513</v>
      </c>
      <c r="I92" s="31" t="s">
        <v>514</v>
      </c>
      <c r="J92" s="31" t="s">
        <v>515</v>
      </c>
    </row>
    <row r="93" spans="1:10" ht="116.25" customHeight="1" x14ac:dyDescent="0.15">
      <c r="A93" s="135"/>
      <c r="B93" s="35" t="s">
        <v>645</v>
      </c>
      <c r="C93" s="35" t="s">
        <v>965</v>
      </c>
      <c r="D93" s="35" t="s">
        <v>656</v>
      </c>
      <c r="E93" s="35" t="s">
        <v>130</v>
      </c>
      <c r="F93" s="35" t="s">
        <v>679</v>
      </c>
      <c r="G93" s="35" t="s">
        <v>659</v>
      </c>
      <c r="H93" s="66" t="s">
        <v>143</v>
      </c>
      <c r="I93" s="66" t="s">
        <v>512</v>
      </c>
      <c r="J93" s="66" t="s">
        <v>516</v>
      </c>
    </row>
    <row r="94" spans="1:10" ht="16.5" customHeight="1" x14ac:dyDescent="0.15">
      <c r="A94" s="134" t="s">
        <v>676</v>
      </c>
      <c r="B94" s="128" t="s">
        <v>48</v>
      </c>
      <c r="C94" s="129"/>
      <c r="D94" s="129"/>
      <c r="E94" s="129"/>
      <c r="F94" s="129"/>
      <c r="G94" s="107"/>
    </row>
    <row r="95" spans="1:10" ht="16.5" customHeight="1" x14ac:dyDescent="0.15">
      <c r="A95" s="135"/>
      <c r="B95" s="130" t="s">
        <v>49</v>
      </c>
      <c r="C95" s="129"/>
      <c r="D95" s="129"/>
      <c r="E95" s="129"/>
      <c r="F95" s="129"/>
      <c r="G95" s="107"/>
    </row>
    <row r="96" spans="1:10" ht="16.5" customHeight="1" x14ac:dyDescent="0.15">
      <c r="A96" s="135"/>
      <c r="B96" s="43" t="s">
        <v>39</v>
      </c>
      <c r="C96" s="130" t="s">
        <v>40</v>
      </c>
      <c r="D96" s="129"/>
      <c r="E96" s="107"/>
      <c r="F96" s="32" t="s">
        <v>41</v>
      </c>
      <c r="G96" s="32" t="s">
        <v>42</v>
      </c>
    </row>
    <row r="97" spans="1:10" ht="16.5" customHeight="1" x14ac:dyDescent="0.15">
      <c r="A97" s="135"/>
      <c r="B97" s="33" t="s">
        <v>677</v>
      </c>
      <c r="C97" s="137" t="s">
        <v>672</v>
      </c>
      <c r="D97" s="129"/>
      <c r="E97" s="107"/>
      <c r="F97" s="34" t="s">
        <v>673</v>
      </c>
      <c r="G97" s="34" t="s">
        <v>674</v>
      </c>
    </row>
    <row r="98" spans="1:10" ht="16.5" customHeight="1" x14ac:dyDescent="0.15">
      <c r="A98" s="135"/>
      <c r="B98" s="138" t="s">
        <v>50</v>
      </c>
      <c r="C98" s="129"/>
      <c r="D98" s="129"/>
      <c r="E98" s="129"/>
      <c r="F98" s="129"/>
      <c r="G98" s="107"/>
    </row>
    <row r="99" spans="1:10" ht="16.5" customHeight="1" x14ac:dyDescent="0.15">
      <c r="A99" s="135"/>
      <c r="B99" s="31" t="s">
        <v>39</v>
      </c>
      <c r="C99" s="31" t="s">
        <v>44</v>
      </c>
      <c r="D99" s="31" t="s">
        <v>18</v>
      </c>
      <c r="E99" s="31" t="s">
        <v>45</v>
      </c>
      <c r="F99" s="31" t="s">
        <v>46</v>
      </c>
      <c r="G99" s="31" t="s">
        <v>47</v>
      </c>
      <c r="H99" s="31" t="s">
        <v>513</v>
      </c>
      <c r="I99" s="31" t="s">
        <v>514</v>
      </c>
      <c r="J99" s="31" t="s">
        <v>515</v>
      </c>
    </row>
    <row r="100" spans="1:10" ht="162.75" customHeight="1" x14ac:dyDescent="0.15">
      <c r="A100" s="135"/>
      <c r="B100" s="35" t="s">
        <v>677</v>
      </c>
      <c r="C100" s="35" t="s">
        <v>678</v>
      </c>
      <c r="D100" s="35" t="s">
        <v>674</v>
      </c>
      <c r="E100" s="35" t="s">
        <v>130</v>
      </c>
      <c r="F100" s="35" t="s">
        <v>680</v>
      </c>
      <c r="G100" s="35" t="s">
        <v>681</v>
      </c>
      <c r="H100" s="66" t="s">
        <v>145</v>
      </c>
      <c r="I100" s="66" t="s">
        <v>586</v>
      </c>
      <c r="J100" s="66" t="s">
        <v>516</v>
      </c>
    </row>
    <row r="101" spans="1:10" ht="15.75" customHeight="1" x14ac:dyDescent="0.15">
      <c r="A101" s="134" t="s">
        <v>212</v>
      </c>
      <c r="B101" s="128" t="s">
        <v>48</v>
      </c>
      <c r="C101" s="129"/>
      <c r="D101" s="129"/>
      <c r="E101" s="129"/>
      <c r="F101" s="129"/>
      <c r="G101" s="107"/>
    </row>
    <row r="102" spans="1:10" ht="15.75" customHeight="1" x14ac:dyDescent="0.15">
      <c r="A102" s="135"/>
      <c r="B102" s="130" t="s">
        <v>49</v>
      </c>
      <c r="C102" s="129"/>
      <c r="D102" s="129"/>
      <c r="E102" s="129"/>
      <c r="F102" s="129"/>
      <c r="G102" s="107"/>
    </row>
    <row r="103" spans="1:10" ht="15.75" customHeight="1" x14ac:dyDescent="0.15">
      <c r="A103" s="135"/>
      <c r="B103" s="43" t="s">
        <v>39</v>
      </c>
      <c r="C103" s="130" t="s">
        <v>40</v>
      </c>
      <c r="D103" s="129"/>
      <c r="E103" s="107"/>
      <c r="F103" s="32" t="s">
        <v>41</v>
      </c>
      <c r="G103" s="32" t="s">
        <v>42</v>
      </c>
    </row>
    <row r="104" spans="1:10" ht="15.75" customHeight="1" x14ac:dyDescent="0.15">
      <c r="A104" s="135"/>
      <c r="B104" s="33" t="s">
        <v>661</v>
      </c>
      <c r="C104" s="137" t="s">
        <v>664</v>
      </c>
      <c r="D104" s="129"/>
      <c r="E104" s="107"/>
      <c r="F104" s="34" t="s">
        <v>663</v>
      </c>
      <c r="G104" s="34" t="s">
        <v>662</v>
      </c>
    </row>
    <row r="105" spans="1:10" ht="15.75" customHeight="1" x14ac:dyDescent="0.15">
      <c r="A105" s="135"/>
      <c r="B105" s="138" t="s">
        <v>50</v>
      </c>
      <c r="C105" s="129"/>
      <c r="D105" s="129"/>
      <c r="E105" s="129"/>
      <c r="F105" s="129"/>
      <c r="G105" s="107"/>
    </row>
    <row r="106" spans="1:10" ht="15.75" customHeight="1" x14ac:dyDescent="0.15">
      <c r="A106" s="135"/>
      <c r="B106" s="31" t="s">
        <v>39</v>
      </c>
      <c r="C106" s="31" t="s">
        <v>44</v>
      </c>
      <c r="D106" s="31" t="s">
        <v>18</v>
      </c>
      <c r="E106" s="31" t="s">
        <v>45</v>
      </c>
      <c r="F106" s="31" t="s">
        <v>46</v>
      </c>
      <c r="G106" s="31" t="s">
        <v>47</v>
      </c>
      <c r="H106" s="31" t="s">
        <v>513</v>
      </c>
      <c r="I106" s="31" t="s">
        <v>514</v>
      </c>
      <c r="J106" s="31" t="s">
        <v>515</v>
      </c>
    </row>
    <row r="107" spans="1:10" ht="81" x14ac:dyDescent="0.15">
      <c r="A107" s="135"/>
      <c r="B107" s="35" t="s">
        <v>661</v>
      </c>
      <c r="C107" s="35" t="s">
        <v>664</v>
      </c>
      <c r="D107" s="35" t="s">
        <v>662</v>
      </c>
      <c r="E107" s="35" t="s">
        <v>130</v>
      </c>
      <c r="F107" s="35" t="s">
        <v>665</v>
      </c>
      <c r="G107" s="35" t="s">
        <v>666</v>
      </c>
      <c r="H107" s="66" t="s">
        <v>145</v>
      </c>
      <c r="I107" s="66" t="s">
        <v>586</v>
      </c>
      <c r="J107" s="66" t="s">
        <v>516</v>
      </c>
    </row>
  </sheetData>
  <mergeCells count="70">
    <mergeCell ref="A13:A63"/>
    <mergeCell ref="B13:G13"/>
    <mergeCell ref="B14:G14"/>
    <mergeCell ref="A64:A70"/>
    <mergeCell ref="B65:G65"/>
    <mergeCell ref="C66:E66"/>
    <mergeCell ref="C67:E67"/>
    <mergeCell ref="B68:G68"/>
    <mergeCell ref="B35:G35"/>
    <mergeCell ref="B15:B34"/>
    <mergeCell ref="C16:C32"/>
    <mergeCell ref="C33:C34"/>
    <mergeCell ref="F33:F34"/>
    <mergeCell ref="G33:G34"/>
    <mergeCell ref="B64:G64"/>
    <mergeCell ref="C59:E59"/>
    <mergeCell ref="A94:A100"/>
    <mergeCell ref="B94:G94"/>
    <mergeCell ref="B95:G95"/>
    <mergeCell ref="C96:E96"/>
    <mergeCell ref="C97:E97"/>
    <mergeCell ref="B98:G98"/>
    <mergeCell ref="A101:A107"/>
    <mergeCell ref="B101:G101"/>
    <mergeCell ref="B102:G102"/>
    <mergeCell ref="C103:E103"/>
    <mergeCell ref="C104:E104"/>
    <mergeCell ref="B105:G105"/>
    <mergeCell ref="A78:A93"/>
    <mergeCell ref="B78:G78"/>
    <mergeCell ref="B80:B84"/>
    <mergeCell ref="C81:C84"/>
    <mergeCell ref="F81:F84"/>
    <mergeCell ref="G81:G84"/>
    <mergeCell ref="B85:G85"/>
    <mergeCell ref="B88:G88"/>
    <mergeCell ref="C89:E89"/>
    <mergeCell ref="C90:E90"/>
    <mergeCell ref="B91:G91"/>
    <mergeCell ref="B86:B87"/>
    <mergeCell ref="B79:G79"/>
    <mergeCell ref="A71:A77"/>
    <mergeCell ref="B71:G71"/>
    <mergeCell ref="B72:G72"/>
    <mergeCell ref="C73:E73"/>
    <mergeCell ref="C74:E74"/>
    <mergeCell ref="B75:G75"/>
    <mergeCell ref="F5:G5"/>
    <mergeCell ref="F7:G7"/>
    <mergeCell ref="F8:G8"/>
    <mergeCell ref="F16:F32"/>
    <mergeCell ref="G16:G32"/>
    <mergeCell ref="F6:G6"/>
    <mergeCell ref="F9:G9"/>
    <mergeCell ref="B56:G56"/>
    <mergeCell ref="C57:E57"/>
    <mergeCell ref="C58:E58"/>
    <mergeCell ref="B60:G60"/>
    <mergeCell ref="A1:A12"/>
    <mergeCell ref="F1:G1"/>
    <mergeCell ref="F3:G3"/>
    <mergeCell ref="F10:G10"/>
    <mergeCell ref="F12:G12"/>
    <mergeCell ref="B36:B55"/>
    <mergeCell ref="C37:C53"/>
    <mergeCell ref="F37:F53"/>
    <mergeCell ref="G37:G53"/>
    <mergeCell ref="C54:C55"/>
    <mergeCell ref="F54:F55"/>
    <mergeCell ref="F4:G4"/>
  </mergeCells>
  <phoneticPr fontId="1" type="noConversion"/>
  <dataValidations count="1">
    <dataValidation type="list" allowBlank="1" showInputMessage="1" showErrorMessage="1" sqref="C3:C12" xr:uid="{7DE1476A-9E4A-4BC5-BE39-0BB4CDE55E17}">
      <formula1>"流程图,状态机,等价类划分&amp;数据组合,直接分析"</formula1>
    </dataValidation>
  </dataValidation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C0AD0D-F5EB-46B0-82FB-85B1110BA41E}">
  <dimension ref="A1:J50"/>
  <sheetViews>
    <sheetView workbookViewId="0">
      <pane xSplit="1" ySplit="5" topLeftCell="B35" activePane="bottomRight" state="frozen"/>
      <selection pane="topRight" activeCell="B1" sqref="B1"/>
      <selection pane="bottomLeft" activeCell="A6" sqref="A6"/>
      <selection pane="bottomRight" activeCell="B49" sqref="B49"/>
    </sheetView>
  </sheetViews>
  <sheetFormatPr defaultColWidth="9" defaultRowHeight="15" customHeight="1" x14ac:dyDescent="0.15"/>
  <cols>
    <col min="1" max="1" width="15" customWidth="1"/>
    <col min="2" max="2" width="32.125" customWidth="1"/>
    <col min="3" max="3" width="14.625" customWidth="1"/>
    <col min="4" max="4" width="31.125" customWidth="1"/>
    <col min="5" max="5" width="12.75" customWidth="1"/>
    <col min="6" max="6" width="61.875" customWidth="1"/>
    <col min="7" max="7" width="82.5" customWidth="1"/>
  </cols>
  <sheetData>
    <row r="1" spans="1:7" ht="15" customHeight="1" x14ac:dyDescent="0.15">
      <c r="A1" s="131" t="s">
        <v>22</v>
      </c>
      <c r="B1" s="47" t="s">
        <v>14</v>
      </c>
      <c r="C1" s="47" t="s">
        <v>15</v>
      </c>
      <c r="D1" s="47" t="s">
        <v>16</v>
      </c>
      <c r="E1" s="47" t="s">
        <v>17</v>
      </c>
      <c r="F1" s="127" t="s">
        <v>18</v>
      </c>
      <c r="G1" s="103"/>
    </row>
    <row r="2" spans="1:7" ht="15" customHeight="1" x14ac:dyDescent="0.15">
      <c r="A2" s="132"/>
      <c r="B2" s="44"/>
      <c r="C2" s="44"/>
      <c r="D2" s="44"/>
      <c r="E2" s="44"/>
      <c r="F2" s="44"/>
      <c r="G2" s="63"/>
    </row>
    <row r="3" spans="1:7" ht="15" customHeight="1" x14ac:dyDescent="0.15">
      <c r="A3" s="132"/>
      <c r="B3" s="39" t="s">
        <v>214</v>
      </c>
      <c r="C3" s="39" t="s">
        <v>20</v>
      </c>
      <c r="D3" s="39"/>
      <c r="E3" s="52">
        <v>16</v>
      </c>
      <c r="F3" s="105" t="s">
        <v>215</v>
      </c>
      <c r="G3" s="105"/>
    </row>
    <row r="4" spans="1:7" ht="15" customHeight="1" x14ac:dyDescent="0.15">
      <c r="A4" s="132"/>
      <c r="B4" s="39" t="s">
        <v>216</v>
      </c>
      <c r="C4" s="39" t="s">
        <v>20</v>
      </c>
      <c r="D4" s="39"/>
      <c r="E4" s="52">
        <v>1</v>
      </c>
      <c r="F4" s="105"/>
      <c r="G4" s="105"/>
    </row>
    <row r="5" spans="1:7" ht="15" customHeight="1" x14ac:dyDescent="0.15">
      <c r="A5" s="132"/>
      <c r="B5" s="39" t="s">
        <v>691</v>
      </c>
      <c r="C5" s="39" t="s">
        <v>20</v>
      </c>
      <c r="D5" s="39"/>
      <c r="E5" s="52">
        <v>6</v>
      </c>
      <c r="F5" s="62" t="s">
        <v>692</v>
      </c>
      <c r="G5" s="62"/>
    </row>
    <row r="6" spans="1:7" ht="15" customHeight="1" x14ac:dyDescent="0.15">
      <c r="A6" s="134" t="s">
        <v>214</v>
      </c>
      <c r="B6" s="128" t="s">
        <v>23</v>
      </c>
      <c r="C6" s="129"/>
      <c r="D6" s="129"/>
      <c r="E6" s="129"/>
      <c r="F6" s="129"/>
      <c r="G6" s="107"/>
    </row>
    <row r="7" spans="1:7" ht="15" customHeight="1" x14ac:dyDescent="0.15">
      <c r="A7" s="135"/>
      <c r="B7" s="130" t="s">
        <v>24</v>
      </c>
      <c r="C7" s="129"/>
      <c r="D7" s="129"/>
      <c r="E7" s="129"/>
      <c r="F7" s="129"/>
      <c r="G7" s="107"/>
    </row>
    <row r="8" spans="1:7" ht="15" customHeight="1" x14ac:dyDescent="0.15">
      <c r="A8" s="135"/>
      <c r="B8" s="139" t="s">
        <v>25</v>
      </c>
      <c r="C8" s="37" t="s">
        <v>18</v>
      </c>
      <c r="D8" s="37" t="s">
        <v>26</v>
      </c>
      <c r="E8" s="37" t="s">
        <v>27</v>
      </c>
      <c r="F8" s="32" t="s">
        <v>28</v>
      </c>
      <c r="G8" s="32" t="s">
        <v>29</v>
      </c>
    </row>
    <row r="9" spans="1:7" ht="15" customHeight="1" x14ac:dyDescent="0.15">
      <c r="A9" s="135"/>
      <c r="B9" s="139"/>
      <c r="C9" s="134" t="s">
        <v>413</v>
      </c>
      <c r="D9" s="45" t="s">
        <v>567</v>
      </c>
      <c r="E9" s="45"/>
      <c r="F9" s="134" t="s">
        <v>522</v>
      </c>
      <c r="G9" s="141" t="s">
        <v>581</v>
      </c>
    </row>
    <row r="10" spans="1:7" ht="15" customHeight="1" x14ac:dyDescent="0.15">
      <c r="A10" s="135"/>
      <c r="B10" s="139"/>
      <c r="C10" s="134"/>
      <c r="D10" s="45" t="s">
        <v>568</v>
      </c>
      <c r="E10" s="45"/>
      <c r="F10" s="134"/>
      <c r="G10" s="141"/>
    </row>
    <row r="11" spans="1:7" ht="15" customHeight="1" x14ac:dyDescent="0.15">
      <c r="A11" s="135"/>
      <c r="B11" s="139"/>
      <c r="C11" s="134"/>
      <c r="D11" s="45" t="s">
        <v>535</v>
      </c>
      <c r="E11" s="45"/>
      <c r="F11" s="134"/>
      <c r="G11" s="141"/>
    </row>
    <row r="12" spans="1:7" ht="15" customHeight="1" x14ac:dyDescent="0.15">
      <c r="A12" s="135"/>
      <c r="B12" s="139"/>
      <c r="C12" s="134"/>
      <c r="D12" s="45" t="s">
        <v>537</v>
      </c>
      <c r="E12" s="45"/>
      <c r="F12" s="134"/>
      <c r="G12" s="141"/>
    </row>
    <row r="13" spans="1:7" ht="15" customHeight="1" x14ac:dyDescent="0.15">
      <c r="A13" s="135"/>
      <c r="B13" s="139"/>
      <c r="C13" s="134"/>
      <c r="D13" s="45" t="s">
        <v>536</v>
      </c>
      <c r="E13" s="45"/>
      <c r="F13" s="134"/>
      <c r="G13" s="141"/>
    </row>
    <row r="14" spans="1:7" ht="15" customHeight="1" x14ac:dyDescent="0.15">
      <c r="A14" s="135"/>
      <c r="B14" s="139"/>
      <c r="C14" s="134"/>
      <c r="D14" s="45" t="s">
        <v>569</v>
      </c>
      <c r="E14" s="45"/>
      <c r="F14" s="134"/>
      <c r="G14" s="141"/>
    </row>
    <row r="15" spans="1:7" ht="15" customHeight="1" x14ac:dyDescent="0.15">
      <c r="A15" s="135"/>
      <c r="B15" s="139"/>
      <c r="C15" s="134"/>
      <c r="D15" s="45" t="s">
        <v>570</v>
      </c>
      <c r="E15" s="45"/>
      <c r="F15" s="134"/>
      <c r="G15" s="141"/>
    </row>
    <row r="16" spans="1:7" ht="15" customHeight="1" x14ac:dyDescent="0.15">
      <c r="A16" s="135"/>
      <c r="B16" s="139"/>
      <c r="C16" s="134"/>
      <c r="D16" s="45" t="s">
        <v>539</v>
      </c>
      <c r="E16" s="45"/>
      <c r="F16" s="134"/>
      <c r="G16" s="141"/>
    </row>
    <row r="17" spans="1:7" ht="15" customHeight="1" x14ac:dyDescent="0.15">
      <c r="A17" s="135"/>
      <c r="B17" s="139"/>
      <c r="C17" s="134"/>
      <c r="D17" s="45" t="s">
        <v>571</v>
      </c>
      <c r="E17" s="45"/>
      <c r="F17" s="134"/>
      <c r="G17" s="141"/>
    </row>
    <row r="18" spans="1:7" ht="15" customHeight="1" x14ac:dyDescent="0.15">
      <c r="A18" s="135"/>
      <c r="B18" s="139"/>
      <c r="C18" s="134"/>
      <c r="D18" s="45" t="s">
        <v>572</v>
      </c>
      <c r="E18" s="45"/>
      <c r="F18" s="134"/>
      <c r="G18" s="141"/>
    </row>
    <row r="19" spans="1:7" ht="15" customHeight="1" x14ac:dyDescent="0.15">
      <c r="A19" s="135"/>
      <c r="B19" s="139"/>
      <c r="C19" s="134"/>
      <c r="D19" s="45" t="s">
        <v>573</v>
      </c>
      <c r="E19" s="45"/>
      <c r="F19" s="134"/>
      <c r="G19" s="141"/>
    </row>
    <row r="20" spans="1:7" ht="15" customHeight="1" x14ac:dyDescent="0.15">
      <c r="A20" s="135"/>
      <c r="B20" s="139"/>
      <c r="C20" s="134"/>
      <c r="D20" s="45" t="s">
        <v>404</v>
      </c>
      <c r="E20" s="45"/>
      <c r="F20" s="134"/>
      <c r="G20" s="141"/>
    </row>
    <row r="21" spans="1:7" ht="15" customHeight="1" x14ac:dyDescent="0.15">
      <c r="A21" s="135"/>
      <c r="B21" s="139"/>
      <c r="C21" s="134"/>
      <c r="D21" s="45" t="s">
        <v>538</v>
      </c>
      <c r="E21" s="45"/>
      <c r="F21" s="134"/>
      <c r="G21" s="141"/>
    </row>
    <row r="22" spans="1:7" ht="15" customHeight="1" x14ac:dyDescent="0.15">
      <c r="A22" s="135"/>
      <c r="B22" s="139"/>
      <c r="C22" s="134"/>
      <c r="D22" s="45" t="s">
        <v>575</v>
      </c>
      <c r="E22" s="45"/>
      <c r="F22" s="134"/>
      <c r="G22" s="141"/>
    </row>
    <row r="23" spans="1:7" ht="15" customHeight="1" x14ac:dyDescent="0.15">
      <c r="A23" s="135"/>
      <c r="B23" s="139"/>
      <c r="C23" s="134"/>
      <c r="D23" s="45" t="s">
        <v>576</v>
      </c>
      <c r="E23" s="45"/>
      <c r="F23" s="134"/>
      <c r="G23" s="141"/>
    </row>
    <row r="24" spans="1:7" ht="15" customHeight="1" x14ac:dyDescent="0.15">
      <c r="A24" s="135"/>
      <c r="B24" s="139"/>
      <c r="C24" s="134"/>
      <c r="D24" s="45" t="s">
        <v>577</v>
      </c>
      <c r="E24" s="45"/>
      <c r="F24" s="134"/>
      <c r="G24" s="141"/>
    </row>
    <row r="25" spans="1:7" ht="15" customHeight="1" x14ac:dyDescent="0.15">
      <c r="A25" s="135"/>
      <c r="B25" s="139"/>
      <c r="C25" s="134"/>
      <c r="D25" s="45" t="s">
        <v>578</v>
      </c>
      <c r="E25" s="45"/>
      <c r="F25" s="134"/>
      <c r="G25" s="141"/>
    </row>
    <row r="26" spans="1:7" ht="15" customHeight="1" x14ac:dyDescent="0.15">
      <c r="A26" s="135"/>
      <c r="B26" s="130" t="s">
        <v>31</v>
      </c>
      <c r="C26" s="151"/>
      <c r="D26" s="151"/>
      <c r="E26" s="151"/>
      <c r="F26" s="151"/>
      <c r="G26" s="151"/>
    </row>
    <row r="27" spans="1:7" ht="15" customHeight="1" x14ac:dyDescent="0.15">
      <c r="A27" s="135"/>
      <c r="B27" s="160" t="s">
        <v>32</v>
      </c>
      <c r="C27" s="31" t="s">
        <v>18</v>
      </c>
      <c r="D27" s="31" t="s">
        <v>33</v>
      </c>
      <c r="E27" s="31" t="s">
        <v>34</v>
      </c>
      <c r="F27" s="31" t="s">
        <v>35</v>
      </c>
      <c r="G27" s="31" t="s">
        <v>36</v>
      </c>
    </row>
    <row r="28" spans="1:7" ht="15" customHeight="1" x14ac:dyDescent="0.15">
      <c r="A28" s="135"/>
      <c r="B28" s="150"/>
      <c r="C28" s="69" t="s">
        <v>413</v>
      </c>
      <c r="D28" s="45" t="s">
        <v>667</v>
      </c>
      <c r="E28" s="45"/>
      <c r="F28" s="77"/>
      <c r="G28" s="70" t="s">
        <v>669</v>
      </c>
    </row>
    <row r="29" spans="1:7" ht="15" customHeight="1" x14ac:dyDescent="0.15">
      <c r="A29" s="135"/>
      <c r="B29" s="130" t="s">
        <v>38</v>
      </c>
      <c r="C29" s="129"/>
      <c r="D29" s="129"/>
      <c r="E29" s="129"/>
      <c r="F29" s="129"/>
      <c r="G29" s="107"/>
    </row>
    <row r="30" spans="1:7" ht="15" customHeight="1" x14ac:dyDescent="0.15">
      <c r="A30" s="135"/>
      <c r="B30" s="43" t="s">
        <v>39</v>
      </c>
      <c r="C30" s="130" t="s">
        <v>40</v>
      </c>
      <c r="D30" s="129"/>
      <c r="E30" s="107"/>
      <c r="F30" s="32" t="s">
        <v>41</v>
      </c>
      <c r="G30" s="32" t="s">
        <v>42</v>
      </c>
    </row>
    <row r="31" spans="1:7" ht="15" customHeight="1" x14ac:dyDescent="0.15">
      <c r="A31" s="135"/>
      <c r="B31" s="33" t="s">
        <v>668</v>
      </c>
      <c r="C31" s="137" t="s">
        <v>670</v>
      </c>
      <c r="D31" s="129"/>
      <c r="E31" s="107"/>
      <c r="F31" s="39" t="s">
        <v>413</v>
      </c>
      <c r="G31" s="45" t="s">
        <v>669</v>
      </c>
    </row>
    <row r="32" spans="1:7" ht="15" customHeight="1" x14ac:dyDescent="0.15">
      <c r="A32" s="135"/>
      <c r="B32" s="138" t="s">
        <v>43</v>
      </c>
      <c r="C32" s="129"/>
      <c r="D32" s="129"/>
      <c r="E32" s="129"/>
      <c r="F32" s="129"/>
      <c r="G32" s="107"/>
    </row>
    <row r="33" spans="1:10" ht="15" customHeight="1" x14ac:dyDescent="0.15">
      <c r="A33" s="135"/>
      <c r="B33" s="31" t="s">
        <v>39</v>
      </c>
      <c r="C33" s="31" t="s">
        <v>44</v>
      </c>
      <c r="D33" s="31" t="s">
        <v>18</v>
      </c>
      <c r="E33" s="31" t="s">
        <v>45</v>
      </c>
      <c r="F33" s="31" t="s">
        <v>46</v>
      </c>
      <c r="G33" s="31" t="s">
        <v>47</v>
      </c>
      <c r="H33" s="31" t="s">
        <v>513</v>
      </c>
      <c r="I33" s="31" t="s">
        <v>514</v>
      </c>
      <c r="J33" s="31" t="s">
        <v>515</v>
      </c>
    </row>
    <row r="34" spans="1:10" ht="162" x14ac:dyDescent="0.15">
      <c r="A34" s="135"/>
      <c r="B34" s="35" t="s">
        <v>668</v>
      </c>
      <c r="C34" s="35" t="s">
        <v>670</v>
      </c>
      <c r="D34" s="35" t="s">
        <v>669</v>
      </c>
      <c r="E34" s="35" t="s">
        <v>130</v>
      </c>
      <c r="F34" s="35" t="s">
        <v>907</v>
      </c>
      <c r="G34" s="35" t="s">
        <v>906</v>
      </c>
      <c r="H34" s="35" t="s">
        <v>143</v>
      </c>
      <c r="I34" s="35" t="s">
        <v>512</v>
      </c>
      <c r="J34" s="35" t="s">
        <v>516</v>
      </c>
    </row>
    <row r="35" spans="1:10" ht="15" customHeight="1" x14ac:dyDescent="0.15">
      <c r="A35" s="134" t="s">
        <v>216</v>
      </c>
      <c r="B35" s="128" t="s">
        <v>48</v>
      </c>
      <c r="C35" s="129"/>
      <c r="D35" s="129"/>
      <c r="E35" s="129"/>
      <c r="F35" s="129"/>
      <c r="G35" s="107"/>
    </row>
    <row r="36" spans="1:10" ht="15" customHeight="1" x14ac:dyDescent="0.15">
      <c r="A36" s="135"/>
      <c r="B36" s="130" t="s">
        <v>49</v>
      </c>
      <c r="C36" s="129"/>
      <c r="D36" s="129"/>
      <c r="E36" s="129"/>
      <c r="F36" s="129"/>
      <c r="G36" s="107"/>
    </row>
    <row r="37" spans="1:10" ht="15" customHeight="1" x14ac:dyDescent="0.15">
      <c r="A37" s="135"/>
      <c r="B37" s="43" t="s">
        <v>39</v>
      </c>
      <c r="C37" s="130" t="s">
        <v>40</v>
      </c>
      <c r="D37" s="129"/>
      <c r="E37" s="107"/>
      <c r="F37" s="32" t="s">
        <v>41</v>
      </c>
      <c r="G37" s="32" t="s">
        <v>42</v>
      </c>
    </row>
    <row r="38" spans="1:10" ht="15" customHeight="1" x14ac:dyDescent="0.15">
      <c r="A38" s="135"/>
      <c r="B38" s="33" t="s">
        <v>671</v>
      </c>
      <c r="C38" s="137" t="s">
        <v>672</v>
      </c>
      <c r="D38" s="129"/>
      <c r="E38" s="107"/>
      <c r="F38" s="34" t="s">
        <v>673</v>
      </c>
      <c r="G38" s="34" t="s">
        <v>674</v>
      </c>
    </row>
    <row r="39" spans="1:10" ht="15" customHeight="1" x14ac:dyDescent="0.15">
      <c r="A39" s="135"/>
      <c r="B39" s="138" t="s">
        <v>50</v>
      </c>
      <c r="C39" s="129"/>
      <c r="D39" s="129"/>
      <c r="E39" s="129"/>
      <c r="F39" s="129"/>
      <c r="G39" s="107"/>
    </row>
    <row r="40" spans="1:10" ht="15" customHeight="1" x14ac:dyDescent="0.15">
      <c r="A40" s="135"/>
      <c r="B40" s="31" t="s">
        <v>39</v>
      </c>
      <c r="C40" s="31" t="s">
        <v>44</v>
      </c>
      <c r="D40" s="31" t="s">
        <v>18</v>
      </c>
      <c r="E40" s="31" t="s">
        <v>45</v>
      </c>
      <c r="F40" s="31" t="s">
        <v>46</v>
      </c>
      <c r="G40" s="31" t="s">
        <v>47</v>
      </c>
      <c r="H40" s="31" t="s">
        <v>513</v>
      </c>
      <c r="I40" s="31" t="s">
        <v>514</v>
      </c>
      <c r="J40" s="31" t="s">
        <v>515</v>
      </c>
    </row>
    <row r="41" spans="1:10" ht="121.5" x14ac:dyDescent="0.15">
      <c r="A41" s="135"/>
      <c r="B41" s="35" t="s">
        <v>671</v>
      </c>
      <c r="C41" s="35" t="s">
        <v>672</v>
      </c>
      <c r="D41" s="35" t="s">
        <v>674</v>
      </c>
      <c r="E41" s="35" t="s">
        <v>130</v>
      </c>
      <c r="F41" s="35" t="s">
        <v>687</v>
      </c>
      <c r="G41" s="35" t="s">
        <v>709</v>
      </c>
      <c r="H41" s="66" t="s">
        <v>145</v>
      </c>
      <c r="I41" s="66" t="s">
        <v>586</v>
      </c>
      <c r="J41" s="66" t="s">
        <v>547</v>
      </c>
    </row>
    <row r="42" spans="1:10" ht="15" customHeight="1" x14ac:dyDescent="0.15">
      <c r="A42" s="134" t="s">
        <v>217</v>
      </c>
      <c r="B42" s="128" t="s">
        <v>48</v>
      </c>
      <c r="C42" s="129"/>
      <c r="D42" s="129"/>
      <c r="E42" s="129"/>
      <c r="F42" s="129"/>
      <c r="G42" s="107"/>
    </row>
    <row r="43" spans="1:10" ht="15" customHeight="1" x14ac:dyDescent="0.15">
      <c r="A43" s="135"/>
      <c r="B43" s="130" t="s">
        <v>49</v>
      </c>
      <c r="C43" s="129"/>
      <c r="D43" s="129"/>
      <c r="E43" s="129"/>
      <c r="F43" s="129"/>
      <c r="G43" s="107"/>
    </row>
    <row r="44" spans="1:10" ht="15" customHeight="1" x14ac:dyDescent="0.15">
      <c r="A44" s="135"/>
      <c r="B44" s="43" t="s">
        <v>39</v>
      </c>
      <c r="C44" s="130" t="s">
        <v>40</v>
      </c>
      <c r="D44" s="129"/>
      <c r="E44" s="107"/>
      <c r="F44" s="32" t="s">
        <v>41</v>
      </c>
      <c r="G44" s="32" t="s">
        <v>42</v>
      </c>
    </row>
    <row r="45" spans="1:10" ht="15" customHeight="1" x14ac:dyDescent="0.15">
      <c r="A45" s="135"/>
      <c r="B45" s="33" t="s">
        <v>688</v>
      </c>
      <c r="C45" s="137" t="s">
        <v>705</v>
      </c>
      <c r="D45" s="129"/>
      <c r="E45" s="107"/>
      <c r="F45" s="34" t="s">
        <v>694</v>
      </c>
      <c r="G45" s="34" t="s">
        <v>694</v>
      </c>
    </row>
    <row r="46" spans="1:10" ht="15" customHeight="1" x14ac:dyDescent="0.15">
      <c r="A46" s="135"/>
      <c r="B46" s="33" t="s">
        <v>693</v>
      </c>
      <c r="C46" s="137" t="s">
        <v>706</v>
      </c>
      <c r="D46" s="129"/>
      <c r="E46" s="107"/>
      <c r="F46" s="34" t="s">
        <v>673</v>
      </c>
      <c r="G46" s="34" t="s">
        <v>506</v>
      </c>
    </row>
    <row r="47" spans="1:10" ht="15" customHeight="1" x14ac:dyDescent="0.15">
      <c r="A47" s="135"/>
      <c r="B47" s="138" t="s">
        <v>50</v>
      </c>
      <c r="C47" s="129"/>
      <c r="D47" s="129"/>
      <c r="E47" s="129"/>
      <c r="F47" s="129"/>
      <c r="G47" s="107"/>
    </row>
    <row r="48" spans="1:10" ht="13.5" x14ac:dyDescent="0.15">
      <c r="A48" s="135"/>
      <c r="B48" s="31" t="s">
        <v>39</v>
      </c>
      <c r="C48" s="31" t="s">
        <v>44</v>
      </c>
      <c r="D48" s="31" t="s">
        <v>18</v>
      </c>
      <c r="E48" s="31" t="s">
        <v>45</v>
      </c>
      <c r="F48" s="31" t="s">
        <v>46</v>
      </c>
      <c r="G48" s="31" t="s">
        <v>47</v>
      </c>
      <c r="H48" s="31" t="s">
        <v>513</v>
      </c>
      <c r="I48" s="31" t="s">
        <v>514</v>
      </c>
      <c r="J48" s="31" t="s">
        <v>515</v>
      </c>
    </row>
    <row r="49" spans="1:10" ht="135" x14ac:dyDescent="0.15">
      <c r="A49" s="135"/>
      <c r="B49" s="35" t="s">
        <v>688</v>
      </c>
      <c r="C49" s="35" t="s">
        <v>705</v>
      </c>
      <c r="D49" s="35" t="s">
        <v>966</v>
      </c>
      <c r="E49" s="35" t="s">
        <v>130</v>
      </c>
      <c r="F49" s="35" t="s">
        <v>711</v>
      </c>
      <c r="G49" s="35" t="s">
        <v>710</v>
      </c>
      <c r="H49" s="35" t="s">
        <v>145</v>
      </c>
      <c r="I49" s="35" t="s">
        <v>512</v>
      </c>
      <c r="J49" s="35" t="s">
        <v>516</v>
      </c>
    </row>
    <row r="50" spans="1:10" ht="189" x14ac:dyDescent="0.15">
      <c r="A50" s="135"/>
      <c r="B50" s="35" t="s">
        <v>693</v>
      </c>
      <c r="C50" s="35" t="s">
        <v>706</v>
      </c>
      <c r="D50" s="35" t="s">
        <v>506</v>
      </c>
      <c r="E50" s="35" t="s">
        <v>130</v>
      </c>
      <c r="F50" s="35" t="s">
        <v>712</v>
      </c>
      <c r="G50" s="35" t="s">
        <v>713</v>
      </c>
      <c r="H50" s="35" t="s">
        <v>145</v>
      </c>
      <c r="I50" s="35" t="s">
        <v>586</v>
      </c>
      <c r="J50" s="35" t="s">
        <v>516</v>
      </c>
    </row>
  </sheetData>
  <mergeCells count="30">
    <mergeCell ref="C31:E31"/>
    <mergeCell ref="A42:A50"/>
    <mergeCell ref="C44:E44"/>
    <mergeCell ref="C45:E45"/>
    <mergeCell ref="B47:G47"/>
    <mergeCell ref="C46:E46"/>
    <mergeCell ref="B42:G42"/>
    <mergeCell ref="B43:G43"/>
    <mergeCell ref="A35:A41"/>
    <mergeCell ref="B35:G35"/>
    <mergeCell ref="B36:G36"/>
    <mergeCell ref="C37:E37"/>
    <mergeCell ref="C38:E38"/>
    <mergeCell ref="B39:G39"/>
    <mergeCell ref="B32:G32"/>
    <mergeCell ref="A1:A5"/>
    <mergeCell ref="F1:G1"/>
    <mergeCell ref="F3:G3"/>
    <mergeCell ref="F4:G4"/>
    <mergeCell ref="B26:G26"/>
    <mergeCell ref="A6:A34"/>
    <mergeCell ref="B6:G6"/>
    <mergeCell ref="B7:G7"/>
    <mergeCell ref="B8:B25"/>
    <mergeCell ref="C9:C25"/>
    <mergeCell ref="F9:F25"/>
    <mergeCell ref="G9:G25"/>
    <mergeCell ref="B27:B28"/>
    <mergeCell ref="B29:G29"/>
    <mergeCell ref="C30:E30"/>
  </mergeCells>
  <phoneticPr fontId="1" type="noConversion"/>
  <dataValidations count="1">
    <dataValidation type="list" allowBlank="1" showInputMessage="1" showErrorMessage="1" sqref="C3:C5" xr:uid="{01D5A2D4-0D80-4631-8543-A4DDCB32F21D}">
      <formula1>"流程图,状态机,等价类划分&amp;数据组合,直接分析"</formula1>
    </dataValidation>
  </dataValidation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9D4BBA-06E2-4166-8618-00CDCD89E40E}">
  <dimension ref="A1:J59"/>
  <sheetViews>
    <sheetView workbookViewId="0">
      <pane xSplit="1" ySplit="5" topLeftCell="B40" activePane="bottomRight" state="frozen"/>
      <selection pane="topRight" activeCell="B1" sqref="B1"/>
      <selection pane="bottomLeft" activeCell="A7" sqref="A7"/>
      <selection pane="bottomRight" activeCell="B51" sqref="B51"/>
    </sheetView>
  </sheetViews>
  <sheetFormatPr defaultColWidth="9" defaultRowHeight="13.5" x14ac:dyDescent="0.15"/>
  <cols>
    <col min="1" max="1" width="15" customWidth="1"/>
    <col min="2" max="2" width="32.125" customWidth="1"/>
    <col min="3" max="3" width="14.125" customWidth="1"/>
    <col min="4" max="4" width="29.625" customWidth="1"/>
    <col min="5" max="5" width="24.625" customWidth="1"/>
    <col min="6" max="6" width="61.875" customWidth="1"/>
    <col min="7" max="7" width="82.5" customWidth="1"/>
  </cols>
  <sheetData>
    <row r="1" spans="1:7" ht="15" customHeight="1" x14ac:dyDescent="0.15">
      <c r="A1" s="131" t="s">
        <v>22</v>
      </c>
      <c r="B1" s="47" t="s">
        <v>14</v>
      </c>
      <c r="C1" s="47" t="s">
        <v>15</v>
      </c>
      <c r="D1" s="47" t="s">
        <v>16</v>
      </c>
      <c r="E1" s="47" t="s">
        <v>17</v>
      </c>
      <c r="F1" s="127" t="s">
        <v>18</v>
      </c>
      <c r="G1" s="103"/>
    </row>
    <row r="2" spans="1:7" ht="15" customHeight="1" x14ac:dyDescent="0.15">
      <c r="A2" s="132"/>
      <c r="B2" s="39" t="s">
        <v>715</v>
      </c>
      <c r="C2" s="39" t="s">
        <v>634</v>
      </c>
      <c r="D2" s="39"/>
      <c r="E2" s="52">
        <v>5</v>
      </c>
      <c r="F2" s="105" t="s">
        <v>221</v>
      </c>
      <c r="G2" s="105"/>
    </row>
    <row r="3" spans="1:7" ht="15" customHeight="1" x14ac:dyDescent="0.15">
      <c r="A3" s="132"/>
      <c r="B3" s="39" t="s">
        <v>760</v>
      </c>
      <c r="C3" s="39" t="s">
        <v>20</v>
      </c>
      <c r="D3" s="39"/>
      <c r="E3" s="52">
        <v>2</v>
      </c>
      <c r="F3" s="105" t="s">
        <v>771</v>
      </c>
      <c r="G3" s="105"/>
    </row>
    <row r="4" spans="1:7" ht="15" customHeight="1" x14ac:dyDescent="0.15">
      <c r="A4" s="132"/>
      <c r="B4" s="39" t="s">
        <v>714</v>
      </c>
      <c r="C4" s="39" t="s">
        <v>20</v>
      </c>
      <c r="D4" s="39"/>
      <c r="E4" s="52">
        <v>5</v>
      </c>
      <c r="F4" s="105" t="s">
        <v>222</v>
      </c>
      <c r="G4" s="105"/>
    </row>
    <row r="5" spans="1:7" ht="15" customHeight="1" x14ac:dyDescent="0.15">
      <c r="A5" s="132"/>
      <c r="B5" s="39" t="s">
        <v>775</v>
      </c>
      <c r="C5" s="39" t="s">
        <v>20</v>
      </c>
      <c r="D5" s="39"/>
      <c r="E5" s="52">
        <v>1</v>
      </c>
      <c r="F5" s="105" t="s">
        <v>224</v>
      </c>
      <c r="G5" s="105"/>
    </row>
    <row r="6" spans="1:7" ht="15" customHeight="1" x14ac:dyDescent="0.15">
      <c r="A6" s="134" t="s">
        <v>715</v>
      </c>
      <c r="B6" s="128" t="s">
        <v>23</v>
      </c>
      <c r="C6" s="129"/>
      <c r="D6" s="129"/>
      <c r="E6" s="129"/>
      <c r="F6" s="129"/>
      <c r="G6" s="107"/>
    </row>
    <row r="7" spans="1:7" ht="15" customHeight="1" x14ac:dyDescent="0.15">
      <c r="A7" s="135"/>
      <c r="B7" s="130" t="s">
        <v>24</v>
      </c>
      <c r="C7" s="129"/>
      <c r="D7" s="129"/>
      <c r="E7" s="129"/>
      <c r="F7" s="129"/>
      <c r="G7" s="107"/>
    </row>
    <row r="8" spans="1:7" ht="15" customHeight="1" x14ac:dyDescent="0.15">
      <c r="A8" s="135"/>
      <c r="B8" s="160" t="s">
        <v>25</v>
      </c>
      <c r="C8" s="37" t="s">
        <v>18</v>
      </c>
      <c r="D8" s="37" t="s">
        <v>26</v>
      </c>
      <c r="E8" s="37" t="s">
        <v>27</v>
      </c>
      <c r="F8" s="32" t="s">
        <v>28</v>
      </c>
      <c r="G8" s="32" t="s">
        <v>29</v>
      </c>
    </row>
    <row r="9" spans="1:7" ht="15" customHeight="1" x14ac:dyDescent="0.15">
      <c r="A9" s="135"/>
      <c r="B9" s="150"/>
      <c r="C9" s="134" t="s">
        <v>716</v>
      </c>
      <c r="D9" s="45" t="s">
        <v>723</v>
      </c>
      <c r="E9" s="45"/>
      <c r="F9" s="134"/>
      <c r="G9" s="134"/>
    </row>
    <row r="10" spans="1:7" ht="15" customHeight="1" x14ac:dyDescent="0.15">
      <c r="A10" s="135"/>
      <c r="B10" s="150"/>
      <c r="C10" s="134"/>
      <c r="D10" s="45" t="s">
        <v>724</v>
      </c>
      <c r="E10" s="45"/>
      <c r="F10" s="134"/>
      <c r="G10" s="134"/>
    </row>
    <row r="11" spans="1:7" ht="15" customHeight="1" x14ac:dyDescent="0.15">
      <c r="A11" s="135"/>
      <c r="B11" s="150"/>
      <c r="C11" s="134"/>
      <c r="D11" s="45" t="s">
        <v>726</v>
      </c>
      <c r="E11" s="45"/>
      <c r="F11" s="134"/>
      <c r="G11" s="134"/>
    </row>
    <row r="12" spans="1:7" ht="15" customHeight="1" x14ac:dyDescent="0.15">
      <c r="A12" s="135"/>
      <c r="B12" s="150"/>
      <c r="C12" s="134"/>
      <c r="D12" s="45" t="s">
        <v>725</v>
      </c>
      <c r="E12" s="45"/>
      <c r="F12" s="134"/>
      <c r="G12" s="134"/>
    </row>
    <row r="13" spans="1:7" ht="15" customHeight="1" x14ac:dyDescent="0.15">
      <c r="A13" s="135"/>
      <c r="B13" s="150"/>
      <c r="C13" s="134" t="s">
        <v>717</v>
      </c>
      <c r="D13" s="45" t="s">
        <v>718</v>
      </c>
      <c r="E13" s="45"/>
      <c r="F13" s="134"/>
      <c r="G13" s="134"/>
    </row>
    <row r="14" spans="1:7" ht="15" customHeight="1" x14ac:dyDescent="0.15">
      <c r="A14" s="135"/>
      <c r="B14" s="150"/>
      <c r="C14" s="134"/>
      <c r="D14" s="45" t="s">
        <v>719</v>
      </c>
      <c r="E14" s="45"/>
      <c r="F14" s="134"/>
      <c r="G14" s="134"/>
    </row>
    <row r="15" spans="1:7" ht="15" customHeight="1" x14ac:dyDescent="0.15">
      <c r="A15" s="135"/>
      <c r="B15" s="150"/>
      <c r="C15" s="134" t="s">
        <v>727</v>
      </c>
      <c r="D15" s="45" t="s">
        <v>727</v>
      </c>
      <c r="E15" s="45"/>
      <c r="F15" s="134"/>
      <c r="G15" s="134"/>
    </row>
    <row r="16" spans="1:7" ht="15" customHeight="1" x14ac:dyDescent="0.15">
      <c r="A16" s="135"/>
      <c r="B16" s="150"/>
      <c r="C16" s="134"/>
      <c r="D16" s="45" t="s">
        <v>728</v>
      </c>
      <c r="E16" s="45"/>
      <c r="F16" s="134"/>
      <c r="G16" s="134"/>
    </row>
    <row r="17" spans="1:7" ht="15" customHeight="1" x14ac:dyDescent="0.15">
      <c r="A17" s="135"/>
      <c r="B17" s="150"/>
      <c r="C17" s="155" t="s">
        <v>720</v>
      </c>
      <c r="D17" s="45" t="s">
        <v>721</v>
      </c>
      <c r="E17" s="45"/>
      <c r="F17" s="155"/>
      <c r="G17" s="155"/>
    </row>
    <row r="18" spans="1:7" ht="15" customHeight="1" x14ac:dyDescent="0.15">
      <c r="A18" s="135"/>
      <c r="B18" s="150"/>
      <c r="C18" s="142"/>
      <c r="D18" s="45" t="s">
        <v>722</v>
      </c>
      <c r="E18" s="45"/>
      <c r="F18" s="142"/>
      <c r="G18" s="142"/>
    </row>
    <row r="19" spans="1:7" ht="15" customHeight="1" x14ac:dyDescent="0.15">
      <c r="A19" s="135"/>
      <c r="B19" s="153"/>
      <c r="C19" s="156"/>
      <c r="D19" s="45" t="s">
        <v>755</v>
      </c>
      <c r="E19" s="45"/>
      <c r="F19" s="156"/>
      <c r="G19" s="156"/>
    </row>
    <row r="20" spans="1:7" ht="15" customHeight="1" x14ac:dyDescent="0.15">
      <c r="A20" s="135"/>
      <c r="B20" s="130" t="s">
        <v>31</v>
      </c>
      <c r="C20" s="151"/>
      <c r="D20" s="151"/>
      <c r="E20" s="151"/>
      <c r="F20" s="151"/>
      <c r="G20" s="151"/>
    </row>
    <row r="21" spans="1:7" ht="15" customHeight="1" x14ac:dyDescent="0.15">
      <c r="A21" s="135"/>
      <c r="B21" s="160" t="s">
        <v>32</v>
      </c>
      <c r="C21" s="31" t="s">
        <v>18</v>
      </c>
      <c r="D21" s="31" t="s">
        <v>33</v>
      </c>
      <c r="E21" s="31" t="s">
        <v>34</v>
      </c>
      <c r="F21" s="31" t="s">
        <v>35</v>
      </c>
      <c r="G21" s="31" t="s">
        <v>36</v>
      </c>
    </row>
    <row r="22" spans="1:7" ht="15" customHeight="1" x14ac:dyDescent="0.15">
      <c r="A22" s="135"/>
      <c r="B22" s="150"/>
      <c r="C22" s="155" t="s">
        <v>729</v>
      </c>
      <c r="D22" s="45" t="s">
        <v>718</v>
      </c>
      <c r="E22" s="45" t="s">
        <v>730</v>
      </c>
      <c r="F22" s="89" t="s">
        <v>731</v>
      </c>
      <c r="G22" s="70" t="s">
        <v>733</v>
      </c>
    </row>
    <row r="23" spans="1:7" ht="15" customHeight="1" x14ac:dyDescent="0.15">
      <c r="A23" s="135"/>
      <c r="B23" s="150"/>
      <c r="C23" s="156"/>
      <c r="D23" s="45" t="s">
        <v>719</v>
      </c>
      <c r="E23" s="45" t="s">
        <v>755</v>
      </c>
      <c r="F23" s="89" t="s">
        <v>732</v>
      </c>
      <c r="G23" s="70" t="s">
        <v>908</v>
      </c>
    </row>
    <row r="24" spans="1:7" ht="15" customHeight="1" x14ac:dyDescent="0.15">
      <c r="A24" s="135"/>
      <c r="B24" s="150"/>
      <c r="C24" s="155" t="s">
        <v>735</v>
      </c>
      <c r="D24" s="70" t="s">
        <v>736</v>
      </c>
      <c r="E24" s="45" t="s">
        <v>738</v>
      </c>
      <c r="F24" s="88" t="s">
        <v>742</v>
      </c>
      <c r="G24" s="70" t="s">
        <v>739</v>
      </c>
    </row>
    <row r="25" spans="1:7" ht="15" customHeight="1" x14ac:dyDescent="0.15">
      <c r="A25" s="135"/>
      <c r="B25" s="150"/>
      <c r="C25" s="142"/>
      <c r="D25" s="45" t="s">
        <v>737</v>
      </c>
      <c r="E25" s="45" t="s">
        <v>728</v>
      </c>
      <c r="F25" s="88" t="s">
        <v>743</v>
      </c>
      <c r="G25" s="45" t="s">
        <v>741</v>
      </c>
    </row>
    <row r="26" spans="1:7" ht="15" customHeight="1" x14ac:dyDescent="0.15">
      <c r="A26" s="135"/>
      <c r="B26" s="150"/>
      <c r="C26" s="156"/>
      <c r="D26" s="45" t="s">
        <v>734</v>
      </c>
      <c r="E26" s="45" t="s">
        <v>727</v>
      </c>
      <c r="F26" s="88" t="s">
        <v>744</v>
      </c>
      <c r="G26" s="45" t="s">
        <v>740</v>
      </c>
    </row>
    <row r="27" spans="1:7" ht="15" customHeight="1" x14ac:dyDescent="0.15">
      <c r="A27" s="135"/>
      <c r="B27" s="150"/>
      <c r="C27" s="155" t="s">
        <v>745</v>
      </c>
      <c r="D27" s="45" t="s">
        <v>746</v>
      </c>
      <c r="E27" s="45" t="s">
        <v>725</v>
      </c>
      <c r="F27" s="88" t="s">
        <v>750</v>
      </c>
      <c r="G27" s="45" t="s">
        <v>751</v>
      </c>
    </row>
    <row r="28" spans="1:7" ht="15" customHeight="1" x14ac:dyDescent="0.15">
      <c r="A28" s="135"/>
      <c r="B28" s="150"/>
      <c r="C28" s="142"/>
      <c r="D28" s="45" t="s">
        <v>761</v>
      </c>
      <c r="E28" s="45" t="s">
        <v>723</v>
      </c>
      <c r="F28" s="88" t="s">
        <v>749</v>
      </c>
      <c r="G28" s="45" t="s">
        <v>752</v>
      </c>
    </row>
    <row r="29" spans="1:7" ht="15" customHeight="1" x14ac:dyDescent="0.15">
      <c r="A29" s="135"/>
      <c r="B29" s="150"/>
      <c r="C29" s="142"/>
      <c r="D29" s="45" t="s">
        <v>741</v>
      </c>
      <c r="E29" s="45" t="s">
        <v>724</v>
      </c>
      <c r="F29" s="88" t="s">
        <v>748</v>
      </c>
      <c r="G29" s="45" t="s">
        <v>753</v>
      </c>
    </row>
    <row r="30" spans="1:7" ht="15" customHeight="1" x14ac:dyDescent="0.15">
      <c r="A30" s="135"/>
      <c r="B30" s="150"/>
      <c r="C30" s="156"/>
      <c r="D30" s="45" t="s">
        <v>740</v>
      </c>
      <c r="E30" s="45" t="s">
        <v>726</v>
      </c>
      <c r="F30" s="88" t="s">
        <v>747</v>
      </c>
      <c r="G30" s="45" t="s">
        <v>756</v>
      </c>
    </row>
    <row r="31" spans="1:7" ht="15" customHeight="1" x14ac:dyDescent="0.15">
      <c r="A31" s="135"/>
      <c r="B31" s="130" t="s">
        <v>38</v>
      </c>
      <c r="C31" s="129"/>
      <c r="D31" s="129"/>
      <c r="E31" s="129"/>
      <c r="F31" s="129"/>
      <c r="G31" s="107"/>
    </row>
    <row r="32" spans="1:7" ht="15" customHeight="1" x14ac:dyDescent="0.15">
      <c r="A32" s="135"/>
      <c r="B32" s="43" t="s">
        <v>39</v>
      </c>
      <c r="C32" s="130" t="s">
        <v>40</v>
      </c>
      <c r="D32" s="129"/>
      <c r="E32" s="107"/>
      <c r="F32" s="32" t="s">
        <v>41</v>
      </c>
      <c r="G32" s="32" t="s">
        <v>42</v>
      </c>
    </row>
    <row r="33" spans="1:10" ht="15" customHeight="1" x14ac:dyDescent="0.15">
      <c r="A33" s="135"/>
      <c r="B33" s="33" t="s">
        <v>754</v>
      </c>
      <c r="C33" s="137" t="s">
        <v>759</v>
      </c>
      <c r="D33" s="129"/>
      <c r="E33" s="107"/>
      <c r="F33" s="39" t="s">
        <v>413</v>
      </c>
      <c r="G33" s="45" t="s">
        <v>757</v>
      </c>
    </row>
    <row r="34" spans="1:10" ht="15" customHeight="1" x14ac:dyDescent="0.15">
      <c r="A34" s="135"/>
      <c r="B34" s="138" t="s">
        <v>43</v>
      </c>
      <c r="C34" s="129"/>
      <c r="D34" s="129"/>
      <c r="E34" s="129"/>
      <c r="F34" s="129"/>
      <c r="G34" s="107"/>
    </row>
    <row r="35" spans="1:10" ht="15" customHeight="1" x14ac:dyDescent="0.15">
      <c r="A35" s="135"/>
      <c r="B35" s="31" t="s">
        <v>39</v>
      </c>
      <c r="C35" s="31" t="s">
        <v>44</v>
      </c>
      <c r="D35" s="31" t="s">
        <v>18</v>
      </c>
      <c r="E35" s="31" t="s">
        <v>45</v>
      </c>
      <c r="F35" s="31" t="s">
        <v>46</v>
      </c>
      <c r="G35" s="31" t="s">
        <v>47</v>
      </c>
      <c r="H35" s="31" t="s">
        <v>513</v>
      </c>
      <c r="I35" s="31" t="s">
        <v>514</v>
      </c>
      <c r="J35" s="31" t="s">
        <v>515</v>
      </c>
    </row>
    <row r="36" spans="1:10" ht="148.5" x14ac:dyDescent="0.15">
      <c r="A36" s="135"/>
      <c r="B36" s="35" t="s">
        <v>754</v>
      </c>
      <c r="C36" s="35" t="s">
        <v>759</v>
      </c>
      <c r="D36" s="35" t="s">
        <v>757</v>
      </c>
      <c r="E36" s="35" t="s">
        <v>758</v>
      </c>
      <c r="F36" s="35" t="s">
        <v>768</v>
      </c>
      <c r="G36" s="35" t="s">
        <v>909</v>
      </c>
      <c r="H36" s="35" t="s">
        <v>141</v>
      </c>
      <c r="I36" s="35" t="s">
        <v>512</v>
      </c>
      <c r="J36" s="35" t="s">
        <v>516</v>
      </c>
    </row>
    <row r="37" spans="1:10" x14ac:dyDescent="0.15">
      <c r="A37" s="134" t="s">
        <v>760</v>
      </c>
      <c r="B37" s="128" t="s">
        <v>48</v>
      </c>
      <c r="C37" s="129"/>
      <c r="D37" s="129"/>
      <c r="E37" s="129"/>
      <c r="F37" s="129"/>
      <c r="G37" s="107"/>
    </row>
    <row r="38" spans="1:10" x14ac:dyDescent="0.15">
      <c r="A38" s="151"/>
      <c r="B38" s="130" t="s">
        <v>49</v>
      </c>
      <c r="C38" s="129"/>
      <c r="D38" s="129"/>
      <c r="E38" s="129"/>
      <c r="F38" s="129"/>
      <c r="G38" s="107"/>
    </row>
    <row r="39" spans="1:10" x14ac:dyDescent="0.15">
      <c r="A39" s="151"/>
      <c r="B39" s="43" t="s">
        <v>39</v>
      </c>
      <c r="C39" s="130" t="s">
        <v>40</v>
      </c>
      <c r="D39" s="129"/>
      <c r="E39" s="107"/>
      <c r="F39" s="32" t="s">
        <v>41</v>
      </c>
      <c r="G39" s="32" t="s">
        <v>42</v>
      </c>
    </row>
    <row r="40" spans="1:10" ht="40.5" x14ac:dyDescent="0.15">
      <c r="A40" s="151"/>
      <c r="B40" s="33" t="s">
        <v>762</v>
      </c>
      <c r="C40" s="137" t="s">
        <v>763</v>
      </c>
      <c r="D40" s="129"/>
      <c r="E40" s="107"/>
      <c r="F40" s="34" t="s">
        <v>413</v>
      </c>
      <c r="G40" s="34" t="s">
        <v>669</v>
      </c>
    </row>
    <row r="41" spans="1:10" x14ac:dyDescent="0.15">
      <c r="A41" s="151"/>
      <c r="B41" s="138" t="s">
        <v>50</v>
      </c>
      <c r="C41" s="129"/>
      <c r="D41" s="129"/>
      <c r="E41" s="129"/>
      <c r="F41" s="129"/>
      <c r="G41" s="107"/>
    </row>
    <row r="42" spans="1:10" x14ac:dyDescent="0.15">
      <c r="A42" s="151"/>
      <c r="B42" s="31" t="s">
        <v>39</v>
      </c>
      <c r="C42" s="31" t="s">
        <v>44</v>
      </c>
      <c r="D42" s="31" t="s">
        <v>18</v>
      </c>
      <c r="E42" s="31" t="s">
        <v>45</v>
      </c>
      <c r="F42" s="31" t="s">
        <v>46</v>
      </c>
      <c r="G42" s="31" t="s">
        <v>47</v>
      </c>
      <c r="H42" s="31" t="s">
        <v>513</v>
      </c>
      <c r="I42" s="31" t="s">
        <v>514</v>
      </c>
      <c r="J42" s="31" t="s">
        <v>515</v>
      </c>
    </row>
    <row r="43" spans="1:10" ht="108" x14ac:dyDescent="0.15">
      <c r="A43" s="151"/>
      <c r="B43" s="35" t="s">
        <v>762</v>
      </c>
      <c r="C43" s="35" t="s">
        <v>763</v>
      </c>
      <c r="D43" s="35" t="s">
        <v>669</v>
      </c>
      <c r="E43" s="35" t="s">
        <v>758</v>
      </c>
      <c r="F43" s="35" t="s">
        <v>765</v>
      </c>
      <c r="G43" s="35" t="s">
        <v>764</v>
      </c>
      <c r="H43" s="35" t="s">
        <v>143</v>
      </c>
      <c r="I43" s="35" t="s">
        <v>512</v>
      </c>
      <c r="J43" s="35" t="s">
        <v>547</v>
      </c>
    </row>
    <row r="44" spans="1:10" ht="148.5" x14ac:dyDescent="0.15">
      <c r="A44" s="151"/>
      <c r="B44" s="35" t="s">
        <v>766</v>
      </c>
      <c r="C44" s="35" t="s">
        <v>767</v>
      </c>
      <c r="D44" s="35" t="s">
        <v>669</v>
      </c>
      <c r="E44" s="35" t="s">
        <v>758</v>
      </c>
      <c r="F44" s="35" t="s">
        <v>770</v>
      </c>
      <c r="G44" s="35" t="s">
        <v>769</v>
      </c>
      <c r="H44" s="35" t="s">
        <v>143</v>
      </c>
      <c r="I44" s="35" t="s">
        <v>512</v>
      </c>
      <c r="J44" s="35" t="s">
        <v>547</v>
      </c>
    </row>
    <row r="45" spans="1:10" x14ac:dyDescent="0.15">
      <c r="A45" s="134" t="s">
        <v>714</v>
      </c>
      <c r="B45" s="128" t="s">
        <v>48</v>
      </c>
      <c r="C45" s="129"/>
      <c r="D45" s="129"/>
      <c r="E45" s="129"/>
      <c r="F45" s="129"/>
      <c r="G45" s="107"/>
    </row>
    <row r="46" spans="1:10" x14ac:dyDescent="0.15">
      <c r="A46" s="151"/>
      <c r="B46" s="130" t="s">
        <v>49</v>
      </c>
      <c r="C46" s="129"/>
      <c r="D46" s="129"/>
      <c r="E46" s="129"/>
      <c r="F46" s="129"/>
      <c r="G46" s="107"/>
    </row>
    <row r="47" spans="1:10" x14ac:dyDescent="0.15">
      <c r="A47" s="151"/>
      <c r="B47" s="43" t="s">
        <v>39</v>
      </c>
      <c r="C47" s="130" t="s">
        <v>40</v>
      </c>
      <c r="D47" s="129"/>
      <c r="E47" s="107"/>
      <c r="F47" s="32" t="s">
        <v>41</v>
      </c>
      <c r="G47" s="32" t="s">
        <v>42</v>
      </c>
    </row>
    <row r="48" spans="1:10" ht="27" x14ac:dyDescent="0.15">
      <c r="A48" s="151"/>
      <c r="B48" s="33" t="s">
        <v>772</v>
      </c>
      <c r="C48" s="137" t="s">
        <v>777</v>
      </c>
      <c r="D48" s="129"/>
      <c r="E48" s="107"/>
      <c r="F48" s="34" t="s">
        <v>773</v>
      </c>
      <c r="G48" s="34" t="s">
        <v>773</v>
      </c>
    </row>
    <row r="49" spans="1:10" x14ac:dyDescent="0.15">
      <c r="A49" s="151"/>
      <c r="B49" s="138" t="s">
        <v>50</v>
      </c>
      <c r="C49" s="129"/>
      <c r="D49" s="129"/>
      <c r="E49" s="129"/>
      <c r="F49" s="129"/>
      <c r="G49" s="107"/>
    </row>
    <row r="50" spans="1:10" x14ac:dyDescent="0.15">
      <c r="A50" s="151"/>
      <c r="B50" s="31" t="s">
        <v>39</v>
      </c>
      <c r="C50" s="31" t="s">
        <v>44</v>
      </c>
      <c r="D50" s="31" t="s">
        <v>18</v>
      </c>
      <c r="E50" s="31" t="s">
        <v>45</v>
      </c>
      <c r="F50" s="31" t="s">
        <v>46</v>
      </c>
      <c r="G50" s="31" t="s">
        <v>47</v>
      </c>
      <c r="H50" s="31" t="s">
        <v>513</v>
      </c>
      <c r="I50" s="31" t="s">
        <v>514</v>
      </c>
      <c r="J50" s="31" t="s">
        <v>515</v>
      </c>
    </row>
    <row r="51" spans="1:10" ht="54" x14ac:dyDescent="0.15">
      <c r="A51" s="151"/>
      <c r="B51" s="35" t="s">
        <v>772</v>
      </c>
      <c r="C51" s="35" t="s">
        <v>969</v>
      </c>
      <c r="D51" s="35" t="s">
        <v>773</v>
      </c>
      <c r="E51" s="35" t="s">
        <v>758</v>
      </c>
      <c r="F51" s="35" t="s">
        <v>774</v>
      </c>
      <c r="G51" s="35" t="s">
        <v>764</v>
      </c>
      <c r="H51" s="35" t="s">
        <v>145</v>
      </c>
      <c r="I51" s="35" t="s">
        <v>586</v>
      </c>
      <c r="J51" s="35" t="s">
        <v>547</v>
      </c>
    </row>
    <row r="52" spans="1:10" x14ac:dyDescent="0.15">
      <c r="A52" s="134" t="s">
        <v>775</v>
      </c>
      <c r="B52" s="128" t="s">
        <v>48</v>
      </c>
      <c r="C52" s="129"/>
      <c r="D52" s="129"/>
      <c r="E52" s="129"/>
      <c r="F52" s="129"/>
      <c r="G52" s="107"/>
    </row>
    <row r="53" spans="1:10" x14ac:dyDescent="0.15">
      <c r="A53" s="151"/>
      <c r="B53" s="130" t="s">
        <v>49</v>
      </c>
      <c r="C53" s="129"/>
      <c r="D53" s="129"/>
      <c r="E53" s="129"/>
      <c r="F53" s="129"/>
      <c r="G53" s="107"/>
    </row>
    <row r="54" spans="1:10" x14ac:dyDescent="0.15">
      <c r="A54" s="151"/>
      <c r="B54" s="43" t="s">
        <v>39</v>
      </c>
      <c r="C54" s="130" t="s">
        <v>40</v>
      </c>
      <c r="D54" s="129"/>
      <c r="E54" s="107"/>
      <c r="F54" s="32" t="s">
        <v>41</v>
      </c>
      <c r="G54" s="32" t="s">
        <v>42</v>
      </c>
    </row>
    <row r="55" spans="1:10" x14ac:dyDescent="0.15">
      <c r="A55" s="151"/>
      <c r="B55" s="33" t="s">
        <v>776</v>
      </c>
      <c r="C55" s="137" t="s">
        <v>778</v>
      </c>
      <c r="D55" s="129"/>
      <c r="E55" s="107"/>
      <c r="F55" s="34" t="s">
        <v>779</v>
      </c>
      <c r="G55" s="34" t="s">
        <v>779</v>
      </c>
    </row>
    <row r="56" spans="1:10" x14ac:dyDescent="0.15">
      <c r="A56" s="151"/>
      <c r="B56" s="138" t="s">
        <v>50</v>
      </c>
      <c r="C56" s="129"/>
      <c r="D56" s="129"/>
      <c r="E56" s="129"/>
      <c r="F56" s="129"/>
      <c r="G56" s="107"/>
    </row>
    <row r="57" spans="1:10" x14ac:dyDescent="0.15">
      <c r="A57" s="151"/>
      <c r="B57" s="31" t="s">
        <v>39</v>
      </c>
      <c r="C57" s="31" t="s">
        <v>44</v>
      </c>
      <c r="D57" s="31" t="s">
        <v>18</v>
      </c>
      <c r="E57" s="31" t="s">
        <v>45</v>
      </c>
      <c r="F57" s="31" t="s">
        <v>46</v>
      </c>
      <c r="G57" s="31" t="s">
        <v>47</v>
      </c>
      <c r="H57" s="31" t="s">
        <v>513</v>
      </c>
      <c r="I57" s="31" t="s">
        <v>514</v>
      </c>
      <c r="J57" s="31" t="s">
        <v>515</v>
      </c>
    </row>
    <row r="58" spans="1:10" ht="67.5" x14ac:dyDescent="0.15">
      <c r="A58" s="151"/>
      <c r="B58" s="35" t="s">
        <v>776</v>
      </c>
      <c r="C58" s="35" t="s">
        <v>968</v>
      </c>
      <c r="D58" s="35" t="s">
        <v>782</v>
      </c>
      <c r="E58" s="35" t="s">
        <v>781</v>
      </c>
      <c r="F58" s="35" t="s">
        <v>784</v>
      </c>
      <c r="G58" s="35" t="s">
        <v>785</v>
      </c>
      <c r="H58" s="35" t="s">
        <v>145</v>
      </c>
      <c r="I58" s="35" t="s">
        <v>586</v>
      </c>
      <c r="J58" s="35" t="s">
        <v>547</v>
      </c>
    </row>
    <row r="59" spans="1:10" ht="94.5" x14ac:dyDescent="0.15">
      <c r="A59" s="151"/>
      <c r="B59" s="35" t="s">
        <v>780</v>
      </c>
      <c r="C59" s="35" t="s">
        <v>967</v>
      </c>
      <c r="D59" s="35" t="s">
        <v>783</v>
      </c>
      <c r="E59" s="35" t="s">
        <v>781</v>
      </c>
      <c r="F59" s="35" t="s">
        <v>786</v>
      </c>
      <c r="G59" s="35" t="s">
        <v>787</v>
      </c>
      <c r="H59" s="35" t="s">
        <v>145</v>
      </c>
      <c r="I59" s="35" t="s">
        <v>586</v>
      </c>
      <c r="J59" s="35" t="s">
        <v>547</v>
      </c>
    </row>
  </sheetData>
  <mergeCells count="49">
    <mergeCell ref="A52:A59"/>
    <mergeCell ref="B52:G52"/>
    <mergeCell ref="B53:G53"/>
    <mergeCell ref="C54:E54"/>
    <mergeCell ref="C55:E55"/>
    <mergeCell ref="B56:G56"/>
    <mergeCell ref="A45:A51"/>
    <mergeCell ref="B45:G45"/>
    <mergeCell ref="B46:G46"/>
    <mergeCell ref="C47:E47"/>
    <mergeCell ref="C48:E48"/>
    <mergeCell ref="B49:G49"/>
    <mergeCell ref="A37:A44"/>
    <mergeCell ref="B37:G37"/>
    <mergeCell ref="B38:G38"/>
    <mergeCell ref="C39:E39"/>
    <mergeCell ref="C40:E40"/>
    <mergeCell ref="B41:G41"/>
    <mergeCell ref="A1:A5"/>
    <mergeCell ref="F1:G1"/>
    <mergeCell ref="F2:G2"/>
    <mergeCell ref="F3:G3"/>
    <mergeCell ref="A6:A36"/>
    <mergeCell ref="B6:G6"/>
    <mergeCell ref="B7:G7"/>
    <mergeCell ref="F9:F12"/>
    <mergeCell ref="G9:G12"/>
    <mergeCell ref="F13:F14"/>
    <mergeCell ref="G13:G14"/>
    <mergeCell ref="F15:F16"/>
    <mergeCell ref="G15:G16"/>
    <mergeCell ref="F17:F19"/>
    <mergeCell ref="C17:C19"/>
    <mergeCell ref="B34:G34"/>
    <mergeCell ref="B20:G20"/>
    <mergeCell ref="B21:B30"/>
    <mergeCell ref="B31:G31"/>
    <mergeCell ref="C32:E32"/>
    <mergeCell ref="C33:E33"/>
    <mergeCell ref="C22:C23"/>
    <mergeCell ref="C24:C26"/>
    <mergeCell ref="C27:C30"/>
    <mergeCell ref="G17:G19"/>
    <mergeCell ref="B8:B19"/>
    <mergeCell ref="F4:G4"/>
    <mergeCell ref="F5:G5"/>
    <mergeCell ref="C9:C12"/>
    <mergeCell ref="C13:C14"/>
    <mergeCell ref="C15:C16"/>
  </mergeCells>
  <phoneticPr fontId="1" type="noConversion"/>
  <dataValidations count="1">
    <dataValidation type="list" allowBlank="1" showInputMessage="1" showErrorMessage="1" sqref="C2:C5" xr:uid="{76CCA3EE-AB66-4E55-ACBA-5B8748BE76B3}">
      <formula1>"流程图,状态机,等价类划分&amp;数据组合,直接分析"</formula1>
    </dataValidation>
  </dataValidation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BD802B-B724-42D5-91DC-66BADF337AA7}">
  <dimension ref="A1:J68"/>
  <sheetViews>
    <sheetView workbookViewId="0">
      <pane xSplit="1" ySplit="7" topLeftCell="B32" activePane="bottomRight" state="frozen"/>
      <selection pane="topRight" activeCell="B1" sqref="B1"/>
      <selection pane="bottomLeft" activeCell="A7" sqref="A7"/>
      <selection pane="bottomRight" activeCell="B68" sqref="B68:J68"/>
    </sheetView>
  </sheetViews>
  <sheetFormatPr defaultColWidth="9" defaultRowHeight="13.5" x14ac:dyDescent="0.15"/>
  <cols>
    <col min="1" max="1" width="15" customWidth="1"/>
    <col min="2" max="2" width="32.125" customWidth="1"/>
    <col min="3" max="3" width="14.125" customWidth="1"/>
    <col min="4" max="4" width="29.625" customWidth="1"/>
    <col min="5" max="5" width="24.625" customWidth="1"/>
    <col min="6" max="6" width="61.875" customWidth="1"/>
    <col min="7" max="7" width="82.5" customWidth="1"/>
  </cols>
  <sheetData>
    <row r="1" spans="1:7" ht="15" customHeight="1" x14ac:dyDescent="0.15">
      <c r="A1" s="131" t="s">
        <v>22</v>
      </c>
      <c r="B1" s="47" t="s">
        <v>14</v>
      </c>
      <c r="C1" s="47" t="s">
        <v>15</v>
      </c>
      <c r="D1" s="47" t="s">
        <v>16</v>
      </c>
      <c r="E1" s="47" t="s">
        <v>17</v>
      </c>
      <c r="F1" s="127" t="s">
        <v>18</v>
      </c>
      <c r="G1" s="103"/>
    </row>
    <row r="2" spans="1:7" ht="15" customHeight="1" x14ac:dyDescent="0.15">
      <c r="A2" s="132"/>
      <c r="B2" s="39" t="s">
        <v>790</v>
      </c>
      <c r="C2" s="39" t="s">
        <v>19</v>
      </c>
      <c r="D2" s="39"/>
      <c r="E2" s="52">
        <v>16</v>
      </c>
      <c r="F2" s="105" t="s">
        <v>788</v>
      </c>
      <c r="G2" s="105"/>
    </row>
    <row r="3" spans="1:7" ht="15" customHeight="1" x14ac:dyDescent="0.15">
      <c r="A3" s="132"/>
      <c r="B3" s="39" t="s">
        <v>808</v>
      </c>
      <c r="C3" s="39" t="s">
        <v>19</v>
      </c>
      <c r="D3" s="39"/>
      <c r="E3" s="52">
        <v>4</v>
      </c>
      <c r="F3" s="105" t="s">
        <v>227</v>
      </c>
      <c r="G3" s="105"/>
    </row>
    <row r="4" spans="1:7" ht="15" customHeight="1" x14ac:dyDescent="0.15">
      <c r="A4" s="132"/>
      <c r="B4" s="53" t="s">
        <v>228</v>
      </c>
      <c r="C4" s="54" t="s">
        <v>20</v>
      </c>
      <c r="D4" s="54"/>
      <c r="E4" s="36">
        <v>6</v>
      </c>
      <c r="F4" s="108" t="s">
        <v>818</v>
      </c>
      <c r="G4" s="108"/>
    </row>
    <row r="5" spans="1:7" ht="15" customHeight="1" x14ac:dyDescent="0.15">
      <c r="A5" s="132"/>
      <c r="B5" s="55" t="s">
        <v>819</v>
      </c>
      <c r="C5" s="39" t="s">
        <v>19</v>
      </c>
      <c r="D5" s="55"/>
      <c r="E5" s="71"/>
      <c r="F5" s="161" t="s">
        <v>820</v>
      </c>
      <c r="G5" s="162"/>
    </row>
    <row r="6" spans="1:7" ht="15" customHeight="1" x14ac:dyDescent="0.15">
      <c r="A6" s="132"/>
      <c r="B6" s="53" t="s">
        <v>789</v>
      </c>
      <c r="C6" s="54" t="s">
        <v>20</v>
      </c>
      <c r="D6" s="54"/>
      <c r="E6" s="36"/>
      <c r="F6" s="108" t="s">
        <v>829</v>
      </c>
      <c r="G6" s="108"/>
    </row>
    <row r="7" spans="1:7" ht="15" customHeight="1" x14ac:dyDescent="0.15">
      <c r="A7" s="132"/>
      <c r="B7" s="53" t="s">
        <v>830</v>
      </c>
      <c r="C7" s="54" t="s">
        <v>20</v>
      </c>
      <c r="D7" s="54"/>
      <c r="E7" s="36">
        <v>4</v>
      </c>
      <c r="F7" s="108" t="s">
        <v>831</v>
      </c>
      <c r="G7" s="108"/>
    </row>
    <row r="8" spans="1:7" ht="15" customHeight="1" x14ac:dyDescent="0.15">
      <c r="A8" s="134" t="s">
        <v>790</v>
      </c>
      <c r="B8" s="128" t="s">
        <v>23</v>
      </c>
      <c r="C8" s="129"/>
      <c r="D8" s="129"/>
      <c r="E8" s="129"/>
      <c r="F8" s="129"/>
      <c r="G8" s="107"/>
    </row>
    <row r="9" spans="1:7" ht="15" customHeight="1" x14ac:dyDescent="0.15">
      <c r="A9" s="135"/>
      <c r="B9" s="130" t="s">
        <v>24</v>
      </c>
      <c r="C9" s="129"/>
      <c r="D9" s="129"/>
      <c r="E9" s="129"/>
      <c r="F9" s="129"/>
      <c r="G9" s="107"/>
    </row>
    <row r="10" spans="1:7" ht="15" customHeight="1" x14ac:dyDescent="0.15">
      <c r="A10" s="135"/>
      <c r="B10" s="160" t="s">
        <v>25</v>
      </c>
      <c r="C10" s="37" t="s">
        <v>18</v>
      </c>
      <c r="D10" s="37" t="s">
        <v>26</v>
      </c>
      <c r="E10" s="37" t="s">
        <v>27</v>
      </c>
      <c r="F10" s="32" t="s">
        <v>28</v>
      </c>
      <c r="G10" s="32" t="s">
        <v>29</v>
      </c>
    </row>
    <row r="11" spans="1:7" ht="15" customHeight="1" x14ac:dyDescent="0.15">
      <c r="A11" s="135"/>
      <c r="B11" s="150"/>
      <c r="C11" s="155" t="s">
        <v>413</v>
      </c>
      <c r="D11" s="45" t="s">
        <v>368</v>
      </c>
      <c r="E11" s="45"/>
      <c r="F11" s="155" t="s">
        <v>522</v>
      </c>
      <c r="G11" s="155" t="s">
        <v>797</v>
      </c>
    </row>
    <row r="12" spans="1:7" ht="15" customHeight="1" x14ac:dyDescent="0.15">
      <c r="A12" s="135"/>
      <c r="B12" s="150"/>
      <c r="C12" s="142"/>
      <c r="D12" s="45" t="s">
        <v>381</v>
      </c>
      <c r="E12" s="45"/>
      <c r="F12" s="142"/>
      <c r="G12" s="142"/>
    </row>
    <row r="13" spans="1:7" ht="15" customHeight="1" x14ac:dyDescent="0.15">
      <c r="A13" s="135"/>
      <c r="B13" s="150"/>
      <c r="C13" s="142"/>
      <c r="D13" s="45" t="s">
        <v>379</v>
      </c>
      <c r="E13" s="45"/>
      <c r="F13" s="142"/>
      <c r="G13" s="142"/>
    </row>
    <row r="14" spans="1:7" ht="15" customHeight="1" x14ac:dyDescent="0.15">
      <c r="A14" s="135"/>
      <c r="B14" s="150"/>
      <c r="C14" s="142"/>
      <c r="D14" s="45" t="s">
        <v>389</v>
      </c>
      <c r="E14" s="45"/>
      <c r="F14" s="142"/>
      <c r="G14" s="142"/>
    </row>
    <row r="15" spans="1:7" ht="15" customHeight="1" x14ac:dyDescent="0.15">
      <c r="A15" s="135"/>
      <c r="B15" s="150"/>
      <c r="C15" s="142"/>
      <c r="D15" s="45" t="s">
        <v>388</v>
      </c>
      <c r="E15" s="45"/>
      <c r="F15" s="142"/>
      <c r="G15" s="142"/>
    </row>
    <row r="16" spans="1:7" ht="15" customHeight="1" x14ac:dyDescent="0.15">
      <c r="A16" s="135"/>
      <c r="B16" s="150"/>
      <c r="C16" s="142"/>
      <c r="D16" s="45" t="s">
        <v>392</v>
      </c>
      <c r="E16" s="45"/>
      <c r="F16" s="142"/>
      <c r="G16" s="142"/>
    </row>
    <row r="17" spans="1:7" ht="15" customHeight="1" x14ac:dyDescent="0.15">
      <c r="A17" s="135"/>
      <c r="B17" s="150"/>
      <c r="C17" s="142"/>
      <c r="D17" s="45" t="s">
        <v>397</v>
      </c>
      <c r="E17" s="45"/>
      <c r="F17" s="142"/>
      <c r="G17" s="142"/>
    </row>
    <row r="18" spans="1:7" ht="15" customHeight="1" x14ac:dyDescent="0.15">
      <c r="A18" s="135"/>
      <c r="B18" s="150"/>
      <c r="C18" s="156"/>
      <c r="D18" s="45" t="s">
        <v>396</v>
      </c>
      <c r="E18" s="45"/>
      <c r="F18" s="156"/>
      <c r="G18" s="156"/>
    </row>
    <row r="19" spans="1:7" ht="15" customHeight="1" x14ac:dyDescent="0.15">
      <c r="A19" s="135"/>
      <c r="B19" s="150"/>
      <c r="C19" s="155" t="s">
        <v>791</v>
      </c>
      <c r="D19" s="45" t="s">
        <v>792</v>
      </c>
      <c r="E19" s="45"/>
      <c r="F19" s="155" t="s">
        <v>522</v>
      </c>
      <c r="G19" s="155" t="s">
        <v>799</v>
      </c>
    </row>
    <row r="20" spans="1:7" ht="15" customHeight="1" x14ac:dyDescent="0.15">
      <c r="A20" s="135"/>
      <c r="B20" s="150"/>
      <c r="C20" s="142"/>
      <c r="D20" s="45" t="s">
        <v>793</v>
      </c>
      <c r="E20" s="45"/>
      <c r="F20" s="142"/>
      <c r="G20" s="142"/>
    </row>
    <row r="21" spans="1:7" ht="15" customHeight="1" x14ac:dyDescent="0.15">
      <c r="A21" s="135"/>
      <c r="B21" s="150"/>
      <c r="C21" s="142"/>
      <c r="D21" s="45" t="s">
        <v>794</v>
      </c>
      <c r="E21" s="45"/>
      <c r="F21" s="142"/>
      <c r="G21" s="142"/>
    </row>
    <row r="22" spans="1:7" ht="15" customHeight="1" x14ac:dyDescent="0.15">
      <c r="A22" s="135"/>
      <c r="B22" s="150"/>
      <c r="C22" s="142"/>
      <c r="D22" s="45" t="s">
        <v>795</v>
      </c>
      <c r="E22" s="45"/>
      <c r="F22" s="142"/>
      <c r="G22" s="142"/>
    </row>
    <row r="23" spans="1:7" ht="15" customHeight="1" x14ac:dyDescent="0.15">
      <c r="A23" s="135"/>
      <c r="B23" s="153"/>
      <c r="C23" s="156"/>
      <c r="D23" s="45" t="s">
        <v>796</v>
      </c>
      <c r="E23" s="45"/>
      <c r="F23" s="156"/>
      <c r="G23" s="156"/>
    </row>
    <row r="24" spans="1:7" ht="15" customHeight="1" x14ac:dyDescent="0.15">
      <c r="A24" s="135"/>
      <c r="B24" s="130" t="s">
        <v>31</v>
      </c>
      <c r="C24" s="151"/>
      <c r="D24" s="151"/>
      <c r="E24" s="151"/>
      <c r="F24" s="151"/>
      <c r="G24" s="151"/>
    </row>
    <row r="25" spans="1:7" ht="15" customHeight="1" x14ac:dyDescent="0.15">
      <c r="A25" s="135"/>
      <c r="B25" s="160" t="s">
        <v>32</v>
      </c>
      <c r="C25" s="31" t="s">
        <v>18</v>
      </c>
      <c r="D25" s="31" t="s">
        <v>33</v>
      </c>
      <c r="E25" s="31" t="s">
        <v>34</v>
      </c>
      <c r="F25" s="31" t="s">
        <v>35</v>
      </c>
      <c r="G25" s="31" t="s">
        <v>36</v>
      </c>
    </row>
    <row r="26" spans="1:7" ht="15" customHeight="1" x14ac:dyDescent="0.15">
      <c r="A26" s="135"/>
      <c r="B26" s="150"/>
      <c r="C26" s="155" t="s">
        <v>800</v>
      </c>
      <c r="D26" s="45" t="s">
        <v>368</v>
      </c>
      <c r="E26" s="45" t="s">
        <v>799</v>
      </c>
      <c r="F26" s="45" t="s">
        <v>801</v>
      </c>
      <c r="G26" s="157" t="s">
        <v>802</v>
      </c>
    </row>
    <row r="27" spans="1:7" ht="15" customHeight="1" x14ac:dyDescent="0.15">
      <c r="A27" s="135"/>
      <c r="B27" s="150"/>
      <c r="C27" s="142"/>
      <c r="D27" s="45" t="s">
        <v>381</v>
      </c>
      <c r="E27" s="45" t="s">
        <v>798</v>
      </c>
      <c r="F27" s="45" t="s">
        <v>801</v>
      </c>
      <c r="G27" s="143"/>
    </row>
    <row r="28" spans="1:7" ht="15" customHeight="1" x14ac:dyDescent="0.15">
      <c r="A28" s="135"/>
      <c r="B28" s="150"/>
      <c r="C28" s="142"/>
      <c r="D28" s="45" t="s">
        <v>379</v>
      </c>
      <c r="E28" s="45" t="s">
        <v>798</v>
      </c>
      <c r="F28" s="45" t="s">
        <v>801</v>
      </c>
      <c r="G28" s="143"/>
    </row>
    <row r="29" spans="1:7" ht="15" customHeight="1" x14ac:dyDescent="0.15">
      <c r="A29" s="135"/>
      <c r="B29" s="150"/>
      <c r="C29" s="142"/>
      <c r="D29" s="45" t="s">
        <v>389</v>
      </c>
      <c r="E29" s="45" t="s">
        <v>798</v>
      </c>
      <c r="F29" s="45" t="s">
        <v>801</v>
      </c>
      <c r="G29" s="143"/>
    </row>
    <row r="30" spans="1:7" ht="15" customHeight="1" x14ac:dyDescent="0.15">
      <c r="A30" s="135"/>
      <c r="B30" s="150"/>
      <c r="C30" s="142"/>
      <c r="D30" s="45" t="s">
        <v>388</v>
      </c>
      <c r="E30" s="45" t="s">
        <v>798</v>
      </c>
      <c r="F30" s="45" t="s">
        <v>801</v>
      </c>
      <c r="G30" s="143"/>
    </row>
    <row r="31" spans="1:7" ht="15" customHeight="1" x14ac:dyDescent="0.15">
      <c r="A31" s="135"/>
      <c r="B31" s="150"/>
      <c r="C31" s="142"/>
      <c r="D31" s="45" t="s">
        <v>392</v>
      </c>
      <c r="E31" s="45" t="s">
        <v>798</v>
      </c>
      <c r="F31" s="45" t="s">
        <v>801</v>
      </c>
      <c r="G31" s="143"/>
    </row>
    <row r="32" spans="1:7" ht="15" customHeight="1" x14ac:dyDescent="0.15">
      <c r="A32" s="135"/>
      <c r="B32" s="150"/>
      <c r="C32" s="142"/>
      <c r="D32" s="45" t="s">
        <v>397</v>
      </c>
      <c r="E32" s="45" t="s">
        <v>798</v>
      </c>
      <c r="F32" s="45" t="s">
        <v>801</v>
      </c>
      <c r="G32" s="143"/>
    </row>
    <row r="33" spans="1:10" ht="15" customHeight="1" x14ac:dyDescent="0.15">
      <c r="A33" s="135"/>
      <c r="B33" s="150"/>
      <c r="C33" s="156"/>
      <c r="D33" s="45" t="s">
        <v>396</v>
      </c>
      <c r="E33" s="45" t="s">
        <v>799</v>
      </c>
      <c r="F33" s="45" t="s">
        <v>801</v>
      </c>
      <c r="G33" s="158"/>
    </row>
    <row r="34" spans="1:10" ht="15" customHeight="1" x14ac:dyDescent="0.15">
      <c r="A34" s="135"/>
      <c r="B34" s="138" t="s">
        <v>814</v>
      </c>
      <c r="C34" s="129"/>
      <c r="D34" s="129"/>
      <c r="E34" s="129"/>
      <c r="F34" s="129"/>
      <c r="G34" s="107"/>
    </row>
    <row r="35" spans="1:10" ht="15" customHeight="1" x14ac:dyDescent="0.15">
      <c r="A35" s="135"/>
      <c r="B35" s="31" t="s">
        <v>39</v>
      </c>
      <c r="C35" s="31" t="s">
        <v>44</v>
      </c>
      <c r="D35" s="31" t="s">
        <v>18</v>
      </c>
      <c r="E35" s="31" t="s">
        <v>45</v>
      </c>
      <c r="F35" s="31" t="s">
        <v>46</v>
      </c>
      <c r="G35" s="31" t="s">
        <v>47</v>
      </c>
      <c r="H35" s="31" t="s">
        <v>513</v>
      </c>
      <c r="I35" s="31" t="s">
        <v>514</v>
      </c>
      <c r="J35" s="31" t="s">
        <v>515</v>
      </c>
    </row>
    <row r="36" spans="1:10" ht="15" customHeight="1" x14ac:dyDescent="0.15">
      <c r="A36" s="135"/>
      <c r="B36" s="35" t="s">
        <v>803</v>
      </c>
      <c r="C36" s="35" t="s">
        <v>804</v>
      </c>
      <c r="D36" s="35" t="s">
        <v>802</v>
      </c>
      <c r="E36" s="35" t="s">
        <v>806</v>
      </c>
      <c r="F36" s="35" t="s">
        <v>807</v>
      </c>
      <c r="G36" s="35" t="s">
        <v>826</v>
      </c>
      <c r="H36" s="35" t="s">
        <v>141</v>
      </c>
      <c r="I36" s="35" t="s">
        <v>512</v>
      </c>
      <c r="J36" s="35" t="s">
        <v>516</v>
      </c>
    </row>
    <row r="37" spans="1:10" ht="15" customHeight="1" x14ac:dyDescent="0.15">
      <c r="A37" s="134" t="s">
        <v>808</v>
      </c>
      <c r="B37" s="128" t="s">
        <v>23</v>
      </c>
      <c r="C37" s="129"/>
      <c r="D37" s="129"/>
      <c r="E37" s="129"/>
      <c r="F37" s="129"/>
      <c r="G37" s="107"/>
    </row>
    <row r="38" spans="1:10" ht="15" customHeight="1" x14ac:dyDescent="0.15">
      <c r="A38" s="135"/>
      <c r="B38" s="130" t="s">
        <v>24</v>
      </c>
      <c r="C38" s="129"/>
      <c r="D38" s="129"/>
      <c r="E38" s="129"/>
      <c r="F38" s="129"/>
      <c r="G38" s="107"/>
    </row>
    <row r="39" spans="1:10" ht="15" customHeight="1" x14ac:dyDescent="0.15">
      <c r="A39" s="135"/>
      <c r="B39" s="160" t="s">
        <v>25</v>
      </c>
      <c r="C39" s="37" t="s">
        <v>18</v>
      </c>
      <c r="D39" s="37" t="s">
        <v>26</v>
      </c>
      <c r="E39" s="37" t="s">
        <v>27</v>
      </c>
      <c r="F39" s="32" t="s">
        <v>28</v>
      </c>
      <c r="G39" s="32" t="s">
        <v>29</v>
      </c>
    </row>
    <row r="40" spans="1:10" ht="15" customHeight="1" x14ac:dyDescent="0.15">
      <c r="A40" s="135"/>
      <c r="B40" s="150"/>
      <c r="C40" s="134" t="s">
        <v>413</v>
      </c>
      <c r="D40" s="45" t="s">
        <v>364</v>
      </c>
      <c r="E40" s="45"/>
      <c r="F40" s="134" t="s">
        <v>522</v>
      </c>
      <c r="G40" s="134" t="s">
        <v>827</v>
      </c>
    </row>
    <row r="41" spans="1:10" ht="15" customHeight="1" x14ac:dyDescent="0.15">
      <c r="A41" s="135"/>
      <c r="B41" s="150"/>
      <c r="C41" s="134"/>
      <c r="D41" s="45" t="s">
        <v>270</v>
      </c>
      <c r="E41" s="45"/>
      <c r="F41" s="134"/>
      <c r="G41" s="134"/>
    </row>
    <row r="42" spans="1:10" ht="15" customHeight="1" x14ac:dyDescent="0.15">
      <c r="A42" s="135"/>
      <c r="B42" s="150"/>
      <c r="C42" s="134" t="s">
        <v>791</v>
      </c>
      <c r="D42" s="45" t="s">
        <v>809</v>
      </c>
      <c r="E42" s="45"/>
      <c r="F42" s="134" t="s">
        <v>587</v>
      </c>
      <c r="G42" s="134" t="s">
        <v>817</v>
      </c>
    </row>
    <row r="43" spans="1:10" ht="15" customHeight="1" x14ac:dyDescent="0.15">
      <c r="A43" s="135"/>
      <c r="B43" s="150"/>
      <c r="C43" s="134"/>
      <c r="D43" s="45" t="s">
        <v>792</v>
      </c>
      <c r="E43" s="45"/>
      <c r="F43" s="134"/>
      <c r="G43" s="134"/>
    </row>
    <row r="44" spans="1:10" ht="15" customHeight="1" x14ac:dyDescent="0.15">
      <c r="A44" s="135"/>
      <c r="B44" s="150"/>
      <c r="C44" s="134"/>
      <c r="D44" s="45" t="s">
        <v>810</v>
      </c>
      <c r="E44" s="45"/>
      <c r="F44" s="134"/>
      <c r="G44" s="134"/>
    </row>
    <row r="45" spans="1:10" ht="15" customHeight="1" x14ac:dyDescent="0.15">
      <c r="A45" s="135"/>
      <c r="B45" s="150"/>
      <c r="C45" s="134"/>
      <c r="D45" s="45" t="s">
        <v>811</v>
      </c>
      <c r="E45" s="45"/>
      <c r="F45" s="134"/>
      <c r="G45" s="134"/>
    </row>
    <row r="46" spans="1:10" ht="15" customHeight="1" x14ac:dyDescent="0.15">
      <c r="A46" s="135"/>
      <c r="B46" s="150"/>
      <c r="C46" s="134"/>
      <c r="D46" s="45" t="s">
        <v>812</v>
      </c>
      <c r="E46" s="45"/>
      <c r="F46" s="134"/>
      <c r="G46" s="134"/>
    </row>
    <row r="47" spans="1:10" ht="15" customHeight="1" x14ac:dyDescent="0.15">
      <c r="A47" s="135"/>
      <c r="B47" s="150"/>
      <c r="C47" s="134"/>
      <c r="D47" s="45" t="s">
        <v>813</v>
      </c>
      <c r="E47" s="45"/>
      <c r="F47" s="134"/>
      <c r="G47" s="134"/>
    </row>
    <row r="48" spans="1:10" ht="15" customHeight="1" x14ac:dyDescent="0.15">
      <c r="A48" s="135"/>
      <c r="B48" s="130" t="s">
        <v>31</v>
      </c>
      <c r="C48" s="151"/>
      <c r="D48" s="151"/>
      <c r="E48" s="151"/>
      <c r="F48" s="151"/>
      <c r="G48" s="151"/>
    </row>
    <row r="49" spans="1:10" ht="15" customHeight="1" x14ac:dyDescent="0.15">
      <c r="A49" s="135"/>
      <c r="B49" s="160" t="s">
        <v>32</v>
      </c>
      <c r="C49" s="31" t="s">
        <v>18</v>
      </c>
      <c r="D49" s="31" t="s">
        <v>33</v>
      </c>
      <c r="E49" s="31" t="s">
        <v>34</v>
      </c>
      <c r="F49" s="31" t="s">
        <v>35</v>
      </c>
      <c r="G49" s="31" t="s">
        <v>36</v>
      </c>
    </row>
    <row r="50" spans="1:10" ht="15" customHeight="1" x14ac:dyDescent="0.15">
      <c r="A50" s="135"/>
      <c r="B50" s="150"/>
      <c r="C50" s="155" t="s">
        <v>800</v>
      </c>
      <c r="D50" s="45" t="s">
        <v>364</v>
      </c>
      <c r="E50" s="45" t="s">
        <v>817</v>
      </c>
      <c r="F50" s="45" t="s">
        <v>801</v>
      </c>
      <c r="G50" s="157" t="s">
        <v>816</v>
      </c>
    </row>
    <row r="51" spans="1:10" ht="15" customHeight="1" x14ac:dyDescent="0.15">
      <c r="A51" s="135"/>
      <c r="B51" s="150"/>
      <c r="C51" s="142"/>
      <c r="D51" s="45" t="s">
        <v>270</v>
      </c>
      <c r="E51" s="45" t="s">
        <v>817</v>
      </c>
      <c r="F51" s="45" t="s">
        <v>801</v>
      </c>
      <c r="G51" s="143"/>
    </row>
    <row r="52" spans="1:10" ht="15" customHeight="1" x14ac:dyDescent="0.15">
      <c r="A52" s="135"/>
      <c r="B52" s="138" t="s">
        <v>814</v>
      </c>
      <c r="C52" s="129"/>
      <c r="D52" s="129"/>
      <c r="E52" s="129"/>
      <c r="F52" s="129"/>
      <c r="G52" s="107"/>
    </row>
    <row r="53" spans="1:10" ht="15" customHeight="1" x14ac:dyDescent="0.15">
      <c r="A53" s="135"/>
      <c r="B53" s="31" t="s">
        <v>39</v>
      </c>
      <c r="C53" s="31" t="s">
        <v>44</v>
      </c>
      <c r="D53" s="31" t="s">
        <v>18</v>
      </c>
      <c r="E53" s="31" t="s">
        <v>45</v>
      </c>
      <c r="F53" s="31" t="s">
        <v>46</v>
      </c>
      <c r="G53" s="31" t="s">
        <v>47</v>
      </c>
      <c r="H53" s="31" t="s">
        <v>513</v>
      </c>
      <c r="I53" s="31" t="s">
        <v>514</v>
      </c>
      <c r="J53" s="31" t="s">
        <v>515</v>
      </c>
    </row>
    <row r="54" spans="1:10" ht="81" x14ac:dyDescent="0.15">
      <c r="A54" s="135"/>
      <c r="B54" s="35" t="s">
        <v>828</v>
      </c>
      <c r="C54" s="35" t="s">
        <v>804</v>
      </c>
      <c r="D54" s="35" t="s">
        <v>816</v>
      </c>
      <c r="E54" s="35" t="s">
        <v>806</v>
      </c>
      <c r="F54" s="35" t="s">
        <v>807</v>
      </c>
      <c r="G54" s="35" t="s">
        <v>826</v>
      </c>
      <c r="H54" s="35" t="s">
        <v>141</v>
      </c>
      <c r="I54" s="35" t="s">
        <v>512</v>
      </c>
      <c r="J54" s="35" t="s">
        <v>516</v>
      </c>
    </row>
    <row r="55" spans="1:10" x14ac:dyDescent="0.15">
      <c r="A55" s="134" t="s">
        <v>819</v>
      </c>
      <c r="B55" s="128" t="s">
        <v>23</v>
      </c>
      <c r="C55" s="129"/>
      <c r="D55" s="129"/>
      <c r="E55" s="129"/>
      <c r="F55" s="129"/>
      <c r="G55" s="107"/>
    </row>
    <row r="56" spans="1:10" x14ac:dyDescent="0.15">
      <c r="A56" s="135"/>
      <c r="B56" s="130" t="s">
        <v>24</v>
      </c>
      <c r="C56" s="129"/>
      <c r="D56" s="129"/>
      <c r="E56" s="129"/>
      <c r="F56" s="129"/>
      <c r="G56" s="107"/>
    </row>
    <row r="57" spans="1:10" x14ac:dyDescent="0.15">
      <c r="A57" s="135"/>
      <c r="B57" s="160" t="s">
        <v>25</v>
      </c>
      <c r="C57" s="37" t="s">
        <v>18</v>
      </c>
      <c r="D57" s="37" t="s">
        <v>26</v>
      </c>
      <c r="E57" s="37" t="s">
        <v>27</v>
      </c>
      <c r="F57" s="32" t="s">
        <v>28</v>
      </c>
      <c r="G57" s="32" t="s">
        <v>29</v>
      </c>
    </row>
    <row r="58" spans="1:10" ht="13.5" customHeight="1" x14ac:dyDescent="0.15">
      <c r="A58" s="135"/>
      <c r="B58" s="150"/>
      <c r="C58" s="155" t="s">
        <v>413</v>
      </c>
      <c r="D58" s="45" t="s">
        <v>405</v>
      </c>
      <c r="E58" s="45"/>
      <c r="F58" s="155" t="s">
        <v>522</v>
      </c>
      <c r="G58" s="155" t="s">
        <v>822</v>
      </c>
    </row>
    <row r="59" spans="1:10" x14ac:dyDescent="0.15">
      <c r="A59" s="135"/>
      <c r="B59" s="150"/>
      <c r="C59" s="142"/>
      <c r="D59" s="45" t="s">
        <v>409</v>
      </c>
      <c r="E59" s="45"/>
      <c r="F59" s="142"/>
      <c r="G59" s="142"/>
    </row>
    <row r="60" spans="1:10" x14ac:dyDescent="0.15">
      <c r="A60" s="135"/>
      <c r="B60" s="150"/>
      <c r="C60" s="142"/>
      <c r="D60" s="45" t="s">
        <v>412</v>
      </c>
      <c r="E60" s="45"/>
      <c r="F60" s="142" t="s">
        <v>522</v>
      </c>
      <c r="G60" s="142" t="s">
        <v>815</v>
      </c>
    </row>
    <row r="61" spans="1:10" x14ac:dyDescent="0.15">
      <c r="A61" s="135"/>
      <c r="B61" s="150"/>
      <c r="C61" s="142"/>
      <c r="D61" s="45" t="s">
        <v>449</v>
      </c>
      <c r="E61" s="45"/>
      <c r="F61" s="142"/>
      <c r="G61" s="142"/>
    </row>
    <row r="62" spans="1:10" x14ac:dyDescent="0.15">
      <c r="A62" s="135"/>
      <c r="B62" s="150"/>
      <c r="C62" s="156"/>
      <c r="D62" s="45" t="s">
        <v>821</v>
      </c>
      <c r="E62" s="45"/>
      <c r="F62" s="156"/>
      <c r="G62" s="156"/>
    </row>
    <row r="63" spans="1:10" x14ac:dyDescent="0.15">
      <c r="A63" s="135"/>
      <c r="B63" s="130" t="s">
        <v>31</v>
      </c>
      <c r="C63" s="151"/>
      <c r="D63" s="151"/>
      <c r="E63" s="151"/>
      <c r="F63" s="151"/>
      <c r="G63" s="151"/>
    </row>
    <row r="64" spans="1:10" x14ac:dyDescent="0.15">
      <c r="A64" s="135"/>
      <c r="B64" s="160" t="s">
        <v>32</v>
      </c>
      <c r="C64" s="31" t="s">
        <v>18</v>
      </c>
      <c r="D64" s="31" t="s">
        <v>33</v>
      </c>
      <c r="E64" s="31" t="s">
        <v>34</v>
      </c>
      <c r="F64" s="31" t="s">
        <v>35</v>
      </c>
      <c r="G64" s="31" t="s">
        <v>36</v>
      </c>
    </row>
    <row r="65" spans="1:10" x14ac:dyDescent="0.15">
      <c r="A65" s="135"/>
      <c r="B65" s="150"/>
      <c r="C65" s="69" t="s">
        <v>413</v>
      </c>
      <c r="D65" s="45" t="s">
        <v>646</v>
      </c>
      <c r="E65" s="45" t="s">
        <v>646</v>
      </c>
      <c r="F65" s="45" t="s">
        <v>801</v>
      </c>
      <c r="G65" s="70" t="s">
        <v>822</v>
      </c>
    </row>
    <row r="66" spans="1:10" x14ac:dyDescent="0.15">
      <c r="A66" s="135"/>
      <c r="B66" s="138" t="s">
        <v>814</v>
      </c>
      <c r="C66" s="129"/>
      <c r="D66" s="129"/>
      <c r="E66" s="129"/>
      <c r="F66" s="129"/>
      <c r="G66" s="107"/>
    </row>
    <row r="67" spans="1:10" x14ac:dyDescent="0.15">
      <c r="A67" s="135"/>
      <c r="B67" s="31" t="s">
        <v>39</v>
      </c>
      <c r="C67" s="31" t="s">
        <v>44</v>
      </c>
      <c r="D67" s="31" t="s">
        <v>18</v>
      </c>
      <c r="E67" s="31" t="s">
        <v>45</v>
      </c>
      <c r="F67" s="31" t="s">
        <v>46</v>
      </c>
      <c r="G67" s="31" t="s">
        <v>47</v>
      </c>
      <c r="H67" s="31" t="s">
        <v>513</v>
      </c>
      <c r="I67" s="31" t="s">
        <v>514</v>
      </c>
      <c r="J67" s="31" t="s">
        <v>515</v>
      </c>
    </row>
    <row r="68" spans="1:10" ht="67.5" x14ac:dyDescent="0.15">
      <c r="A68" s="135"/>
      <c r="B68" s="35" t="s">
        <v>823</v>
      </c>
      <c r="C68" s="35" t="s">
        <v>804</v>
      </c>
      <c r="D68" s="35" t="s">
        <v>822</v>
      </c>
      <c r="E68" s="35" t="s">
        <v>805</v>
      </c>
      <c r="F68" s="35" t="s">
        <v>824</v>
      </c>
      <c r="G68" s="35" t="s">
        <v>825</v>
      </c>
      <c r="H68" s="35" t="s">
        <v>141</v>
      </c>
      <c r="I68" s="35" t="s">
        <v>512</v>
      </c>
      <c r="J68" s="35" t="s">
        <v>516</v>
      </c>
    </row>
  </sheetData>
  <mergeCells count="48">
    <mergeCell ref="A8:A36"/>
    <mergeCell ref="B8:G8"/>
    <mergeCell ref="B9:G9"/>
    <mergeCell ref="B10:B23"/>
    <mergeCell ref="C11:C18"/>
    <mergeCell ref="F11:F18"/>
    <mergeCell ref="G11:G18"/>
    <mergeCell ref="C19:C23"/>
    <mergeCell ref="F19:F23"/>
    <mergeCell ref="G19:G23"/>
    <mergeCell ref="G26:G33"/>
    <mergeCell ref="B34:G34"/>
    <mergeCell ref="G58:G62"/>
    <mergeCell ref="B24:G24"/>
    <mergeCell ref="B25:B33"/>
    <mergeCell ref="C26:C33"/>
    <mergeCell ref="B64:B65"/>
    <mergeCell ref="C42:C47"/>
    <mergeCell ref="F42:F47"/>
    <mergeCell ref="G42:G47"/>
    <mergeCell ref="B39:B47"/>
    <mergeCell ref="C50:C51"/>
    <mergeCell ref="G50:G51"/>
    <mergeCell ref="B63:G63"/>
    <mergeCell ref="A55:A68"/>
    <mergeCell ref="B55:G55"/>
    <mergeCell ref="B56:G56"/>
    <mergeCell ref="B57:B62"/>
    <mergeCell ref="C40:C41"/>
    <mergeCell ref="F40:F41"/>
    <mergeCell ref="G40:G41"/>
    <mergeCell ref="B52:G52"/>
    <mergeCell ref="B48:G48"/>
    <mergeCell ref="B49:B51"/>
    <mergeCell ref="A37:A54"/>
    <mergeCell ref="B37:G37"/>
    <mergeCell ref="B38:G38"/>
    <mergeCell ref="B66:G66"/>
    <mergeCell ref="C58:C62"/>
    <mergeCell ref="F58:F62"/>
    <mergeCell ref="A1:A7"/>
    <mergeCell ref="F1:G1"/>
    <mergeCell ref="F2:G2"/>
    <mergeCell ref="F3:G3"/>
    <mergeCell ref="F4:G4"/>
    <mergeCell ref="F6:G6"/>
    <mergeCell ref="F7:G7"/>
    <mergeCell ref="F5:G5"/>
  </mergeCells>
  <phoneticPr fontId="1" type="noConversion"/>
  <dataValidations count="1">
    <dataValidation type="list" allowBlank="1" showInputMessage="1" showErrorMessage="1" sqref="C2:C7" xr:uid="{CE107B97-0B7C-42C3-B583-CB815B68BF62}">
      <formula1>"流程图,状态机,等价类划分&amp;数据组合,直接分析"</formula1>
    </dataValidation>
  </dataValidation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27DA4E-8C9C-4D2A-8813-BC13370E72B2}">
  <dimension ref="A1:G7"/>
  <sheetViews>
    <sheetView workbookViewId="0">
      <selection activeCell="C19" sqref="C19"/>
    </sheetView>
  </sheetViews>
  <sheetFormatPr defaultColWidth="9" defaultRowHeight="13.5" x14ac:dyDescent="0.15"/>
  <cols>
    <col min="1" max="1" width="15" customWidth="1"/>
    <col min="2" max="2" width="32.125" customWidth="1"/>
    <col min="3" max="3" width="14.125" customWidth="1"/>
    <col min="4" max="4" width="29.625" customWidth="1"/>
    <col min="5" max="5" width="24.625" customWidth="1"/>
    <col min="6" max="6" width="61.875" customWidth="1"/>
    <col min="7" max="7" width="82.5" customWidth="1"/>
  </cols>
  <sheetData>
    <row r="1" spans="1:7" ht="15" customHeight="1" x14ac:dyDescent="0.15">
      <c r="A1" s="131" t="s">
        <v>22</v>
      </c>
      <c r="B1" s="47" t="s">
        <v>14</v>
      </c>
      <c r="C1" s="47" t="s">
        <v>15</v>
      </c>
      <c r="D1" s="47" t="s">
        <v>16</v>
      </c>
      <c r="E1" s="47" t="s">
        <v>17</v>
      </c>
      <c r="F1" s="127" t="s">
        <v>18</v>
      </c>
      <c r="G1" s="103"/>
    </row>
    <row r="2" spans="1:7" ht="15" customHeight="1" x14ac:dyDescent="0.15">
      <c r="A2" s="132"/>
      <c r="B2" s="39" t="s">
        <v>234</v>
      </c>
      <c r="C2" s="39" t="s">
        <v>20</v>
      </c>
      <c r="D2" s="39"/>
      <c r="E2" s="52">
        <v>3</v>
      </c>
      <c r="F2" s="105" t="s">
        <v>235</v>
      </c>
      <c r="G2" s="105"/>
    </row>
    <row r="3" spans="1:7" ht="15" customHeight="1" x14ac:dyDescent="0.15">
      <c r="A3" s="132"/>
      <c r="B3" s="39" t="s">
        <v>236</v>
      </c>
      <c r="C3" s="39" t="s">
        <v>20</v>
      </c>
      <c r="D3" s="39"/>
      <c r="E3" s="52">
        <v>4</v>
      </c>
      <c r="F3" s="105" t="s">
        <v>832</v>
      </c>
      <c r="G3" s="105"/>
    </row>
    <row r="4" spans="1:7" ht="15" customHeight="1" x14ac:dyDescent="0.15">
      <c r="A4" s="132"/>
      <c r="B4" s="39" t="s">
        <v>834</v>
      </c>
      <c r="C4" s="39" t="s">
        <v>20</v>
      </c>
      <c r="D4" s="39"/>
      <c r="E4" s="52">
        <v>12</v>
      </c>
      <c r="F4" s="105" t="s">
        <v>833</v>
      </c>
      <c r="G4" s="105"/>
    </row>
    <row r="5" spans="1:7" ht="15" customHeight="1" x14ac:dyDescent="0.15">
      <c r="A5" s="132"/>
      <c r="B5" s="39" t="s">
        <v>562</v>
      </c>
      <c r="C5" s="39" t="s">
        <v>19</v>
      </c>
      <c r="D5" s="39"/>
      <c r="E5" s="52">
        <v>20</v>
      </c>
      <c r="F5" s="105" t="s">
        <v>240</v>
      </c>
      <c r="G5" s="105"/>
    </row>
    <row r="6" spans="1:7" ht="15" customHeight="1" x14ac:dyDescent="0.15">
      <c r="A6" s="132"/>
      <c r="B6" s="39" t="s">
        <v>241</v>
      </c>
      <c r="C6" s="39" t="s">
        <v>19</v>
      </c>
      <c r="D6" s="39"/>
      <c r="E6" s="52">
        <v>20</v>
      </c>
      <c r="F6" s="105" t="s">
        <v>240</v>
      </c>
      <c r="G6" s="105"/>
    </row>
    <row r="7" spans="1:7" x14ac:dyDescent="0.15">
      <c r="B7" s="90" t="s">
        <v>850</v>
      </c>
    </row>
  </sheetData>
  <mergeCells count="7">
    <mergeCell ref="A1:A6"/>
    <mergeCell ref="F1:G1"/>
    <mergeCell ref="F2:G2"/>
    <mergeCell ref="F3:G3"/>
    <mergeCell ref="F4:G4"/>
    <mergeCell ref="F5:G5"/>
    <mergeCell ref="F6:G6"/>
  </mergeCells>
  <phoneticPr fontId="1" type="noConversion"/>
  <dataValidations count="1">
    <dataValidation type="list" allowBlank="1" showInputMessage="1" showErrorMessage="1" sqref="C2:C6" xr:uid="{E80169B8-182D-42DC-ACD8-51B4008C2C7D}">
      <formula1>"流程图,状态机,等价类划分&amp;数据组合,直接分析"</formula1>
    </dataValidation>
  </dataValidation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2A8E19-CF35-4F6C-B881-CF3493D8BDDD}">
  <dimension ref="A1:G37"/>
  <sheetViews>
    <sheetView topLeftCell="A13" workbookViewId="0">
      <selection activeCell="F36" sqref="F36"/>
    </sheetView>
  </sheetViews>
  <sheetFormatPr defaultColWidth="9" defaultRowHeight="13.5" x14ac:dyDescent="0.15"/>
  <cols>
    <col min="1" max="1" width="15" customWidth="1"/>
    <col min="2" max="2" width="32.125" customWidth="1"/>
    <col min="3" max="3" width="23.5" bestFit="1" customWidth="1"/>
    <col min="4" max="4" width="37.75" customWidth="1"/>
    <col min="5" max="5" width="43.25" customWidth="1"/>
    <col min="6" max="6" width="61.875" customWidth="1"/>
    <col min="7" max="7" width="82.5" customWidth="1"/>
  </cols>
  <sheetData>
    <row r="1" spans="1:7" x14ac:dyDescent="0.15">
      <c r="A1" s="131" t="s">
        <v>22</v>
      </c>
      <c r="B1" s="47" t="s">
        <v>14</v>
      </c>
      <c r="C1" s="47" t="s">
        <v>15</v>
      </c>
      <c r="D1" s="47" t="s">
        <v>16</v>
      </c>
      <c r="E1" s="47" t="s">
        <v>17</v>
      </c>
      <c r="F1" s="127" t="s">
        <v>18</v>
      </c>
      <c r="G1" s="103"/>
    </row>
    <row r="2" spans="1:7" ht="14.45" customHeight="1" x14ac:dyDescent="0.15">
      <c r="A2" s="132"/>
      <c r="B2" s="39" t="s">
        <v>271</v>
      </c>
      <c r="C2" s="39" t="s">
        <v>20</v>
      </c>
      <c r="D2" s="39"/>
      <c r="E2" s="52">
        <v>2</v>
      </c>
      <c r="F2" s="105" t="s">
        <v>272</v>
      </c>
      <c r="G2" s="105"/>
    </row>
    <row r="3" spans="1:7" ht="14.45" customHeight="1" x14ac:dyDescent="0.15">
      <c r="A3" s="132"/>
      <c r="B3" s="55" t="s">
        <v>287</v>
      </c>
      <c r="C3" s="55" t="s">
        <v>20</v>
      </c>
      <c r="D3" s="55"/>
      <c r="E3" s="52">
        <v>10</v>
      </c>
      <c r="F3" s="105"/>
      <c r="G3" s="105"/>
    </row>
    <row r="4" spans="1:7" ht="14.45" customHeight="1" x14ac:dyDescent="0.15">
      <c r="A4" s="132"/>
      <c r="B4" s="39" t="s">
        <v>289</v>
      </c>
      <c r="C4" s="39" t="s">
        <v>20</v>
      </c>
      <c r="D4" s="39"/>
      <c r="E4" s="52">
        <v>6</v>
      </c>
      <c r="F4" s="105" t="s">
        <v>273</v>
      </c>
      <c r="G4" s="105"/>
    </row>
    <row r="5" spans="1:7" ht="14.45" customHeight="1" x14ac:dyDescent="0.15">
      <c r="A5" s="133"/>
      <c r="B5" s="39" t="s">
        <v>320</v>
      </c>
      <c r="C5" s="39" t="s">
        <v>20</v>
      </c>
      <c r="D5" s="39"/>
      <c r="E5" s="52">
        <v>3</v>
      </c>
      <c r="F5" s="105"/>
      <c r="G5" s="105"/>
    </row>
    <row r="6" spans="1:7" x14ac:dyDescent="0.15">
      <c r="A6" s="134" t="s">
        <v>271</v>
      </c>
      <c r="B6" s="128" t="s">
        <v>48</v>
      </c>
      <c r="C6" s="129"/>
      <c r="D6" s="129"/>
      <c r="E6" s="129"/>
      <c r="F6" s="129"/>
      <c r="G6" s="107"/>
    </row>
    <row r="7" spans="1:7" x14ac:dyDescent="0.15">
      <c r="A7" s="135"/>
      <c r="B7" s="130" t="s">
        <v>49</v>
      </c>
      <c r="C7" s="129"/>
      <c r="D7" s="129"/>
      <c r="E7" s="129"/>
      <c r="F7" s="129"/>
      <c r="G7" s="107"/>
    </row>
    <row r="8" spans="1:7" x14ac:dyDescent="0.15">
      <c r="A8" s="135"/>
      <c r="B8" s="43" t="s">
        <v>39</v>
      </c>
      <c r="C8" s="130" t="s">
        <v>40</v>
      </c>
      <c r="D8" s="129"/>
      <c r="E8" s="107"/>
      <c r="F8" s="32" t="s">
        <v>41</v>
      </c>
      <c r="G8" s="32" t="s">
        <v>42</v>
      </c>
    </row>
    <row r="9" spans="1:7" x14ac:dyDescent="0.15">
      <c r="A9" s="135"/>
      <c r="B9" s="33" t="s">
        <v>275</v>
      </c>
      <c r="C9" s="137" t="s">
        <v>279</v>
      </c>
      <c r="D9" s="129"/>
      <c r="E9" s="107"/>
      <c r="F9" s="39" t="s">
        <v>281</v>
      </c>
      <c r="G9" s="39" t="s">
        <v>281</v>
      </c>
    </row>
    <row r="10" spans="1:7" x14ac:dyDescent="0.15">
      <c r="A10" s="135"/>
      <c r="B10" s="33" t="s">
        <v>277</v>
      </c>
      <c r="C10" s="137" t="s">
        <v>278</v>
      </c>
      <c r="D10" s="129"/>
      <c r="E10" s="107"/>
      <c r="F10" s="39" t="s">
        <v>283</v>
      </c>
      <c r="G10" s="39" t="s">
        <v>283</v>
      </c>
    </row>
    <row r="11" spans="1:7" x14ac:dyDescent="0.15">
      <c r="A11" s="135"/>
      <c r="B11" s="138" t="s">
        <v>50</v>
      </c>
      <c r="C11" s="129"/>
      <c r="D11" s="129"/>
      <c r="E11" s="129"/>
      <c r="F11" s="129"/>
      <c r="G11" s="107"/>
    </row>
    <row r="12" spans="1:7" x14ac:dyDescent="0.15">
      <c r="A12" s="135"/>
      <c r="B12" s="31" t="s">
        <v>39</v>
      </c>
      <c r="C12" s="31" t="s">
        <v>44</v>
      </c>
      <c r="D12" s="31" t="s">
        <v>18</v>
      </c>
      <c r="E12" s="31" t="s">
        <v>45</v>
      </c>
      <c r="F12" s="31" t="s">
        <v>46</v>
      </c>
      <c r="G12" s="31" t="s">
        <v>47</v>
      </c>
    </row>
    <row r="13" spans="1:7" ht="135" x14ac:dyDescent="0.15">
      <c r="A13" s="135"/>
      <c r="B13" s="35" t="s">
        <v>274</v>
      </c>
      <c r="C13" s="35" t="s">
        <v>279</v>
      </c>
      <c r="D13" s="35" t="s">
        <v>280</v>
      </c>
      <c r="E13" s="35" t="s">
        <v>284</v>
      </c>
      <c r="F13" s="35" t="s">
        <v>288</v>
      </c>
      <c r="G13" s="35" t="s">
        <v>697</v>
      </c>
    </row>
    <row r="14" spans="1:7" ht="67.5" x14ac:dyDescent="0.15">
      <c r="A14" s="136"/>
      <c r="B14" s="35" t="s">
        <v>276</v>
      </c>
      <c r="C14" s="35" t="s">
        <v>278</v>
      </c>
      <c r="D14" s="35" t="s">
        <v>282</v>
      </c>
      <c r="E14" s="35" t="s">
        <v>285</v>
      </c>
      <c r="F14" s="35" t="s">
        <v>286</v>
      </c>
      <c r="G14" s="35" t="s">
        <v>698</v>
      </c>
    </row>
    <row r="15" spans="1:7" ht="13.5" customHeight="1" x14ac:dyDescent="0.15">
      <c r="A15" s="134" t="s">
        <v>289</v>
      </c>
      <c r="B15" s="128" t="s">
        <v>48</v>
      </c>
      <c r="C15" s="129"/>
      <c r="D15" s="129"/>
      <c r="E15" s="129"/>
      <c r="F15" s="129"/>
      <c r="G15" s="107"/>
    </row>
    <row r="16" spans="1:7" x14ac:dyDescent="0.15">
      <c r="A16" s="135"/>
      <c r="B16" s="130" t="s">
        <v>49</v>
      </c>
      <c r="C16" s="129"/>
      <c r="D16" s="129"/>
      <c r="E16" s="129"/>
      <c r="F16" s="129"/>
      <c r="G16" s="107"/>
    </row>
    <row r="17" spans="1:7" x14ac:dyDescent="0.15">
      <c r="A17" s="135"/>
      <c r="B17" s="43" t="s">
        <v>39</v>
      </c>
      <c r="C17" s="130" t="s">
        <v>40</v>
      </c>
      <c r="D17" s="129"/>
      <c r="E17" s="107"/>
      <c r="F17" s="32" t="s">
        <v>41</v>
      </c>
      <c r="G17" s="32" t="s">
        <v>42</v>
      </c>
    </row>
    <row r="18" spans="1:7" ht="40.5" x14ac:dyDescent="0.15">
      <c r="A18" s="135"/>
      <c r="B18" s="33" t="s">
        <v>292</v>
      </c>
      <c r="C18" s="137" t="s">
        <v>290</v>
      </c>
      <c r="D18" s="129"/>
      <c r="E18" s="107"/>
      <c r="F18" s="34" t="s">
        <v>291</v>
      </c>
      <c r="G18" s="34" t="s">
        <v>291</v>
      </c>
    </row>
    <row r="19" spans="1:7" x14ac:dyDescent="0.15">
      <c r="A19" s="135"/>
      <c r="B19" s="138" t="s">
        <v>50</v>
      </c>
      <c r="C19" s="129"/>
      <c r="D19" s="129"/>
      <c r="E19" s="129"/>
      <c r="F19" s="129"/>
      <c r="G19" s="107"/>
    </row>
    <row r="20" spans="1:7" x14ac:dyDescent="0.15">
      <c r="A20" s="135"/>
      <c r="B20" s="31" t="s">
        <v>39</v>
      </c>
      <c r="C20" s="31" t="s">
        <v>44</v>
      </c>
      <c r="D20" s="31" t="s">
        <v>18</v>
      </c>
      <c r="E20" s="31" t="s">
        <v>45</v>
      </c>
      <c r="F20" s="31" t="s">
        <v>46</v>
      </c>
      <c r="G20" s="31" t="s">
        <v>47</v>
      </c>
    </row>
    <row r="21" spans="1:7" ht="108" x14ac:dyDescent="0.15">
      <c r="A21" s="135"/>
      <c r="B21" s="35" t="s">
        <v>293</v>
      </c>
      <c r="C21" s="35" t="s">
        <v>290</v>
      </c>
      <c r="D21" s="35" t="s">
        <v>294</v>
      </c>
      <c r="E21" s="35" t="s">
        <v>130</v>
      </c>
      <c r="F21" s="35" t="s">
        <v>296</v>
      </c>
      <c r="G21" s="35" t="s">
        <v>699</v>
      </c>
    </row>
    <row r="22" spans="1:7" ht="121.5" x14ac:dyDescent="0.15">
      <c r="A22" s="136"/>
      <c r="B22" s="35" t="s">
        <v>295</v>
      </c>
      <c r="C22" s="35" t="s">
        <v>290</v>
      </c>
      <c r="D22" s="35" t="s">
        <v>297</v>
      </c>
      <c r="E22" s="35" t="s">
        <v>130</v>
      </c>
      <c r="F22" s="35" t="s">
        <v>298</v>
      </c>
      <c r="G22" s="35" t="s">
        <v>700</v>
      </c>
    </row>
    <row r="23" spans="1:7" x14ac:dyDescent="0.15">
      <c r="A23" s="134" t="s">
        <v>314</v>
      </c>
      <c r="B23" s="128" t="s">
        <v>48</v>
      </c>
      <c r="C23" s="129"/>
      <c r="D23" s="129"/>
      <c r="E23" s="129"/>
      <c r="F23" s="129"/>
      <c r="G23" s="107"/>
    </row>
    <row r="24" spans="1:7" x14ac:dyDescent="0.15">
      <c r="A24" s="135"/>
      <c r="B24" s="130" t="s">
        <v>49</v>
      </c>
      <c r="C24" s="129"/>
      <c r="D24" s="129"/>
      <c r="E24" s="129"/>
      <c r="F24" s="129"/>
      <c r="G24" s="107"/>
    </row>
    <row r="25" spans="1:7" x14ac:dyDescent="0.15">
      <c r="A25" s="135"/>
      <c r="B25" s="43" t="s">
        <v>39</v>
      </c>
      <c r="C25" s="130" t="s">
        <v>40</v>
      </c>
      <c r="D25" s="129"/>
      <c r="E25" s="107"/>
      <c r="F25" s="32" t="s">
        <v>41</v>
      </c>
      <c r="G25" s="32" t="s">
        <v>42</v>
      </c>
    </row>
    <row r="26" spans="1:7" x14ac:dyDescent="0.15">
      <c r="A26" s="135"/>
      <c r="B26" s="33" t="s">
        <v>315</v>
      </c>
      <c r="C26" s="137" t="s">
        <v>318</v>
      </c>
      <c r="D26" s="129"/>
      <c r="E26" s="107"/>
      <c r="F26" s="34" t="s">
        <v>316</v>
      </c>
      <c r="G26" s="34" t="s">
        <v>316</v>
      </c>
    </row>
    <row r="27" spans="1:7" x14ac:dyDescent="0.15">
      <c r="A27" s="135"/>
      <c r="B27" s="138" t="s">
        <v>50</v>
      </c>
      <c r="C27" s="129"/>
      <c r="D27" s="129"/>
      <c r="E27" s="129"/>
      <c r="F27" s="129"/>
      <c r="G27" s="107"/>
    </row>
    <row r="28" spans="1:7" x14ac:dyDescent="0.15">
      <c r="A28" s="135"/>
      <c r="B28" s="31" t="s">
        <v>39</v>
      </c>
      <c r="C28" s="31" t="s">
        <v>44</v>
      </c>
      <c r="D28" s="31" t="s">
        <v>18</v>
      </c>
      <c r="E28" s="31" t="s">
        <v>45</v>
      </c>
      <c r="F28" s="31" t="s">
        <v>46</v>
      </c>
      <c r="G28" s="31" t="s">
        <v>47</v>
      </c>
    </row>
    <row r="29" spans="1:7" ht="81" x14ac:dyDescent="0.15">
      <c r="A29" s="135"/>
      <c r="B29" s="35" t="s">
        <v>315</v>
      </c>
      <c r="C29" s="35" t="s">
        <v>318</v>
      </c>
      <c r="D29" s="35" t="s">
        <v>316</v>
      </c>
      <c r="E29" s="35" t="s">
        <v>130</v>
      </c>
      <c r="F29" s="35" t="s">
        <v>319</v>
      </c>
      <c r="G29" s="35" t="s">
        <v>701</v>
      </c>
    </row>
    <row r="30" spans="1:7" x14ac:dyDescent="0.15">
      <c r="A30" s="134" t="s">
        <v>320</v>
      </c>
      <c r="B30" s="128" t="s">
        <v>48</v>
      </c>
      <c r="C30" s="129"/>
      <c r="D30" s="129"/>
      <c r="E30" s="129"/>
      <c r="F30" s="129"/>
      <c r="G30" s="107"/>
    </row>
    <row r="31" spans="1:7" x14ac:dyDescent="0.15">
      <c r="A31" s="135"/>
      <c r="B31" s="130" t="s">
        <v>49</v>
      </c>
      <c r="C31" s="129"/>
      <c r="D31" s="129"/>
      <c r="E31" s="129"/>
      <c r="F31" s="129"/>
      <c r="G31" s="107"/>
    </row>
    <row r="32" spans="1:7" x14ac:dyDescent="0.15">
      <c r="A32" s="135"/>
      <c r="B32" s="43" t="s">
        <v>39</v>
      </c>
      <c r="C32" s="130" t="s">
        <v>40</v>
      </c>
      <c r="D32" s="129"/>
      <c r="E32" s="107"/>
      <c r="F32" s="32" t="s">
        <v>41</v>
      </c>
      <c r="G32" s="32" t="s">
        <v>42</v>
      </c>
    </row>
    <row r="33" spans="1:7" x14ac:dyDescent="0.15">
      <c r="A33" s="135"/>
      <c r="B33" s="33" t="s">
        <v>321</v>
      </c>
      <c r="C33" s="137" t="s">
        <v>324</v>
      </c>
      <c r="D33" s="129"/>
      <c r="E33" s="107"/>
      <c r="F33" s="34" t="s">
        <v>325</v>
      </c>
      <c r="G33" s="34" t="s">
        <v>325</v>
      </c>
    </row>
    <row r="34" spans="1:7" x14ac:dyDescent="0.15">
      <c r="A34" s="135"/>
      <c r="B34" s="138" t="s">
        <v>50</v>
      </c>
      <c r="C34" s="129"/>
      <c r="D34" s="129"/>
      <c r="E34" s="129"/>
      <c r="F34" s="129"/>
      <c r="G34" s="107"/>
    </row>
    <row r="35" spans="1:7" x14ac:dyDescent="0.15">
      <c r="A35" s="135"/>
      <c r="B35" s="31" t="s">
        <v>39</v>
      </c>
      <c r="C35" s="31" t="s">
        <v>44</v>
      </c>
      <c r="D35" s="31" t="s">
        <v>18</v>
      </c>
      <c r="E35" s="31" t="s">
        <v>45</v>
      </c>
      <c r="F35" s="31" t="s">
        <v>46</v>
      </c>
      <c r="G35" s="31" t="s">
        <v>47</v>
      </c>
    </row>
    <row r="36" spans="1:7" ht="67.5" x14ac:dyDescent="0.15">
      <c r="A36" s="135"/>
      <c r="B36" s="35" t="s">
        <v>328</v>
      </c>
      <c r="C36" s="35" t="s">
        <v>329</v>
      </c>
      <c r="D36" s="35" t="s">
        <v>325</v>
      </c>
      <c r="E36" s="35" t="s">
        <v>130</v>
      </c>
      <c r="F36" s="35" t="s">
        <v>332</v>
      </c>
      <c r="G36" s="35" t="s">
        <v>331</v>
      </c>
    </row>
    <row r="37" spans="1:7" ht="81" x14ac:dyDescent="0.15">
      <c r="A37" s="135"/>
      <c r="B37" s="35" t="s">
        <v>321</v>
      </c>
      <c r="C37" s="35" t="s">
        <v>324</v>
      </c>
      <c r="D37" s="35" t="s">
        <v>325</v>
      </c>
      <c r="E37" s="35" t="s">
        <v>326</v>
      </c>
      <c r="F37" s="35" t="s">
        <v>327</v>
      </c>
      <c r="G37" s="35" t="s">
        <v>330</v>
      </c>
    </row>
  </sheetData>
  <mergeCells count="31">
    <mergeCell ref="A30:A37"/>
    <mergeCell ref="B30:G30"/>
    <mergeCell ref="B31:G31"/>
    <mergeCell ref="C32:E32"/>
    <mergeCell ref="C33:E33"/>
    <mergeCell ref="B34:G34"/>
    <mergeCell ref="A23:A29"/>
    <mergeCell ref="B23:G23"/>
    <mergeCell ref="B24:G24"/>
    <mergeCell ref="C25:E25"/>
    <mergeCell ref="C26:E26"/>
    <mergeCell ref="B27:G27"/>
    <mergeCell ref="A15:A22"/>
    <mergeCell ref="B15:G15"/>
    <mergeCell ref="B16:G16"/>
    <mergeCell ref="C17:E17"/>
    <mergeCell ref="C18:E18"/>
    <mergeCell ref="B19:G19"/>
    <mergeCell ref="B11:G11"/>
    <mergeCell ref="C10:E10"/>
    <mergeCell ref="F3:G3"/>
    <mergeCell ref="F4:G4"/>
    <mergeCell ref="A6:A14"/>
    <mergeCell ref="B6:G6"/>
    <mergeCell ref="B7:G7"/>
    <mergeCell ref="C8:E8"/>
    <mergeCell ref="C9:E9"/>
    <mergeCell ref="A1:A5"/>
    <mergeCell ref="F1:G1"/>
    <mergeCell ref="F2:G2"/>
    <mergeCell ref="F5:G5"/>
  </mergeCells>
  <phoneticPr fontId="1" type="noConversion"/>
  <dataValidations count="1">
    <dataValidation type="list" allowBlank="1" showInputMessage="1" showErrorMessage="1" sqref="C2:C5" xr:uid="{D917F7E2-229B-4636-B8F4-B81947E00BD6}">
      <formula1>"流程图,状态机,等价类划分&amp;数据组合,直接分析"</formula1>
    </dataValidation>
  </dataValidation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5C3F5F-96E9-48CB-B904-89B160111688}">
  <dimension ref="A1:G23"/>
  <sheetViews>
    <sheetView topLeftCell="A9" workbookViewId="0">
      <selection activeCell="A11" sqref="A11:A23"/>
    </sheetView>
  </sheetViews>
  <sheetFormatPr defaultColWidth="9" defaultRowHeight="13.5" x14ac:dyDescent="0.15"/>
  <cols>
    <col min="1" max="1" width="15" customWidth="1"/>
    <col min="2" max="2" width="32.125" customWidth="1"/>
    <col min="3" max="3" width="37.375" customWidth="1"/>
    <col min="4" max="4" width="39.875" customWidth="1"/>
    <col min="5" max="5" width="25.75" customWidth="1"/>
    <col min="6" max="6" width="49.375" customWidth="1"/>
    <col min="7" max="7" width="63.5" customWidth="1"/>
  </cols>
  <sheetData>
    <row r="1" spans="1:7" x14ac:dyDescent="0.15">
      <c r="A1" s="131" t="s">
        <v>22</v>
      </c>
      <c r="B1" s="47" t="s">
        <v>14</v>
      </c>
      <c r="C1" s="47" t="s">
        <v>15</v>
      </c>
      <c r="D1" s="47" t="s">
        <v>16</v>
      </c>
      <c r="E1" s="47" t="s">
        <v>17</v>
      </c>
      <c r="F1" s="127" t="s">
        <v>18</v>
      </c>
      <c r="G1" s="103"/>
    </row>
    <row r="2" spans="1:7" ht="14.45" customHeight="1" x14ac:dyDescent="0.15">
      <c r="A2" s="132"/>
      <c r="B2" s="39" t="s">
        <v>313</v>
      </c>
      <c r="C2" s="39" t="s">
        <v>20</v>
      </c>
      <c r="D2" s="39"/>
      <c r="E2" s="52">
        <v>2</v>
      </c>
      <c r="F2" s="105" t="s">
        <v>252</v>
      </c>
      <c r="G2" s="105"/>
    </row>
    <row r="3" spans="1:7" ht="14.45" customHeight="1" x14ac:dyDescent="0.15">
      <c r="A3" s="132"/>
      <c r="B3" s="39" t="s">
        <v>323</v>
      </c>
      <c r="C3" s="39" t="s">
        <v>20</v>
      </c>
      <c r="D3" s="39"/>
      <c r="E3" s="52">
        <v>2</v>
      </c>
      <c r="F3" s="105" t="s">
        <v>312</v>
      </c>
      <c r="G3" s="105"/>
    </row>
    <row r="4" spans="1:7" x14ac:dyDescent="0.15">
      <c r="A4" s="134" t="s">
        <v>313</v>
      </c>
      <c r="B4" s="128" t="s">
        <v>48</v>
      </c>
      <c r="C4" s="129"/>
      <c r="D4" s="129"/>
      <c r="E4" s="129"/>
      <c r="F4" s="129"/>
      <c r="G4" s="107"/>
    </row>
    <row r="5" spans="1:7" x14ac:dyDescent="0.15">
      <c r="A5" s="135"/>
      <c r="B5" s="130" t="s">
        <v>49</v>
      </c>
      <c r="C5" s="129"/>
      <c r="D5" s="129"/>
      <c r="E5" s="129"/>
      <c r="F5" s="129"/>
      <c r="G5" s="107"/>
    </row>
    <row r="6" spans="1:7" x14ac:dyDescent="0.15">
      <c r="A6" s="135"/>
      <c r="B6" s="43" t="s">
        <v>39</v>
      </c>
      <c r="C6" s="130" t="s">
        <v>40</v>
      </c>
      <c r="D6" s="129"/>
      <c r="E6" s="107"/>
      <c r="F6" s="32" t="s">
        <v>41</v>
      </c>
      <c r="G6" s="32" t="s">
        <v>42</v>
      </c>
    </row>
    <row r="7" spans="1:7" x14ac:dyDescent="0.15">
      <c r="A7" s="135"/>
      <c r="B7" s="33" t="s">
        <v>333</v>
      </c>
      <c r="C7" s="137"/>
      <c r="D7" s="129"/>
      <c r="E7" s="107"/>
      <c r="F7" s="39"/>
      <c r="G7" s="39"/>
    </row>
    <row r="8" spans="1:7" x14ac:dyDescent="0.15">
      <c r="A8" s="135"/>
      <c r="B8" s="138" t="s">
        <v>50</v>
      </c>
      <c r="C8" s="129"/>
      <c r="D8" s="129"/>
      <c r="E8" s="129"/>
      <c r="F8" s="129"/>
      <c r="G8" s="107"/>
    </row>
    <row r="9" spans="1:7" x14ac:dyDescent="0.15">
      <c r="A9" s="135"/>
      <c r="B9" s="31" t="s">
        <v>39</v>
      </c>
      <c r="C9" s="31" t="s">
        <v>44</v>
      </c>
      <c r="D9" s="31" t="s">
        <v>18</v>
      </c>
      <c r="E9" s="31" t="s">
        <v>45</v>
      </c>
      <c r="F9" s="31" t="s">
        <v>46</v>
      </c>
      <c r="G9" s="31" t="s">
        <v>47</v>
      </c>
    </row>
    <row r="10" spans="1:7" ht="67.5" x14ac:dyDescent="0.15">
      <c r="A10" s="135"/>
      <c r="B10" s="35" t="s">
        <v>333</v>
      </c>
      <c r="C10" s="35" t="s">
        <v>334</v>
      </c>
      <c r="D10" s="35" t="s">
        <v>335</v>
      </c>
      <c r="E10" s="35" t="s">
        <v>130</v>
      </c>
      <c r="F10" s="35" t="s">
        <v>336</v>
      </c>
      <c r="G10" s="35" t="s">
        <v>337</v>
      </c>
    </row>
    <row r="11" spans="1:7" ht="13.5" customHeight="1" x14ac:dyDescent="0.15">
      <c r="A11" s="134" t="s">
        <v>323</v>
      </c>
      <c r="B11" s="128" t="s">
        <v>48</v>
      </c>
      <c r="C11" s="129"/>
      <c r="D11" s="129"/>
      <c r="E11" s="129"/>
      <c r="F11" s="129"/>
      <c r="G11" s="107"/>
    </row>
    <row r="12" spans="1:7" x14ac:dyDescent="0.15">
      <c r="A12" s="135"/>
      <c r="B12" s="130" t="s">
        <v>49</v>
      </c>
      <c r="C12" s="129"/>
      <c r="D12" s="129"/>
      <c r="E12" s="129"/>
      <c r="F12" s="129"/>
      <c r="G12" s="107"/>
    </row>
    <row r="13" spans="1:7" x14ac:dyDescent="0.15">
      <c r="A13" s="135"/>
      <c r="B13" s="43" t="s">
        <v>39</v>
      </c>
      <c r="C13" s="130" t="s">
        <v>40</v>
      </c>
      <c r="D13" s="129"/>
      <c r="E13" s="107"/>
      <c r="F13" s="32" t="s">
        <v>41</v>
      </c>
      <c r="G13" s="32" t="s">
        <v>42</v>
      </c>
    </row>
    <row r="14" spans="1:7" x14ac:dyDescent="0.15">
      <c r="A14" s="135"/>
      <c r="B14" s="33" t="s">
        <v>338</v>
      </c>
      <c r="C14" s="137" t="s">
        <v>340</v>
      </c>
      <c r="D14" s="129"/>
      <c r="E14" s="107"/>
      <c r="F14" s="34" t="s">
        <v>345</v>
      </c>
      <c r="G14" s="34" t="s">
        <v>345</v>
      </c>
    </row>
    <row r="15" spans="1:7" x14ac:dyDescent="0.15">
      <c r="A15" s="135"/>
      <c r="B15" s="33" t="s">
        <v>339</v>
      </c>
      <c r="C15" s="137" t="s">
        <v>341</v>
      </c>
      <c r="D15" s="129"/>
      <c r="E15" s="107"/>
      <c r="F15" s="34" t="s">
        <v>345</v>
      </c>
      <c r="G15" s="34" t="s">
        <v>345</v>
      </c>
    </row>
    <row r="16" spans="1:7" x14ac:dyDescent="0.15">
      <c r="A16" s="135"/>
      <c r="B16" s="33" t="s">
        <v>342</v>
      </c>
      <c r="C16" s="137" t="s">
        <v>343</v>
      </c>
      <c r="D16" s="129"/>
      <c r="E16" s="107"/>
      <c r="F16" s="34" t="s">
        <v>347</v>
      </c>
      <c r="G16" s="34" t="s">
        <v>347</v>
      </c>
    </row>
    <row r="17" spans="1:7" x14ac:dyDescent="0.15">
      <c r="A17" s="135"/>
      <c r="B17" s="138" t="s">
        <v>50</v>
      </c>
      <c r="C17" s="129"/>
      <c r="D17" s="129"/>
      <c r="E17" s="129"/>
      <c r="F17" s="129"/>
      <c r="G17" s="107"/>
    </row>
    <row r="18" spans="1:7" x14ac:dyDescent="0.15">
      <c r="A18" s="135"/>
      <c r="B18" s="31" t="s">
        <v>39</v>
      </c>
      <c r="C18" s="31" t="s">
        <v>44</v>
      </c>
      <c r="D18" s="31" t="s">
        <v>18</v>
      </c>
      <c r="E18" s="31" t="s">
        <v>45</v>
      </c>
      <c r="F18" s="31" t="s">
        <v>46</v>
      </c>
      <c r="G18" s="31" t="s">
        <v>47</v>
      </c>
    </row>
    <row r="19" spans="1:7" ht="94.5" x14ac:dyDescent="0.15">
      <c r="A19" s="135"/>
      <c r="B19" s="35" t="s">
        <v>338</v>
      </c>
      <c r="C19" s="35" t="s">
        <v>340</v>
      </c>
      <c r="D19" s="35" t="s">
        <v>344</v>
      </c>
      <c r="E19" s="35" t="s">
        <v>354</v>
      </c>
      <c r="F19" s="35" t="s">
        <v>351</v>
      </c>
      <c r="G19" s="35" t="s">
        <v>350</v>
      </c>
    </row>
    <row r="20" spans="1:7" ht="94.5" x14ac:dyDescent="0.15">
      <c r="A20" s="135"/>
      <c r="B20" s="35" t="s">
        <v>339</v>
      </c>
      <c r="C20" s="35" t="s">
        <v>341</v>
      </c>
      <c r="D20" s="35" t="s">
        <v>647</v>
      </c>
      <c r="E20" s="35" t="s">
        <v>354</v>
      </c>
      <c r="F20" s="35" t="s">
        <v>650</v>
      </c>
      <c r="G20" s="35" t="s">
        <v>358</v>
      </c>
    </row>
    <row r="21" spans="1:7" ht="81" x14ac:dyDescent="0.15">
      <c r="A21" s="135"/>
      <c r="B21" s="35" t="s">
        <v>359</v>
      </c>
      <c r="C21" s="35" t="s">
        <v>360</v>
      </c>
      <c r="D21" s="35" t="s">
        <v>647</v>
      </c>
      <c r="E21" s="35" t="s">
        <v>354</v>
      </c>
      <c r="F21" s="35" t="s">
        <v>649</v>
      </c>
      <c r="G21" s="35" t="s">
        <v>361</v>
      </c>
    </row>
    <row r="22" spans="1:7" ht="121.5" x14ac:dyDescent="0.15">
      <c r="A22" s="135"/>
      <c r="B22" s="35" t="s">
        <v>352</v>
      </c>
      <c r="C22" s="35" t="s">
        <v>353</v>
      </c>
      <c r="D22" s="35" t="s">
        <v>346</v>
      </c>
      <c r="E22" s="35" t="s">
        <v>348</v>
      </c>
      <c r="F22" s="35" t="s">
        <v>648</v>
      </c>
      <c r="G22" s="35" t="s">
        <v>355</v>
      </c>
    </row>
    <row r="23" spans="1:7" ht="148.5" x14ac:dyDescent="0.15">
      <c r="A23" s="135"/>
      <c r="B23" s="35" t="s">
        <v>349</v>
      </c>
      <c r="C23" s="35" t="s">
        <v>343</v>
      </c>
      <c r="D23" s="35" t="s">
        <v>346</v>
      </c>
      <c r="E23" s="35" t="s">
        <v>348</v>
      </c>
      <c r="F23" s="35" t="s">
        <v>356</v>
      </c>
      <c r="G23" s="35" t="s">
        <v>357</v>
      </c>
    </row>
  </sheetData>
  <mergeCells count="18">
    <mergeCell ref="A11:A23"/>
    <mergeCell ref="B11:G11"/>
    <mergeCell ref="B12:G12"/>
    <mergeCell ref="C13:E13"/>
    <mergeCell ref="C14:E14"/>
    <mergeCell ref="B17:G17"/>
    <mergeCell ref="C16:E16"/>
    <mergeCell ref="C15:E15"/>
    <mergeCell ref="A1:A3"/>
    <mergeCell ref="F1:G1"/>
    <mergeCell ref="F2:G2"/>
    <mergeCell ref="F3:G3"/>
    <mergeCell ref="A4:A10"/>
    <mergeCell ref="B4:G4"/>
    <mergeCell ref="B5:G5"/>
    <mergeCell ref="C6:E6"/>
    <mergeCell ref="C7:E7"/>
    <mergeCell ref="B8:G8"/>
  </mergeCells>
  <phoneticPr fontId="1" type="noConversion"/>
  <dataValidations count="1">
    <dataValidation type="list" allowBlank="1" showInputMessage="1" showErrorMessage="1" sqref="C2:C3" xr:uid="{8944C39D-B656-4688-BB0E-B50C51AC6C4D}">
      <formula1>"流程图,状态机,等价类划分&amp;数据组合,直接分析"</formula1>
    </dataValidation>
  </dataValidation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10"/>
  <dimension ref="A1:J56"/>
  <sheetViews>
    <sheetView zoomScaleNormal="100" workbookViewId="0">
      <pane xSplit="1" ySplit="8" topLeftCell="B37" activePane="bottomRight" state="frozen"/>
      <selection pane="topRight" activeCell="B1" sqref="B1"/>
      <selection pane="bottomLeft" activeCell="A9" sqref="A9"/>
      <selection pane="bottomRight" activeCell="B56" sqref="B56:J56"/>
    </sheetView>
  </sheetViews>
  <sheetFormatPr defaultColWidth="9" defaultRowHeight="13.5" x14ac:dyDescent="0.15"/>
  <cols>
    <col min="1" max="1" width="15" customWidth="1"/>
    <col min="2" max="2" width="32.125" customWidth="1"/>
    <col min="3" max="3" width="37.375" customWidth="1"/>
    <col min="4" max="4" width="39.875" customWidth="1"/>
    <col min="5" max="5" width="25.75" customWidth="1"/>
    <col min="6" max="6" width="49.375" customWidth="1"/>
    <col min="7" max="7" width="63.5" customWidth="1"/>
  </cols>
  <sheetData>
    <row r="1" spans="1:10" x14ac:dyDescent="0.15">
      <c r="A1" s="131" t="s">
        <v>22</v>
      </c>
      <c r="B1" s="47" t="s">
        <v>14</v>
      </c>
      <c r="C1" s="47" t="s">
        <v>15</v>
      </c>
      <c r="D1" s="47" t="s">
        <v>16</v>
      </c>
      <c r="E1" s="47" t="s">
        <v>17</v>
      </c>
      <c r="F1" s="127" t="s">
        <v>18</v>
      </c>
      <c r="G1" s="103"/>
    </row>
    <row r="2" spans="1:10" ht="14.45" customHeight="1" x14ac:dyDescent="0.15">
      <c r="A2" s="132"/>
      <c r="B2" s="39" t="s">
        <v>835</v>
      </c>
      <c r="C2" s="39" t="s">
        <v>20</v>
      </c>
      <c r="D2" s="39"/>
      <c r="E2" s="52">
        <v>3</v>
      </c>
      <c r="F2" s="105" t="s">
        <v>836</v>
      </c>
      <c r="G2" s="105"/>
    </row>
    <row r="3" spans="1:10" ht="14.45" customHeight="1" x14ac:dyDescent="0.15">
      <c r="A3" s="132"/>
      <c r="B3" s="39" t="s">
        <v>256</v>
      </c>
      <c r="C3" s="39" t="s">
        <v>20</v>
      </c>
      <c r="D3" s="39"/>
      <c r="E3" s="52">
        <v>2</v>
      </c>
      <c r="F3" s="105" t="s">
        <v>257</v>
      </c>
      <c r="G3" s="105"/>
    </row>
    <row r="4" spans="1:10" ht="14.45" customHeight="1" x14ac:dyDescent="0.15">
      <c r="A4" s="132"/>
      <c r="B4" s="39" t="s">
        <v>851</v>
      </c>
      <c r="C4" s="39" t="s">
        <v>20</v>
      </c>
      <c r="D4" s="39"/>
      <c r="E4" s="52">
        <v>9</v>
      </c>
      <c r="F4" s="105" t="s">
        <v>883</v>
      </c>
      <c r="G4" s="105"/>
    </row>
    <row r="5" spans="1:10" ht="14.45" customHeight="1" x14ac:dyDescent="0.15">
      <c r="A5" s="132"/>
      <c r="B5" s="53" t="s">
        <v>260</v>
      </c>
      <c r="C5" s="54" t="s">
        <v>20</v>
      </c>
      <c r="D5" s="54"/>
      <c r="E5" s="36">
        <v>3</v>
      </c>
      <c r="F5" s="108" t="s">
        <v>853</v>
      </c>
      <c r="G5" s="108"/>
    </row>
    <row r="6" spans="1:10" ht="14.45" customHeight="1" x14ac:dyDescent="0.15">
      <c r="A6" s="132"/>
      <c r="B6" s="39" t="s">
        <v>854</v>
      </c>
      <c r="C6" s="39" t="s">
        <v>20</v>
      </c>
      <c r="D6" s="39"/>
      <c r="E6" s="52">
        <v>3</v>
      </c>
      <c r="F6" s="105" t="s">
        <v>876</v>
      </c>
      <c r="G6" s="105"/>
    </row>
    <row r="7" spans="1:10" ht="14.45" customHeight="1" x14ac:dyDescent="0.15">
      <c r="A7" s="132"/>
      <c r="B7" s="91" t="s">
        <v>889</v>
      </c>
      <c r="C7" s="55" t="s">
        <v>20</v>
      </c>
      <c r="D7" s="55"/>
      <c r="E7" s="71">
        <v>1</v>
      </c>
      <c r="F7" s="163" t="s">
        <v>889</v>
      </c>
      <c r="G7" s="163"/>
    </row>
    <row r="8" spans="1:10" ht="14.45" customHeight="1" x14ac:dyDescent="0.15">
      <c r="A8" s="132"/>
      <c r="B8" s="39" t="s">
        <v>265</v>
      </c>
      <c r="C8" s="39" t="s">
        <v>20</v>
      </c>
      <c r="D8" s="39"/>
      <c r="E8" s="52">
        <v>5</v>
      </c>
      <c r="F8" s="105" t="s">
        <v>266</v>
      </c>
      <c r="G8" s="105"/>
    </row>
    <row r="9" spans="1:10" x14ac:dyDescent="0.15">
      <c r="A9" s="134" t="s">
        <v>835</v>
      </c>
      <c r="B9" s="128" t="s">
        <v>48</v>
      </c>
      <c r="C9" s="129"/>
      <c r="D9" s="129"/>
      <c r="E9" s="129"/>
      <c r="F9" s="129"/>
      <c r="G9" s="107"/>
    </row>
    <row r="10" spans="1:10" x14ac:dyDescent="0.15">
      <c r="A10" s="135"/>
      <c r="B10" s="130" t="s">
        <v>49</v>
      </c>
      <c r="C10" s="129"/>
      <c r="D10" s="129"/>
      <c r="E10" s="129"/>
      <c r="F10" s="129"/>
      <c r="G10" s="107"/>
    </row>
    <row r="11" spans="1:10" x14ac:dyDescent="0.15">
      <c r="A11" s="135"/>
      <c r="B11" s="43" t="s">
        <v>39</v>
      </c>
      <c r="C11" s="130" t="s">
        <v>40</v>
      </c>
      <c r="D11" s="129"/>
      <c r="E11" s="107"/>
      <c r="F11" s="32" t="s">
        <v>41</v>
      </c>
      <c r="G11" s="32" t="s">
        <v>42</v>
      </c>
    </row>
    <row r="12" spans="1:10" x14ac:dyDescent="0.15">
      <c r="A12" s="135"/>
      <c r="B12" s="33" t="s">
        <v>841</v>
      </c>
      <c r="C12" s="137"/>
      <c r="D12" s="129"/>
      <c r="E12" s="107"/>
      <c r="F12" s="39"/>
      <c r="G12" s="39"/>
    </row>
    <row r="13" spans="1:10" x14ac:dyDescent="0.15">
      <c r="A13" s="135"/>
      <c r="B13" s="138" t="s">
        <v>50</v>
      </c>
      <c r="C13" s="129"/>
      <c r="D13" s="129"/>
      <c r="E13" s="129"/>
      <c r="F13" s="129"/>
      <c r="G13" s="107"/>
    </row>
    <row r="14" spans="1:10" x14ac:dyDescent="0.15">
      <c r="A14" s="135"/>
      <c r="B14" s="31" t="s">
        <v>39</v>
      </c>
      <c r="C14" s="31" t="s">
        <v>44</v>
      </c>
      <c r="D14" s="31" t="s">
        <v>18</v>
      </c>
      <c r="E14" s="31" t="s">
        <v>45</v>
      </c>
      <c r="F14" s="31" t="s">
        <v>46</v>
      </c>
      <c r="G14" s="31" t="s">
        <v>47</v>
      </c>
      <c r="H14" s="31" t="s">
        <v>513</v>
      </c>
      <c r="I14" s="31" t="s">
        <v>514</v>
      </c>
      <c r="J14" s="31" t="s">
        <v>515</v>
      </c>
    </row>
    <row r="15" spans="1:10" ht="162" x14ac:dyDescent="0.15">
      <c r="A15" s="135"/>
      <c r="B15" s="35" t="s">
        <v>841</v>
      </c>
      <c r="C15" s="35" t="s">
        <v>837</v>
      </c>
      <c r="D15" s="35" t="s">
        <v>838</v>
      </c>
      <c r="E15" s="35" t="s">
        <v>130</v>
      </c>
      <c r="F15" s="35" t="s">
        <v>839</v>
      </c>
      <c r="G15" s="35" t="s">
        <v>840</v>
      </c>
      <c r="H15" s="35" t="s">
        <v>145</v>
      </c>
      <c r="I15" s="35" t="s">
        <v>586</v>
      </c>
      <c r="J15" s="35" t="s">
        <v>547</v>
      </c>
    </row>
    <row r="16" spans="1:10" x14ac:dyDescent="0.15">
      <c r="A16" s="134" t="s">
        <v>844</v>
      </c>
      <c r="B16" s="128" t="s">
        <v>48</v>
      </c>
      <c r="C16" s="129"/>
      <c r="D16" s="129"/>
      <c r="E16" s="129"/>
      <c r="F16" s="129"/>
      <c r="G16" s="107"/>
    </row>
    <row r="17" spans="1:10" x14ac:dyDescent="0.15">
      <c r="A17" s="135"/>
      <c r="B17" s="130" t="s">
        <v>49</v>
      </c>
      <c r="C17" s="129"/>
      <c r="D17" s="129"/>
      <c r="E17" s="129"/>
      <c r="F17" s="129"/>
      <c r="G17" s="107"/>
    </row>
    <row r="18" spans="1:10" x14ac:dyDescent="0.15">
      <c r="A18" s="135"/>
      <c r="B18" s="43" t="s">
        <v>39</v>
      </c>
      <c r="C18" s="130" t="s">
        <v>40</v>
      </c>
      <c r="D18" s="129"/>
      <c r="E18" s="107"/>
      <c r="F18" s="32" t="s">
        <v>41</v>
      </c>
      <c r="G18" s="32" t="s">
        <v>42</v>
      </c>
    </row>
    <row r="19" spans="1:10" x14ac:dyDescent="0.15">
      <c r="A19" s="135"/>
      <c r="B19" s="33" t="s">
        <v>868</v>
      </c>
      <c r="C19" s="137"/>
      <c r="D19" s="129"/>
      <c r="E19" s="107"/>
      <c r="F19" s="39"/>
      <c r="G19" s="39"/>
    </row>
    <row r="20" spans="1:10" x14ac:dyDescent="0.15">
      <c r="A20" s="135"/>
      <c r="B20" s="138" t="s">
        <v>50</v>
      </c>
      <c r="C20" s="129"/>
      <c r="D20" s="129"/>
      <c r="E20" s="129"/>
      <c r="F20" s="129"/>
      <c r="G20" s="107"/>
    </row>
    <row r="21" spans="1:10" x14ac:dyDescent="0.15">
      <c r="A21" s="135"/>
      <c r="B21" s="31" t="s">
        <v>39</v>
      </c>
      <c r="C21" s="31" t="s">
        <v>44</v>
      </c>
      <c r="D21" s="31" t="s">
        <v>18</v>
      </c>
      <c r="E21" s="31" t="s">
        <v>45</v>
      </c>
      <c r="F21" s="31" t="s">
        <v>46</v>
      </c>
      <c r="G21" s="31" t="s">
        <v>47</v>
      </c>
      <c r="H21" s="31" t="s">
        <v>513</v>
      </c>
      <c r="I21" s="31" t="s">
        <v>514</v>
      </c>
      <c r="J21" s="31" t="s">
        <v>515</v>
      </c>
    </row>
    <row r="22" spans="1:10" ht="175.5" x14ac:dyDescent="0.15">
      <c r="A22" s="135"/>
      <c r="B22" s="35" t="s">
        <v>868</v>
      </c>
      <c r="C22" s="35" t="s">
        <v>842</v>
      </c>
      <c r="D22" s="35" t="s">
        <v>843</v>
      </c>
      <c r="E22" s="35" t="s">
        <v>130</v>
      </c>
      <c r="F22" s="35" t="s">
        <v>848</v>
      </c>
      <c r="G22" s="35" t="s">
        <v>845</v>
      </c>
      <c r="H22" s="35" t="s">
        <v>145</v>
      </c>
      <c r="I22" s="35" t="s">
        <v>172</v>
      </c>
      <c r="J22" s="35" t="s">
        <v>547</v>
      </c>
    </row>
    <row r="23" spans="1:10" ht="175.5" x14ac:dyDescent="0.15">
      <c r="A23" s="135"/>
      <c r="B23" s="35" t="s">
        <v>869</v>
      </c>
      <c r="C23" s="35" t="s">
        <v>846</v>
      </c>
      <c r="D23" s="35" t="s">
        <v>843</v>
      </c>
      <c r="E23" s="35" t="s">
        <v>847</v>
      </c>
      <c r="F23" s="35" t="s">
        <v>849</v>
      </c>
      <c r="G23" s="35" t="s">
        <v>859</v>
      </c>
      <c r="H23" s="35" t="s">
        <v>145</v>
      </c>
      <c r="I23" s="35" t="s">
        <v>172</v>
      </c>
      <c r="J23" s="35" t="s">
        <v>547</v>
      </c>
    </row>
    <row r="24" spans="1:10" x14ac:dyDescent="0.15">
      <c r="A24" s="134" t="s">
        <v>851</v>
      </c>
      <c r="B24" s="128" t="s">
        <v>48</v>
      </c>
      <c r="C24" s="129"/>
      <c r="D24" s="129"/>
      <c r="E24" s="129"/>
      <c r="F24" s="129"/>
      <c r="G24" s="107"/>
    </row>
    <row r="25" spans="1:10" x14ac:dyDescent="0.15">
      <c r="A25" s="135"/>
      <c r="B25" s="130" t="s">
        <v>49</v>
      </c>
      <c r="C25" s="129"/>
      <c r="D25" s="129"/>
      <c r="E25" s="129"/>
      <c r="F25" s="129"/>
      <c r="G25" s="107"/>
    </row>
    <row r="26" spans="1:10" x14ac:dyDescent="0.15">
      <c r="A26" s="135"/>
      <c r="B26" s="43" t="s">
        <v>39</v>
      </c>
      <c r="C26" s="130" t="s">
        <v>40</v>
      </c>
      <c r="D26" s="129"/>
      <c r="E26" s="107"/>
      <c r="F26" s="32" t="s">
        <v>41</v>
      </c>
      <c r="G26" s="32" t="s">
        <v>42</v>
      </c>
    </row>
    <row r="27" spans="1:10" x14ac:dyDescent="0.15">
      <c r="A27" s="135"/>
      <c r="B27" s="33" t="s">
        <v>868</v>
      </c>
      <c r="C27" s="137"/>
      <c r="D27" s="129"/>
      <c r="E27" s="107"/>
      <c r="F27" s="39"/>
      <c r="G27" s="39"/>
    </row>
    <row r="28" spans="1:10" x14ac:dyDescent="0.15">
      <c r="A28" s="135"/>
      <c r="B28" s="138" t="s">
        <v>50</v>
      </c>
      <c r="C28" s="129"/>
      <c r="D28" s="129"/>
      <c r="E28" s="129"/>
      <c r="F28" s="129"/>
      <c r="G28" s="107"/>
    </row>
    <row r="29" spans="1:10" x14ac:dyDescent="0.15">
      <c r="A29" s="135"/>
      <c r="B29" s="31" t="s">
        <v>39</v>
      </c>
      <c r="C29" s="31" t="s">
        <v>44</v>
      </c>
      <c r="D29" s="31" t="s">
        <v>18</v>
      </c>
      <c r="E29" s="31" t="s">
        <v>45</v>
      </c>
      <c r="F29" s="31" t="s">
        <v>46</v>
      </c>
      <c r="G29" s="31" t="s">
        <v>47</v>
      </c>
      <c r="H29" s="31" t="s">
        <v>513</v>
      </c>
      <c r="I29" s="31" t="s">
        <v>514</v>
      </c>
      <c r="J29" s="31" t="s">
        <v>515</v>
      </c>
    </row>
    <row r="30" spans="1:10" ht="148.5" x14ac:dyDescent="0.15">
      <c r="A30" s="135"/>
      <c r="B30" s="35" t="s">
        <v>870</v>
      </c>
      <c r="C30" s="35" t="s">
        <v>855</v>
      </c>
      <c r="D30" s="35" t="s">
        <v>852</v>
      </c>
      <c r="E30" s="35" t="s">
        <v>847</v>
      </c>
      <c r="F30" s="35" t="s">
        <v>857</v>
      </c>
      <c r="G30" s="35" t="s">
        <v>858</v>
      </c>
      <c r="H30" s="35" t="s">
        <v>145</v>
      </c>
      <c r="I30" s="35" t="s">
        <v>172</v>
      </c>
      <c r="J30" s="35" t="s">
        <v>547</v>
      </c>
    </row>
    <row r="31" spans="1:10" ht="148.5" x14ac:dyDescent="0.15">
      <c r="A31" s="135"/>
      <c r="B31" s="35" t="s">
        <v>871</v>
      </c>
      <c r="C31" s="35" t="s">
        <v>855</v>
      </c>
      <c r="D31" s="35" t="s">
        <v>881</v>
      </c>
      <c r="E31" s="35" t="s">
        <v>847</v>
      </c>
      <c r="F31" s="35" t="s">
        <v>861</v>
      </c>
      <c r="G31" s="35" t="s">
        <v>860</v>
      </c>
      <c r="H31" s="35" t="s">
        <v>145</v>
      </c>
      <c r="I31" s="35" t="s">
        <v>172</v>
      </c>
      <c r="J31" s="35" t="s">
        <v>547</v>
      </c>
    </row>
    <row r="32" spans="1:10" ht="135" x14ac:dyDescent="0.15">
      <c r="A32" s="135"/>
      <c r="B32" s="35" t="s">
        <v>872</v>
      </c>
      <c r="C32" s="35" t="s">
        <v>882</v>
      </c>
      <c r="D32" s="35" t="s">
        <v>862</v>
      </c>
      <c r="E32" s="35" t="s">
        <v>847</v>
      </c>
      <c r="F32" s="35" t="s">
        <v>863</v>
      </c>
      <c r="G32" s="35" t="s">
        <v>858</v>
      </c>
      <c r="H32" s="35" t="s">
        <v>145</v>
      </c>
      <c r="I32" s="35" t="s">
        <v>172</v>
      </c>
      <c r="J32" s="35" t="s">
        <v>547</v>
      </c>
    </row>
    <row r="33" spans="1:10" ht="67.5" x14ac:dyDescent="0.15">
      <c r="A33" s="135"/>
      <c r="B33" s="35" t="s">
        <v>873</v>
      </c>
      <c r="C33" s="35" t="s">
        <v>856</v>
      </c>
      <c r="D33" s="35" t="s">
        <v>865</v>
      </c>
      <c r="E33" s="35" t="s">
        <v>864</v>
      </c>
      <c r="F33" s="35" t="s">
        <v>867</v>
      </c>
      <c r="G33" s="35" t="s">
        <v>866</v>
      </c>
      <c r="H33" s="35" t="s">
        <v>145</v>
      </c>
      <c r="I33" s="35" t="s">
        <v>172</v>
      </c>
      <c r="J33" s="35" t="s">
        <v>547</v>
      </c>
    </row>
    <row r="34" spans="1:10" x14ac:dyDescent="0.15">
      <c r="A34" s="134" t="s">
        <v>854</v>
      </c>
      <c r="B34" s="128" t="s">
        <v>48</v>
      </c>
      <c r="C34" s="129"/>
      <c r="D34" s="129"/>
      <c r="E34" s="129"/>
      <c r="F34" s="129"/>
      <c r="G34" s="107"/>
    </row>
    <row r="35" spans="1:10" x14ac:dyDescent="0.15">
      <c r="A35" s="135"/>
      <c r="B35" s="130" t="s">
        <v>49</v>
      </c>
      <c r="C35" s="129"/>
      <c r="D35" s="129"/>
      <c r="E35" s="129"/>
      <c r="F35" s="129"/>
      <c r="G35" s="107"/>
    </row>
    <row r="36" spans="1:10" x14ac:dyDescent="0.15">
      <c r="A36" s="135"/>
      <c r="B36" s="43" t="s">
        <v>39</v>
      </c>
      <c r="C36" s="130" t="s">
        <v>40</v>
      </c>
      <c r="D36" s="129"/>
      <c r="E36" s="107"/>
      <c r="F36" s="32" t="s">
        <v>41</v>
      </c>
      <c r="G36" s="32" t="s">
        <v>42</v>
      </c>
    </row>
    <row r="37" spans="1:10" x14ac:dyDescent="0.15">
      <c r="A37" s="135"/>
      <c r="B37" s="33" t="s">
        <v>841</v>
      </c>
      <c r="C37" s="137"/>
      <c r="D37" s="129"/>
      <c r="E37" s="107"/>
      <c r="F37" s="39"/>
      <c r="G37" s="39"/>
    </row>
    <row r="38" spans="1:10" x14ac:dyDescent="0.15">
      <c r="A38" s="135"/>
      <c r="B38" s="138" t="s">
        <v>50</v>
      </c>
      <c r="C38" s="129"/>
      <c r="D38" s="129"/>
      <c r="E38" s="129"/>
      <c r="F38" s="129"/>
      <c r="G38" s="107"/>
    </row>
    <row r="39" spans="1:10" x14ac:dyDescent="0.15">
      <c r="A39" s="135"/>
      <c r="B39" s="31" t="s">
        <v>39</v>
      </c>
      <c r="C39" s="31" t="s">
        <v>44</v>
      </c>
      <c r="D39" s="31" t="s">
        <v>18</v>
      </c>
      <c r="E39" s="31" t="s">
        <v>45</v>
      </c>
      <c r="F39" s="31" t="s">
        <v>46</v>
      </c>
      <c r="G39" s="31" t="s">
        <v>47</v>
      </c>
      <c r="H39" s="31" t="s">
        <v>513</v>
      </c>
      <c r="I39" s="31" t="s">
        <v>514</v>
      </c>
      <c r="J39" s="31" t="s">
        <v>515</v>
      </c>
    </row>
    <row r="40" spans="1:10" ht="121.5" x14ac:dyDescent="0.15">
      <c r="A40" s="135"/>
      <c r="B40" s="35" t="s">
        <v>874</v>
      </c>
      <c r="C40" s="35" t="s">
        <v>892</v>
      </c>
      <c r="D40" s="35" t="s">
        <v>877</v>
      </c>
      <c r="E40" s="35" t="s">
        <v>130</v>
      </c>
      <c r="F40" s="35" t="s">
        <v>884</v>
      </c>
      <c r="G40" s="35" t="s">
        <v>885</v>
      </c>
      <c r="H40" s="35" t="s">
        <v>145</v>
      </c>
      <c r="I40" s="35" t="s">
        <v>173</v>
      </c>
      <c r="J40" s="35" t="s">
        <v>547</v>
      </c>
    </row>
    <row r="41" spans="1:10" ht="162" x14ac:dyDescent="0.15">
      <c r="A41" s="135"/>
      <c r="B41" s="35" t="s">
        <v>875</v>
      </c>
      <c r="C41" s="35" t="s">
        <v>892</v>
      </c>
      <c r="D41" s="35" t="s">
        <v>878</v>
      </c>
      <c r="E41" s="35" t="s">
        <v>130</v>
      </c>
      <c r="F41" s="35" t="s">
        <v>887</v>
      </c>
      <c r="G41" s="35" t="s">
        <v>886</v>
      </c>
      <c r="H41" s="35" t="s">
        <v>145</v>
      </c>
      <c r="I41" s="35" t="s">
        <v>173</v>
      </c>
      <c r="J41" s="35" t="s">
        <v>547</v>
      </c>
    </row>
    <row r="42" spans="1:10" ht="121.5" x14ac:dyDescent="0.15">
      <c r="A42" s="135"/>
      <c r="B42" s="35" t="s">
        <v>879</v>
      </c>
      <c r="C42" s="35" t="s">
        <v>892</v>
      </c>
      <c r="D42" s="35" t="s">
        <v>880</v>
      </c>
      <c r="E42" s="35" t="s">
        <v>130</v>
      </c>
      <c r="F42" s="35" t="s">
        <v>888</v>
      </c>
      <c r="G42" s="35" t="s">
        <v>885</v>
      </c>
      <c r="H42" s="35" t="s">
        <v>145</v>
      </c>
      <c r="I42" s="35" t="s">
        <v>173</v>
      </c>
      <c r="J42" s="35" t="s">
        <v>547</v>
      </c>
    </row>
    <row r="43" spans="1:10" x14ac:dyDescent="0.15">
      <c r="A43" s="134" t="s">
        <v>889</v>
      </c>
      <c r="B43" s="128" t="s">
        <v>48</v>
      </c>
      <c r="C43" s="129"/>
      <c r="D43" s="129"/>
      <c r="E43" s="129"/>
      <c r="F43" s="129"/>
      <c r="G43" s="107"/>
    </row>
    <row r="44" spans="1:10" x14ac:dyDescent="0.15">
      <c r="A44" s="135"/>
      <c r="B44" s="130" t="s">
        <v>49</v>
      </c>
      <c r="C44" s="129"/>
      <c r="D44" s="129"/>
      <c r="E44" s="129"/>
      <c r="F44" s="129"/>
      <c r="G44" s="107"/>
    </row>
    <row r="45" spans="1:10" x14ac:dyDescent="0.15">
      <c r="A45" s="135"/>
      <c r="B45" s="43" t="s">
        <v>39</v>
      </c>
      <c r="C45" s="130" t="s">
        <v>40</v>
      </c>
      <c r="D45" s="129"/>
      <c r="E45" s="107"/>
      <c r="F45" s="32" t="s">
        <v>41</v>
      </c>
      <c r="G45" s="32" t="s">
        <v>42</v>
      </c>
    </row>
    <row r="46" spans="1:10" x14ac:dyDescent="0.15">
      <c r="A46" s="135"/>
      <c r="B46" s="33" t="s">
        <v>841</v>
      </c>
      <c r="C46" s="137"/>
      <c r="D46" s="129"/>
      <c r="E46" s="107"/>
      <c r="F46" s="39"/>
      <c r="G46" s="39"/>
    </row>
    <row r="47" spans="1:10" x14ac:dyDescent="0.15">
      <c r="A47" s="135"/>
      <c r="B47" s="138" t="s">
        <v>50</v>
      </c>
      <c r="C47" s="129"/>
      <c r="D47" s="129"/>
      <c r="E47" s="129"/>
      <c r="F47" s="129"/>
      <c r="G47" s="107"/>
    </row>
    <row r="48" spans="1:10" x14ac:dyDescent="0.15">
      <c r="A48" s="135"/>
      <c r="B48" s="31" t="s">
        <v>39</v>
      </c>
      <c r="C48" s="31" t="s">
        <v>44</v>
      </c>
      <c r="D48" s="31" t="s">
        <v>18</v>
      </c>
      <c r="E48" s="31" t="s">
        <v>45</v>
      </c>
      <c r="F48" s="31" t="s">
        <v>46</v>
      </c>
      <c r="G48" s="31" t="s">
        <v>47</v>
      </c>
      <c r="H48" s="31" t="s">
        <v>513</v>
      </c>
      <c r="I48" s="31" t="s">
        <v>514</v>
      </c>
      <c r="J48" s="31" t="s">
        <v>515</v>
      </c>
    </row>
    <row r="49" spans="1:10" ht="67.5" x14ac:dyDescent="0.15">
      <c r="A49" s="135"/>
      <c r="B49" s="35" t="s">
        <v>890</v>
      </c>
      <c r="C49" s="35" t="s">
        <v>892</v>
      </c>
      <c r="D49" s="35" t="s">
        <v>891</v>
      </c>
      <c r="E49" s="35" t="s">
        <v>130</v>
      </c>
      <c r="F49" s="35" t="s">
        <v>893</v>
      </c>
      <c r="G49" s="35" t="s">
        <v>894</v>
      </c>
      <c r="H49" s="35" t="s">
        <v>145</v>
      </c>
      <c r="I49" s="35" t="s">
        <v>173</v>
      </c>
      <c r="J49" s="35" t="s">
        <v>547</v>
      </c>
    </row>
    <row r="50" spans="1:10" x14ac:dyDescent="0.15">
      <c r="A50" s="134" t="s">
        <v>895</v>
      </c>
      <c r="B50" s="128" t="s">
        <v>48</v>
      </c>
      <c r="C50" s="129"/>
      <c r="D50" s="129"/>
      <c r="E50" s="129"/>
      <c r="F50" s="129"/>
      <c r="G50" s="107"/>
    </row>
    <row r="51" spans="1:10" x14ac:dyDescent="0.15">
      <c r="A51" s="135"/>
      <c r="B51" s="130" t="s">
        <v>49</v>
      </c>
      <c r="C51" s="129"/>
      <c r="D51" s="129"/>
      <c r="E51" s="129"/>
      <c r="F51" s="129"/>
      <c r="G51" s="107"/>
    </row>
    <row r="52" spans="1:10" x14ac:dyDescent="0.15">
      <c r="A52" s="135"/>
      <c r="B52" s="43" t="s">
        <v>39</v>
      </c>
      <c r="C52" s="130" t="s">
        <v>40</v>
      </c>
      <c r="D52" s="129"/>
      <c r="E52" s="107"/>
      <c r="F52" s="32" t="s">
        <v>41</v>
      </c>
      <c r="G52" s="32" t="s">
        <v>42</v>
      </c>
    </row>
    <row r="53" spans="1:10" x14ac:dyDescent="0.15">
      <c r="A53" s="135"/>
      <c r="B53" s="33" t="s">
        <v>841</v>
      </c>
      <c r="C53" s="137"/>
      <c r="D53" s="129"/>
      <c r="E53" s="107"/>
      <c r="F53" s="39"/>
      <c r="G53" s="39"/>
    </row>
    <row r="54" spans="1:10" x14ac:dyDescent="0.15">
      <c r="A54" s="135"/>
      <c r="B54" s="138" t="s">
        <v>50</v>
      </c>
      <c r="C54" s="129"/>
      <c r="D54" s="129"/>
      <c r="E54" s="129"/>
      <c r="F54" s="129"/>
      <c r="G54" s="107"/>
    </row>
    <row r="55" spans="1:10" x14ac:dyDescent="0.15">
      <c r="A55" s="135"/>
      <c r="B55" s="31" t="s">
        <v>39</v>
      </c>
      <c r="C55" s="31" t="s">
        <v>44</v>
      </c>
      <c r="D55" s="31" t="s">
        <v>18</v>
      </c>
      <c r="E55" s="31" t="s">
        <v>45</v>
      </c>
      <c r="F55" s="31" t="s">
        <v>46</v>
      </c>
      <c r="G55" s="31" t="s">
        <v>47</v>
      </c>
      <c r="H55" s="31" t="s">
        <v>513</v>
      </c>
      <c r="I55" s="31" t="s">
        <v>514</v>
      </c>
      <c r="J55" s="31" t="s">
        <v>515</v>
      </c>
    </row>
    <row r="56" spans="1:10" ht="162" x14ac:dyDescent="0.15">
      <c r="A56" s="135"/>
      <c r="B56" s="35" t="s">
        <v>896</v>
      </c>
      <c r="C56" s="35" t="s">
        <v>898</v>
      </c>
      <c r="D56" s="35" t="s">
        <v>897</v>
      </c>
      <c r="E56" s="35" t="s">
        <v>899</v>
      </c>
      <c r="F56" s="35" t="s">
        <v>901</v>
      </c>
      <c r="G56" s="35" t="s">
        <v>900</v>
      </c>
      <c r="H56" s="35" t="s">
        <v>145</v>
      </c>
      <c r="I56" s="35" t="s">
        <v>173</v>
      </c>
      <c r="J56" s="35" t="s">
        <v>547</v>
      </c>
    </row>
  </sheetData>
  <mergeCells count="45">
    <mergeCell ref="F1:G1"/>
    <mergeCell ref="F2:G2"/>
    <mergeCell ref="B9:G9"/>
    <mergeCell ref="C11:E11"/>
    <mergeCell ref="A1:A8"/>
    <mergeCell ref="F3:G3"/>
    <mergeCell ref="F4:G4"/>
    <mergeCell ref="F5:G5"/>
    <mergeCell ref="F6:G6"/>
    <mergeCell ref="F7:G7"/>
    <mergeCell ref="F8:G8"/>
    <mergeCell ref="A9:A15"/>
    <mergeCell ref="B10:G10"/>
    <mergeCell ref="C12:E12"/>
    <mergeCell ref="B13:G13"/>
    <mergeCell ref="A16:A23"/>
    <mergeCell ref="B16:G16"/>
    <mergeCell ref="B17:G17"/>
    <mergeCell ref="C18:E18"/>
    <mergeCell ref="C19:E19"/>
    <mergeCell ref="B20:G20"/>
    <mergeCell ref="B24:G24"/>
    <mergeCell ref="C26:E26"/>
    <mergeCell ref="A24:A33"/>
    <mergeCell ref="B25:G25"/>
    <mergeCell ref="C27:E27"/>
    <mergeCell ref="B28:G28"/>
    <mergeCell ref="A34:A42"/>
    <mergeCell ref="B34:G34"/>
    <mergeCell ref="B35:G35"/>
    <mergeCell ref="C36:E36"/>
    <mergeCell ref="C37:E37"/>
    <mergeCell ref="B38:G38"/>
    <mergeCell ref="A43:A49"/>
    <mergeCell ref="B43:G43"/>
    <mergeCell ref="B44:G44"/>
    <mergeCell ref="C45:E45"/>
    <mergeCell ref="C46:E46"/>
    <mergeCell ref="B47:G47"/>
    <mergeCell ref="A50:A56"/>
    <mergeCell ref="B50:G50"/>
    <mergeCell ref="B51:G51"/>
    <mergeCell ref="C52:E52"/>
    <mergeCell ref="C53:E53"/>
    <mergeCell ref="B54:G54"/>
  </mergeCells>
  <phoneticPr fontId="1" type="noConversion"/>
  <dataValidations count="1">
    <dataValidation type="list" allowBlank="1" showInputMessage="1" showErrorMessage="1" sqref="C2:C8" xr:uid="{C76E8D73-D0B3-4BE3-A927-18F4BB694EA5}">
      <formula1>"流程图,状态机,等价类划分&amp;数据组合,直接分析"</formula1>
    </dataValidation>
  </dataValidations>
  <pageMargins left="0.7" right="0.7" top="0.75" bottom="0.75" header="0.3" footer="0.3"/>
  <pageSetup paperSize="9"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64B204-B7E5-4ABD-BF76-1A9DD685AD9F}">
  <dimension ref="A1:G18"/>
  <sheetViews>
    <sheetView topLeftCell="B1" workbookViewId="0">
      <selection activeCell="F10" sqref="F10"/>
    </sheetView>
  </sheetViews>
  <sheetFormatPr defaultColWidth="9" defaultRowHeight="13.5" x14ac:dyDescent="0.15"/>
  <cols>
    <col min="1" max="1" width="15" customWidth="1"/>
    <col min="2" max="2" width="32.125" customWidth="1"/>
    <col min="3" max="3" width="23.5" bestFit="1" customWidth="1"/>
    <col min="4" max="4" width="59.5" customWidth="1"/>
    <col min="5" max="5" width="43.25" customWidth="1"/>
    <col min="6" max="6" width="61.875" customWidth="1"/>
    <col min="7" max="7" width="82.5" customWidth="1"/>
  </cols>
  <sheetData>
    <row r="1" spans="1:7" x14ac:dyDescent="0.15">
      <c r="A1" s="131" t="s">
        <v>22</v>
      </c>
      <c r="B1" s="47" t="s">
        <v>14</v>
      </c>
      <c r="C1" s="47" t="s">
        <v>15</v>
      </c>
      <c r="D1" s="47" t="s">
        <v>16</v>
      </c>
      <c r="E1" s="47" t="s">
        <v>17</v>
      </c>
      <c r="F1" s="127" t="s">
        <v>18</v>
      </c>
      <c r="G1" s="103"/>
    </row>
    <row r="2" spans="1:7" ht="14.45" customHeight="1" x14ac:dyDescent="0.15">
      <c r="A2" s="132"/>
      <c r="B2" s="39" t="s">
        <v>302</v>
      </c>
      <c r="C2" s="39" t="s">
        <v>20</v>
      </c>
      <c r="D2" s="39"/>
      <c r="E2" s="52">
        <v>4</v>
      </c>
      <c r="F2" s="105" t="s">
        <v>299</v>
      </c>
      <c r="G2" s="105"/>
    </row>
    <row r="3" spans="1:7" ht="14.45" customHeight="1" x14ac:dyDescent="0.15">
      <c r="A3" s="132"/>
      <c r="B3" s="39" t="s">
        <v>300</v>
      </c>
      <c r="C3" s="39" t="s">
        <v>20</v>
      </c>
      <c r="D3" s="39"/>
      <c r="E3" s="52">
        <v>2</v>
      </c>
      <c r="F3" s="105" t="s">
        <v>301</v>
      </c>
      <c r="G3" s="105"/>
    </row>
    <row r="4" spans="1:7" x14ac:dyDescent="0.15">
      <c r="A4" s="134" t="s">
        <v>271</v>
      </c>
      <c r="B4" s="128" t="s">
        <v>48</v>
      </c>
      <c r="C4" s="129"/>
      <c r="D4" s="129"/>
      <c r="E4" s="129"/>
      <c r="F4" s="129"/>
      <c r="G4" s="107"/>
    </row>
    <row r="5" spans="1:7" x14ac:dyDescent="0.15">
      <c r="A5" s="135"/>
      <c r="B5" s="130" t="s">
        <v>49</v>
      </c>
      <c r="C5" s="129"/>
      <c r="D5" s="129"/>
      <c r="E5" s="129"/>
      <c r="F5" s="129"/>
      <c r="G5" s="107"/>
    </row>
    <row r="6" spans="1:7" x14ac:dyDescent="0.15">
      <c r="A6" s="135"/>
      <c r="B6" s="43" t="s">
        <v>39</v>
      </c>
      <c r="C6" s="130" t="s">
        <v>40</v>
      </c>
      <c r="D6" s="129"/>
      <c r="E6" s="107"/>
      <c r="F6" s="32" t="s">
        <v>41</v>
      </c>
      <c r="G6" s="32" t="s">
        <v>42</v>
      </c>
    </row>
    <row r="7" spans="1:7" x14ac:dyDescent="0.15">
      <c r="A7" s="135"/>
      <c r="B7" s="33" t="s">
        <v>303</v>
      </c>
      <c r="C7" s="137" t="s">
        <v>305</v>
      </c>
      <c r="D7" s="129"/>
      <c r="E7" s="107"/>
      <c r="F7" s="39" t="s">
        <v>304</v>
      </c>
      <c r="G7" s="39" t="s">
        <v>304</v>
      </c>
    </row>
    <row r="8" spans="1:7" x14ac:dyDescent="0.15">
      <c r="A8" s="135"/>
      <c r="B8" s="138" t="s">
        <v>50</v>
      </c>
      <c r="C8" s="129"/>
      <c r="D8" s="129"/>
      <c r="E8" s="129"/>
      <c r="F8" s="129"/>
      <c r="G8" s="107"/>
    </row>
    <row r="9" spans="1:7" x14ac:dyDescent="0.15">
      <c r="A9" s="135"/>
      <c r="B9" s="31" t="s">
        <v>39</v>
      </c>
      <c r="C9" s="31" t="s">
        <v>44</v>
      </c>
      <c r="D9" s="31" t="s">
        <v>18</v>
      </c>
      <c r="E9" s="31" t="s">
        <v>45</v>
      </c>
      <c r="F9" s="31" t="s">
        <v>46</v>
      </c>
      <c r="G9" s="31" t="s">
        <v>47</v>
      </c>
    </row>
    <row r="10" spans="1:7" ht="81" x14ac:dyDescent="0.15">
      <c r="A10" s="135"/>
      <c r="B10" s="35" t="s">
        <v>303</v>
      </c>
      <c r="C10" s="35" t="s">
        <v>305</v>
      </c>
      <c r="D10" s="35" t="s">
        <v>304</v>
      </c>
      <c r="E10" s="35" t="s">
        <v>130</v>
      </c>
      <c r="F10" s="35" t="s">
        <v>306</v>
      </c>
      <c r="G10" s="35" t="s">
        <v>702</v>
      </c>
    </row>
    <row r="11" spans="1:7" ht="13.5" customHeight="1" x14ac:dyDescent="0.15">
      <c r="A11" s="134" t="s">
        <v>300</v>
      </c>
      <c r="B11" s="128" t="s">
        <v>48</v>
      </c>
      <c r="C11" s="129"/>
      <c r="D11" s="129"/>
      <c r="E11" s="129"/>
      <c r="F11" s="129"/>
      <c r="G11" s="107"/>
    </row>
    <row r="12" spans="1:7" x14ac:dyDescent="0.15">
      <c r="A12" s="135"/>
      <c r="B12" s="130" t="s">
        <v>49</v>
      </c>
      <c r="C12" s="129"/>
      <c r="D12" s="129"/>
      <c r="E12" s="129"/>
      <c r="F12" s="129"/>
      <c r="G12" s="107"/>
    </row>
    <row r="13" spans="1:7" x14ac:dyDescent="0.15">
      <c r="A13" s="135"/>
      <c r="B13" s="43" t="s">
        <v>39</v>
      </c>
      <c r="C13" s="130" t="s">
        <v>40</v>
      </c>
      <c r="D13" s="129"/>
      <c r="E13" s="107"/>
      <c r="F13" s="32" t="s">
        <v>41</v>
      </c>
      <c r="G13" s="32" t="s">
        <v>42</v>
      </c>
    </row>
    <row r="14" spans="1:7" ht="135" x14ac:dyDescent="0.15">
      <c r="A14" s="135"/>
      <c r="B14" s="33" t="s">
        <v>307</v>
      </c>
      <c r="C14" s="137" t="s">
        <v>308</v>
      </c>
      <c r="D14" s="129"/>
      <c r="E14" s="107"/>
      <c r="F14" s="34" t="s">
        <v>309</v>
      </c>
      <c r="G14" s="34" t="s">
        <v>311</v>
      </c>
    </row>
    <row r="15" spans="1:7" x14ac:dyDescent="0.15">
      <c r="A15" s="135"/>
      <c r="B15" s="138" t="s">
        <v>50</v>
      </c>
      <c r="C15" s="129"/>
      <c r="D15" s="129"/>
      <c r="E15" s="129"/>
      <c r="F15" s="129"/>
      <c r="G15" s="107"/>
    </row>
    <row r="16" spans="1:7" x14ac:dyDescent="0.15">
      <c r="A16" s="135"/>
      <c r="B16" s="31" t="s">
        <v>39</v>
      </c>
      <c r="C16" s="31" t="s">
        <v>44</v>
      </c>
      <c r="D16" s="31" t="s">
        <v>18</v>
      </c>
      <c r="E16" s="31" t="s">
        <v>45</v>
      </c>
      <c r="F16" s="31" t="s">
        <v>46</v>
      </c>
      <c r="G16" s="31" t="s">
        <v>47</v>
      </c>
    </row>
    <row r="17" spans="1:7" ht="202.5" x14ac:dyDescent="0.15">
      <c r="A17" s="135"/>
      <c r="B17" s="35" t="s">
        <v>293</v>
      </c>
      <c r="C17" s="35" t="s">
        <v>308</v>
      </c>
      <c r="D17" s="35" t="s">
        <v>311</v>
      </c>
      <c r="E17" s="35" t="s">
        <v>130</v>
      </c>
      <c r="F17" s="35" t="s">
        <v>310</v>
      </c>
      <c r="G17" s="35" t="s">
        <v>703</v>
      </c>
    </row>
    <row r="18" spans="1:7" ht="202.5" x14ac:dyDescent="0.15">
      <c r="A18" s="135"/>
      <c r="B18" s="35" t="s">
        <v>293</v>
      </c>
      <c r="C18" s="35" t="s">
        <v>317</v>
      </c>
      <c r="D18" s="35" t="s">
        <v>311</v>
      </c>
      <c r="E18" s="35" t="s">
        <v>130</v>
      </c>
      <c r="F18" s="35" t="s">
        <v>310</v>
      </c>
      <c r="G18" s="35" t="s">
        <v>703</v>
      </c>
    </row>
  </sheetData>
  <mergeCells count="16">
    <mergeCell ref="A11:A18"/>
    <mergeCell ref="B11:G11"/>
    <mergeCell ref="B12:G12"/>
    <mergeCell ref="C13:E13"/>
    <mergeCell ref="C14:E14"/>
    <mergeCell ref="B15:G15"/>
    <mergeCell ref="A1:A3"/>
    <mergeCell ref="F1:G1"/>
    <mergeCell ref="F2:G2"/>
    <mergeCell ref="F3:G3"/>
    <mergeCell ref="A4:A10"/>
    <mergeCell ref="B4:G4"/>
    <mergeCell ref="B5:G5"/>
    <mergeCell ref="C6:E6"/>
    <mergeCell ref="C7:E7"/>
    <mergeCell ref="B8:G8"/>
  </mergeCells>
  <phoneticPr fontId="1" type="noConversion"/>
  <dataValidations count="1">
    <dataValidation type="list" allowBlank="1" showInputMessage="1" showErrorMessage="1" sqref="C2:C3" xr:uid="{A6449A56-2012-4DBF-BBD0-CEC7402A80A1}">
      <formula1>"流程图,状态机,等价类划分&amp;数据组合,直接分析"</formula1>
    </dataValidation>
  </dataValidation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Sheet13"/>
  <dimension ref="A1:V266"/>
  <sheetViews>
    <sheetView tabSelected="1" zoomScale="115" zoomScaleNormal="115" workbookViewId="0">
      <pane xSplit="5" ySplit="1" topLeftCell="F201" activePane="bottomRight" state="frozen"/>
      <selection pane="topRight" activeCell="F1" sqref="F1"/>
      <selection pane="bottomLeft" activeCell="A2" sqref="A2"/>
      <selection pane="bottomRight" activeCell="A239" sqref="A239:XFD240"/>
    </sheetView>
  </sheetViews>
  <sheetFormatPr defaultRowHeight="13.5" customHeight="1" x14ac:dyDescent="0.15"/>
  <cols>
    <col min="1" max="5" width="9" style="29"/>
    <col min="6" max="6" width="39.25" style="29" customWidth="1"/>
    <col min="7" max="7" width="19.125" style="29" customWidth="1"/>
    <col min="8" max="8" width="11.75" style="29" customWidth="1"/>
    <col min="9" max="11" width="9" style="29"/>
    <col min="12" max="12" width="18.875" style="29" customWidth="1"/>
    <col min="13" max="13" width="20.5" style="29" customWidth="1"/>
    <col min="14" max="14" width="15.375" style="29" customWidth="1"/>
    <col min="15" max="16384" width="9" style="29"/>
  </cols>
  <sheetData>
    <row r="1" spans="1:22" ht="12.75" customHeight="1" x14ac:dyDescent="0.15">
      <c r="A1" s="48" t="s">
        <v>51</v>
      </c>
      <c r="B1" s="48" t="s">
        <v>52</v>
      </c>
      <c r="C1" s="48" t="s">
        <v>53</v>
      </c>
      <c r="D1" s="48" t="s">
        <v>12</v>
      </c>
      <c r="E1" s="48" t="s">
        <v>13</v>
      </c>
      <c r="F1" s="48" t="s">
        <v>54</v>
      </c>
      <c r="G1" s="48" t="s">
        <v>55</v>
      </c>
      <c r="H1" s="49" t="s">
        <v>56</v>
      </c>
      <c r="I1" s="48" t="s">
        <v>57</v>
      </c>
      <c r="J1" s="48" t="s">
        <v>58</v>
      </c>
      <c r="K1" s="48" t="s">
        <v>59</v>
      </c>
      <c r="L1" s="48" t="s">
        <v>45</v>
      </c>
      <c r="M1" s="48" t="s">
        <v>60</v>
      </c>
      <c r="N1" s="50" t="s">
        <v>61</v>
      </c>
      <c r="O1" s="48" t="s">
        <v>517</v>
      </c>
      <c r="P1" s="48" t="s">
        <v>518</v>
      </c>
      <c r="Q1" s="48" t="s">
        <v>519</v>
      </c>
      <c r="R1" s="48" t="s">
        <v>64</v>
      </c>
      <c r="S1" s="48" t="s">
        <v>65</v>
      </c>
      <c r="T1" s="48" t="s">
        <v>520</v>
      </c>
      <c r="U1" s="48" t="s">
        <v>67</v>
      </c>
      <c r="V1" s="48" t="s">
        <v>68</v>
      </c>
    </row>
    <row r="2" spans="1:22" ht="12.75" customHeight="1" x14ac:dyDescent="0.15">
      <c r="A2" s="39" t="s">
        <v>1902</v>
      </c>
      <c r="B2" s="39"/>
      <c r="C2" s="34"/>
    </row>
    <row r="3" spans="1:22" ht="12.75" customHeight="1" x14ac:dyDescent="0.15">
      <c r="A3" s="56"/>
      <c r="B3" s="56" t="s">
        <v>1903</v>
      </c>
      <c r="C3" s="92"/>
    </row>
    <row r="4" spans="1:22" ht="12.75" customHeight="1" x14ac:dyDescent="0.15">
      <c r="A4" s="56"/>
      <c r="B4" s="56"/>
      <c r="C4" s="92" t="s">
        <v>1904</v>
      </c>
    </row>
    <row r="5" spans="1:22" ht="12.75" customHeight="1" x14ac:dyDescent="0.15">
      <c r="D5" s="29" t="s">
        <v>1905</v>
      </c>
    </row>
    <row r="6" spans="1:22" ht="12.75" customHeight="1" x14ac:dyDescent="0.15">
      <c r="E6" s="29" t="s">
        <v>1906</v>
      </c>
    </row>
    <row r="7" spans="1:22" ht="12.75" customHeight="1" x14ac:dyDescent="0.15">
      <c r="F7" s="29" t="s">
        <v>1907</v>
      </c>
      <c r="G7" s="30" t="s">
        <v>1908</v>
      </c>
      <c r="H7" s="30"/>
      <c r="I7" s="30" t="s">
        <v>1909</v>
      </c>
      <c r="J7" s="30"/>
      <c r="L7" s="30" t="s">
        <v>1910</v>
      </c>
      <c r="M7" s="30" t="s">
        <v>1911</v>
      </c>
      <c r="N7" s="30" t="s">
        <v>1912</v>
      </c>
      <c r="O7" s="30" t="s">
        <v>1913</v>
      </c>
      <c r="S7" s="29" t="s">
        <v>1914</v>
      </c>
      <c r="T7" s="29" t="s">
        <v>1915</v>
      </c>
    </row>
    <row r="8" spans="1:22" ht="12.75" customHeight="1" x14ac:dyDescent="0.15">
      <c r="F8" s="29" t="s">
        <v>1916</v>
      </c>
      <c r="G8" s="30" t="s">
        <v>1917</v>
      </c>
      <c r="H8" s="30"/>
      <c r="I8" s="30" t="s">
        <v>1909</v>
      </c>
      <c r="J8" s="30"/>
      <c r="L8" s="30" t="s">
        <v>1910</v>
      </c>
      <c r="M8" s="30" t="s">
        <v>1918</v>
      </c>
      <c r="N8" s="30" t="s">
        <v>1912</v>
      </c>
      <c r="O8" s="30" t="s">
        <v>1913</v>
      </c>
      <c r="S8" s="29" t="s">
        <v>1914</v>
      </c>
      <c r="T8" s="29" t="s">
        <v>1915</v>
      </c>
    </row>
    <row r="9" spans="1:22" ht="12.75" customHeight="1" x14ac:dyDescent="0.15">
      <c r="F9" s="29" t="s">
        <v>1919</v>
      </c>
      <c r="G9" s="30" t="s">
        <v>1920</v>
      </c>
      <c r="H9" s="30"/>
      <c r="I9" s="30" t="s">
        <v>1909</v>
      </c>
      <c r="J9" s="30"/>
      <c r="L9" s="30" t="s">
        <v>1910</v>
      </c>
      <c r="M9" s="30" t="s">
        <v>1921</v>
      </c>
      <c r="N9" s="30" t="s">
        <v>1912</v>
      </c>
      <c r="O9" s="30" t="s">
        <v>1913</v>
      </c>
      <c r="S9" s="29" t="s">
        <v>1914</v>
      </c>
      <c r="T9" s="29" t="s">
        <v>1915</v>
      </c>
    </row>
    <row r="10" spans="1:22" ht="12.75" customHeight="1" x14ac:dyDescent="0.15">
      <c r="F10" s="29" t="s">
        <v>1922</v>
      </c>
      <c r="G10" s="30" t="s">
        <v>1923</v>
      </c>
      <c r="H10" s="30"/>
      <c r="I10" s="30" t="s">
        <v>1909</v>
      </c>
      <c r="J10" s="30"/>
      <c r="L10" s="30" t="s">
        <v>1910</v>
      </c>
      <c r="M10" s="30" t="s">
        <v>1924</v>
      </c>
      <c r="N10" s="30" t="s">
        <v>1912</v>
      </c>
      <c r="O10" s="30" t="s">
        <v>1913</v>
      </c>
      <c r="S10" s="29" t="s">
        <v>1914</v>
      </c>
      <c r="T10" s="29" t="s">
        <v>1915</v>
      </c>
    </row>
    <row r="11" spans="1:22" ht="12.75" customHeight="1" x14ac:dyDescent="0.15">
      <c r="F11" s="29" t="s">
        <v>1925</v>
      </c>
      <c r="G11" s="30" t="s">
        <v>1926</v>
      </c>
      <c r="H11" s="30"/>
      <c r="I11" s="30" t="s">
        <v>1909</v>
      </c>
      <c r="J11" s="30"/>
      <c r="L11" s="30" t="s">
        <v>1910</v>
      </c>
      <c r="M11" s="30" t="s">
        <v>1927</v>
      </c>
      <c r="N11" s="30" t="s">
        <v>1912</v>
      </c>
      <c r="O11" s="30" t="s">
        <v>1913</v>
      </c>
      <c r="S11" s="29" t="s">
        <v>1914</v>
      </c>
      <c r="T11" s="29" t="s">
        <v>1915</v>
      </c>
    </row>
    <row r="12" spans="1:22" ht="12.75" customHeight="1" x14ac:dyDescent="0.15">
      <c r="F12" s="29" t="s">
        <v>1928</v>
      </c>
      <c r="G12" s="30" t="s">
        <v>1929</v>
      </c>
      <c r="H12" s="30"/>
      <c r="I12" s="30" t="s">
        <v>1909</v>
      </c>
      <c r="J12" s="30"/>
      <c r="L12" s="30" t="s">
        <v>1910</v>
      </c>
      <c r="M12" s="30" t="s">
        <v>1930</v>
      </c>
      <c r="N12" s="30" t="s">
        <v>1912</v>
      </c>
      <c r="O12" s="30" t="s">
        <v>1913</v>
      </c>
      <c r="S12" s="29" t="s">
        <v>1914</v>
      </c>
      <c r="T12" s="29" t="s">
        <v>1915</v>
      </c>
    </row>
    <row r="13" spans="1:22" ht="12.75" customHeight="1" x14ac:dyDescent="0.15">
      <c r="F13" s="29" t="s">
        <v>1931</v>
      </c>
      <c r="G13" s="30" t="s">
        <v>1932</v>
      </c>
      <c r="H13" s="30"/>
      <c r="I13" s="30" t="s">
        <v>1909</v>
      </c>
      <c r="J13" s="30"/>
      <c r="L13" s="30" t="s">
        <v>1910</v>
      </c>
      <c r="M13" s="30" t="s">
        <v>1933</v>
      </c>
      <c r="N13" s="30" t="s">
        <v>1912</v>
      </c>
      <c r="O13" s="30" t="s">
        <v>1913</v>
      </c>
      <c r="S13" s="29" t="s">
        <v>1914</v>
      </c>
      <c r="T13" s="29" t="s">
        <v>1915</v>
      </c>
    </row>
    <row r="14" spans="1:22" ht="12.75" customHeight="1" x14ac:dyDescent="0.15">
      <c r="F14" s="29" t="s">
        <v>1934</v>
      </c>
      <c r="G14" s="30" t="s">
        <v>1935</v>
      </c>
      <c r="H14" s="30"/>
      <c r="I14" s="30" t="s">
        <v>1909</v>
      </c>
      <c r="J14" s="30"/>
      <c r="L14" s="30" t="s">
        <v>1910</v>
      </c>
      <c r="M14" s="30" t="s">
        <v>1936</v>
      </c>
      <c r="N14" s="30" t="s">
        <v>1912</v>
      </c>
      <c r="O14" s="30" t="s">
        <v>1913</v>
      </c>
      <c r="S14" s="29" t="s">
        <v>1914</v>
      </c>
      <c r="T14" s="29" t="s">
        <v>1915</v>
      </c>
    </row>
    <row r="15" spans="1:22" ht="12.75" customHeight="1" x14ac:dyDescent="0.15">
      <c r="F15" s="29" t="s">
        <v>1535</v>
      </c>
      <c r="G15" s="30" t="s">
        <v>1937</v>
      </c>
      <c r="H15" s="30"/>
      <c r="I15" s="30" t="s">
        <v>1010</v>
      </c>
      <c r="J15" s="30"/>
      <c r="L15" s="29" t="s">
        <v>1508</v>
      </c>
      <c r="M15" s="30" t="s">
        <v>1938</v>
      </c>
      <c r="N15" s="29" t="s">
        <v>910</v>
      </c>
      <c r="O15" s="30" t="s">
        <v>1913</v>
      </c>
      <c r="S15" s="29" t="s">
        <v>76</v>
      </c>
      <c r="T15" s="29" t="s">
        <v>964</v>
      </c>
    </row>
    <row r="16" spans="1:22" ht="12.75" customHeight="1" x14ac:dyDescent="0.15">
      <c r="F16" s="29" t="s">
        <v>1539</v>
      </c>
      <c r="G16" s="30" t="s">
        <v>1939</v>
      </c>
      <c r="H16" s="30"/>
      <c r="I16" s="30" t="s">
        <v>1010</v>
      </c>
      <c r="J16" s="30"/>
      <c r="L16" s="29" t="s">
        <v>1508</v>
      </c>
      <c r="M16" s="30" t="s">
        <v>1940</v>
      </c>
      <c r="N16" s="29" t="s">
        <v>910</v>
      </c>
      <c r="O16" s="30" t="s">
        <v>1913</v>
      </c>
      <c r="S16" s="29" t="s">
        <v>76</v>
      </c>
      <c r="T16" s="29" t="s">
        <v>964</v>
      </c>
    </row>
    <row r="17" spans="6:20" ht="12.75" customHeight="1" x14ac:dyDescent="0.15">
      <c r="F17" s="29" t="s">
        <v>1541</v>
      </c>
      <c r="G17" s="30" t="s">
        <v>1941</v>
      </c>
      <c r="H17" s="30"/>
      <c r="I17" s="30" t="s">
        <v>1010</v>
      </c>
      <c r="J17" s="30"/>
      <c r="L17" s="29" t="s">
        <v>1508</v>
      </c>
      <c r="M17" s="30" t="s">
        <v>1942</v>
      </c>
      <c r="N17" s="29" t="s">
        <v>910</v>
      </c>
      <c r="O17" s="30" t="s">
        <v>1913</v>
      </c>
      <c r="S17" s="29" t="s">
        <v>76</v>
      </c>
      <c r="T17" s="29" t="s">
        <v>964</v>
      </c>
    </row>
    <row r="18" spans="6:20" ht="12.75" customHeight="1" x14ac:dyDescent="0.15">
      <c r="F18" s="29" t="s">
        <v>1545</v>
      </c>
      <c r="G18" s="30" t="s">
        <v>1943</v>
      </c>
      <c r="H18" s="30"/>
      <c r="I18" s="30" t="s">
        <v>1010</v>
      </c>
      <c r="J18" s="30"/>
      <c r="L18" s="29" t="s">
        <v>1508</v>
      </c>
      <c r="M18" s="30" t="s">
        <v>1944</v>
      </c>
      <c r="N18" s="29" t="s">
        <v>910</v>
      </c>
      <c r="O18" s="30" t="s">
        <v>1913</v>
      </c>
      <c r="S18" s="29" t="s">
        <v>76</v>
      </c>
      <c r="T18" s="29" t="s">
        <v>964</v>
      </c>
    </row>
    <row r="19" spans="6:20" ht="12.75" customHeight="1" x14ac:dyDescent="0.15">
      <c r="F19" s="29" t="s">
        <v>1547</v>
      </c>
      <c r="G19" s="30" t="s">
        <v>1945</v>
      </c>
      <c r="H19" s="30"/>
      <c r="I19" s="30" t="s">
        <v>1010</v>
      </c>
      <c r="J19" s="30"/>
      <c r="L19" s="29" t="s">
        <v>1508</v>
      </c>
      <c r="M19" s="30" t="s">
        <v>1946</v>
      </c>
      <c r="N19" s="29" t="s">
        <v>910</v>
      </c>
      <c r="O19" s="30" t="s">
        <v>1913</v>
      </c>
      <c r="S19" s="29" t="s">
        <v>76</v>
      </c>
      <c r="T19" s="29" t="s">
        <v>964</v>
      </c>
    </row>
    <row r="20" spans="6:20" ht="12.75" customHeight="1" x14ac:dyDescent="0.15">
      <c r="F20" s="29" t="s">
        <v>1549</v>
      </c>
      <c r="G20" s="30" t="s">
        <v>1947</v>
      </c>
      <c r="H20" s="30"/>
      <c r="I20" s="30" t="s">
        <v>1010</v>
      </c>
      <c r="J20" s="30"/>
      <c r="L20" s="29" t="s">
        <v>1508</v>
      </c>
      <c r="M20" s="30" t="s">
        <v>1948</v>
      </c>
      <c r="N20" s="29" t="s">
        <v>910</v>
      </c>
      <c r="O20" s="30" t="s">
        <v>1913</v>
      </c>
      <c r="S20" s="29" t="s">
        <v>76</v>
      </c>
      <c r="T20" s="29" t="s">
        <v>964</v>
      </c>
    </row>
    <row r="21" spans="6:20" ht="12.75" customHeight="1" x14ac:dyDescent="0.15">
      <c r="F21" s="29" t="s">
        <v>1551</v>
      </c>
      <c r="G21" s="30" t="s">
        <v>1949</v>
      </c>
      <c r="H21" s="30"/>
      <c r="I21" s="30" t="s">
        <v>1010</v>
      </c>
      <c r="J21" s="30"/>
      <c r="L21" s="29" t="s">
        <v>1508</v>
      </c>
      <c r="M21" s="30" t="s">
        <v>1950</v>
      </c>
      <c r="N21" s="29" t="s">
        <v>910</v>
      </c>
      <c r="O21" s="30" t="s">
        <v>1913</v>
      </c>
      <c r="S21" s="29" t="s">
        <v>76</v>
      </c>
      <c r="T21" s="29" t="s">
        <v>964</v>
      </c>
    </row>
    <row r="22" spans="6:20" ht="12.75" customHeight="1" x14ac:dyDescent="0.15">
      <c r="F22" s="29" t="s">
        <v>1554</v>
      </c>
      <c r="G22" s="30" t="s">
        <v>1951</v>
      </c>
      <c r="H22" s="30"/>
      <c r="I22" s="30" t="s">
        <v>1010</v>
      </c>
      <c r="J22" s="30"/>
      <c r="L22" s="29" t="s">
        <v>1508</v>
      </c>
      <c r="M22" s="30" t="s">
        <v>1952</v>
      </c>
      <c r="N22" s="29" t="s">
        <v>910</v>
      </c>
      <c r="O22" s="30" t="s">
        <v>1913</v>
      </c>
      <c r="S22" s="29" t="s">
        <v>76</v>
      </c>
      <c r="T22" s="29" t="s">
        <v>964</v>
      </c>
    </row>
    <row r="23" spans="6:20" ht="12.75" customHeight="1" x14ac:dyDescent="0.15">
      <c r="F23" s="29" t="s">
        <v>1558</v>
      </c>
      <c r="G23" s="30" t="s">
        <v>1953</v>
      </c>
      <c r="H23" s="30"/>
      <c r="I23" s="30" t="s">
        <v>1010</v>
      </c>
      <c r="J23" s="30"/>
      <c r="L23" s="29" t="s">
        <v>1508</v>
      </c>
      <c r="M23" s="30" t="s">
        <v>1954</v>
      </c>
      <c r="N23" s="29" t="s">
        <v>910</v>
      </c>
      <c r="O23" s="30" t="s">
        <v>1913</v>
      </c>
      <c r="S23" s="29" t="s">
        <v>76</v>
      </c>
      <c r="T23" s="29" t="s">
        <v>964</v>
      </c>
    </row>
    <row r="24" spans="6:20" ht="12.75" customHeight="1" x14ac:dyDescent="0.15">
      <c r="F24" s="29" t="s">
        <v>1560</v>
      </c>
      <c r="G24" s="30" t="s">
        <v>1955</v>
      </c>
      <c r="H24" s="30"/>
      <c r="I24" s="30" t="s">
        <v>1010</v>
      </c>
      <c r="J24" s="30"/>
      <c r="L24" s="29" t="s">
        <v>1508</v>
      </c>
      <c r="M24" s="30" t="s">
        <v>1956</v>
      </c>
      <c r="N24" s="30" t="s">
        <v>911</v>
      </c>
      <c r="O24" s="30" t="s">
        <v>1913</v>
      </c>
      <c r="S24" s="29" t="s">
        <v>76</v>
      </c>
      <c r="T24" s="29" t="s">
        <v>964</v>
      </c>
    </row>
    <row r="25" spans="6:20" ht="12.75" customHeight="1" x14ac:dyDescent="0.15">
      <c r="F25" s="29" t="s">
        <v>1563</v>
      </c>
      <c r="G25" s="30" t="s">
        <v>1957</v>
      </c>
      <c r="H25" s="30"/>
      <c r="I25" s="30" t="s">
        <v>1010</v>
      </c>
      <c r="J25" s="30"/>
      <c r="L25" s="29" t="s">
        <v>1508</v>
      </c>
      <c r="M25" s="30" t="s">
        <v>1958</v>
      </c>
      <c r="N25" s="30" t="s">
        <v>911</v>
      </c>
      <c r="O25" s="30" t="s">
        <v>1913</v>
      </c>
      <c r="S25" s="29" t="s">
        <v>76</v>
      </c>
      <c r="T25" s="29" t="s">
        <v>964</v>
      </c>
    </row>
    <row r="26" spans="6:20" ht="12.75" customHeight="1" x14ac:dyDescent="0.15">
      <c r="F26" s="29" t="s">
        <v>1566</v>
      </c>
      <c r="G26" s="30" t="s">
        <v>1959</v>
      </c>
      <c r="H26" s="30"/>
      <c r="I26" s="30" t="s">
        <v>1010</v>
      </c>
      <c r="J26" s="30"/>
      <c r="L26" s="29" t="s">
        <v>1508</v>
      </c>
      <c r="M26" s="30" t="s">
        <v>1960</v>
      </c>
      <c r="N26" s="30" t="s">
        <v>911</v>
      </c>
      <c r="O26" s="30" t="s">
        <v>1913</v>
      </c>
      <c r="S26" s="29" t="s">
        <v>76</v>
      </c>
      <c r="T26" s="29" t="s">
        <v>964</v>
      </c>
    </row>
    <row r="27" spans="6:20" ht="12.75" customHeight="1" x14ac:dyDescent="0.15">
      <c r="F27" s="29" t="s">
        <v>1569</v>
      </c>
      <c r="G27" s="30" t="s">
        <v>1961</v>
      </c>
      <c r="H27" s="30"/>
      <c r="I27" s="30" t="s">
        <v>1010</v>
      </c>
      <c r="J27" s="30"/>
      <c r="L27" s="29" t="s">
        <v>1508</v>
      </c>
      <c r="M27" s="30" t="s">
        <v>1962</v>
      </c>
      <c r="N27" s="30" t="s">
        <v>911</v>
      </c>
      <c r="O27" s="30" t="s">
        <v>1913</v>
      </c>
      <c r="S27" s="29" t="s">
        <v>76</v>
      </c>
      <c r="T27" s="29" t="s">
        <v>964</v>
      </c>
    </row>
    <row r="28" spans="6:20" ht="12.75" customHeight="1" x14ac:dyDescent="0.15">
      <c r="F28" s="29" t="s">
        <v>1572</v>
      </c>
      <c r="G28" s="30" t="s">
        <v>1963</v>
      </c>
      <c r="H28" s="30"/>
      <c r="I28" s="30" t="s">
        <v>1010</v>
      </c>
      <c r="J28" s="30"/>
      <c r="L28" s="29" t="s">
        <v>1508</v>
      </c>
      <c r="M28" s="30" t="s">
        <v>1964</v>
      </c>
      <c r="N28" s="30" t="s">
        <v>911</v>
      </c>
      <c r="O28" s="30" t="s">
        <v>1913</v>
      </c>
      <c r="S28" s="29" t="s">
        <v>76</v>
      </c>
      <c r="T28" s="29" t="s">
        <v>964</v>
      </c>
    </row>
    <row r="29" spans="6:20" ht="12.75" customHeight="1" x14ac:dyDescent="0.15">
      <c r="F29" s="29" t="s">
        <v>1575</v>
      </c>
      <c r="G29" s="30" t="s">
        <v>1965</v>
      </c>
      <c r="H29" s="30"/>
      <c r="I29" s="30" t="s">
        <v>1010</v>
      </c>
      <c r="J29" s="30"/>
      <c r="L29" s="29" t="s">
        <v>1508</v>
      </c>
      <c r="M29" s="30" t="s">
        <v>1966</v>
      </c>
      <c r="N29" s="30" t="s">
        <v>911</v>
      </c>
      <c r="O29" s="30" t="s">
        <v>1913</v>
      </c>
      <c r="S29" s="29" t="s">
        <v>76</v>
      </c>
      <c r="T29" s="29" t="s">
        <v>964</v>
      </c>
    </row>
    <row r="30" spans="6:20" ht="12.75" customHeight="1" x14ac:dyDescent="0.15">
      <c r="F30" s="29" t="s">
        <v>1578</v>
      </c>
      <c r="G30" s="30" t="s">
        <v>1967</v>
      </c>
      <c r="H30" s="30"/>
      <c r="I30" s="30" t="s">
        <v>1010</v>
      </c>
      <c r="J30" s="30"/>
      <c r="L30" s="29" t="s">
        <v>1508</v>
      </c>
      <c r="M30" s="30" t="s">
        <v>1968</v>
      </c>
      <c r="N30" s="30" t="s">
        <v>911</v>
      </c>
      <c r="O30" s="30" t="s">
        <v>1913</v>
      </c>
      <c r="S30" s="29" t="s">
        <v>76</v>
      </c>
      <c r="T30" s="29" t="s">
        <v>964</v>
      </c>
    </row>
    <row r="31" spans="6:20" ht="12.75" customHeight="1" x14ac:dyDescent="0.15">
      <c r="F31" s="29" t="s">
        <v>1580</v>
      </c>
      <c r="G31" s="30" t="s">
        <v>1969</v>
      </c>
      <c r="H31" s="30"/>
      <c r="I31" s="30" t="s">
        <v>1010</v>
      </c>
      <c r="J31" s="30"/>
      <c r="L31" s="29" t="s">
        <v>1508</v>
      </c>
      <c r="M31" s="30" t="s">
        <v>1970</v>
      </c>
      <c r="N31" s="30" t="s">
        <v>911</v>
      </c>
      <c r="O31" s="30" t="s">
        <v>1913</v>
      </c>
      <c r="S31" s="29" t="s">
        <v>76</v>
      </c>
      <c r="T31" s="29" t="s">
        <v>964</v>
      </c>
    </row>
    <row r="32" spans="6:20" ht="12.75" customHeight="1" x14ac:dyDescent="0.15">
      <c r="F32" s="29" t="s">
        <v>1582</v>
      </c>
      <c r="G32" s="30" t="s">
        <v>1971</v>
      </c>
      <c r="H32" s="30"/>
      <c r="I32" s="30" t="s">
        <v>1010</v>
      </c>
      <c r="J32" s="30"/>
      <c r="L32" s="29" t="s">
        <v>1508</v>
      </c>
      <c r="M32" s="30" t="s">
        <v>1972</v>
      </c>
      <c r="N32" s="30" t="s">
        <v>911</v>
      </c>
      <c r="O32" s="30" t="s">
        <v>1913</v>
      </c>
      <c r="S32" s="29" t="s">
        <v>76</v>
      </c>
      <c r="T32" s="29" t="s">
        <v>964</v>
      </c>
    </row>
    <row r="33" spans="6:20" ht="12.75" customHeight="1" x14ac:dyDescent="0.15">
      <c r="F33" s="29" t="s">
        <v>1585</v>
      </c>
      <c r="G33" s="30" t="s">
        <v>1973</v>
      </c>
      <c r="H33" s="30"/>
      <c r="I33" s="30" t="s">
        <v>1010</v>
      </c>
      <c r="J33" s="30"/>
      <c r="L33" s="29" t="s">
        <v>1508</v>
      </c>
      <c r="M33" s="30" t="s">
        <v>1974</v>
      </c>
      <c r="N33" s="30" t="s">
        <v>911</v>
      </c>
      <c r="O33" s="30" t="s">
        <v>1913</v>
      </c>
      <c r="S33" s="29" t="s">
        <v>76</v>
      </c>
      <c r="T33" s="29" t="s">
        <v>964</v>
      </c>
    </row>
    <row r="34" spans="6:20" ht="12.75" customHeight="1" x14ac:dyDescent="0.15">
      <c r="F34" s="29" t="s">
        <v>1587</v>
      </c>
      <c r="G34" s="30" t="s">
        <v>1975</v>
      </c>
      <c r="H34" s="30"/>
      <c r="I34" s="30" t="s">
        <v>1010</v>
      </c>
      <c r="J34" s="30"/>
      <c r="L34" s="29" t="s">
        <v>1508</v>
      </c>
      <c r="M34" s="30" t="s">
        <v>1976</v>
      </c>
      <c r="N34" s="30" t="s">
        <v>911</v>
      </c>
      <c r="O34" s="30" t="s">
        <v>1913</v>
      </c>
      <c r="S34" s="29" t="s">
        <v>76</v>
      </c>
      <c r="T34" s="29" t="s">
        <v>964</v>
      </c>
    </row>
    <row r="35" spans="6:20" ht="12.75" customHeight="1" x14ac:dyDescent="0.15">
      <c r="F35" s="29" t="s">
        <v>1590</v>
      </c>
      <c r="G35" s="30" t="s">
        <v>1977</v>
      </c>
      <c r="H35" s="30"/>
      <c r="I35" s="30" t="s">
        <v>1010</v>
      </c>
      <c r="J35" s="30"/>
      <c r="L35" s="29" t="s">
        <v>1508</v>
      </c>
      <c r="M35" s="30" t="s">
        <v>1978</v>
      </c>
      <c r="N35" s="30" t="s">
        <v>911</v>
      </c>
      <c r="O35" s="30" t="s">
        <v>1913</v>
      </c>
      <c r="S35" s="29" t="s">
        <v>76</v>
      </c>
      <c r="T35" s="29" t="s">
        <v>964</v>
      </c>
    </row>
    <row r="36" spans="6:20" ht="12.75" customHeight="1" x14ac:dyDescent="0.15">
      <c r="F36" s="29" t="s">
        <v>1592</v>
      </c>
      <c r="G36" s="30" t="s">
        <v>1979</v>
      </c>
      <c r="H36" s="30"/>
      <c r="I36" s="30" t="s">
        <v>1010</v>
      </c>
      <c r="J36" s="30"/>
      <c r="L36" s="29" t="s">
        <v>1508</v>
      </c>
      <c r="M36" s="30" t="s">
        <v>1980</v>
      </c>
      <c r="N36" s="30" t="s">
        <v>911</v>
      </c>
      <c r="O36" s="30" t="s">
        <v>1913</v>
      </c>
      <c r="S36" s="29" t="s">
        <v>76</v>
      </c>
      <c r="T36" s="29" t="s">
        <v>964</v>
      </c>
    </row>
    <row r="37" spans="6:20" ht="12.75" customHeight="1" x14ac:dyDescent="0.15">
      <c r="F37" s="29" t="s">
        <v>1595</v>
      </c>
      <c r="G37" s="30" t="s">
        <v>1981</v>
      </c>
      <c r="H37" s="30"/>
      <c r="I37" s="30" t="s">
        <v>1010</v>
      </c>
      <c r="J37" s="30"/>
      <c r="L37" s="29" t="s">
        <v>1508</v>
      </c>
      <c r="M37" s="30" t="s">
        <v>1982</v>
      </c>
      <c r="N37" s="30" t="s">
        <v>911</v>
      </c>
      <c r="O37" s="30" t="s">
        <v>1913</v>
      </c>
      <c r="S37" s="29" t="s">
        <v>76</v>
      </c>
      <c r="T37" s="29" t="s">
        <v>964</v>
      </c>
    </row>
    <row r="38" spans="6:20" ht="12.75" customHeight="1" x14ac:dyDescent="0.15">
      <c r="F38" s="29" t="s">
        <v>1597</v>
      </c>
      <c r="G38" s="30" t="s">
        <v>1983</v>
      </c>
      <c r="H38" s="30"/>
      <c r="I38" s="30" t="s">
        <v>1010</v>
      </c>
      <c r="J38" s="30"/>
      <c r="L38" s="29" t="s">
        <v>1508</v>
      </c>
      <c r="M38" s="30" t="s">
        <v>1984</v>
      </c>
      <c r="N38" s="30" t="s">
        <v>911</v>
      </c>
      <c r="O38" s="30" t="s">
        <v>1913</v>
      </c>
      <c r="S38" s="29" t="s">
        <v>76</v>
      </c>
      <c r="T38" s="29" t="s">
        <v>964</v>
      </c>
    </row>
    <row r="39" spans="6:20" ht="12.75" customHeight="1" x14ac:dyDescent="0.15">
      <c r="F39" s="29" t="s">
        <v>1599</v>
      </c>
      <c r="G39" s="30" t="s">
        <v>1985</v>
      </c>
      <c r="H39" s="30"/>
      <c r="I39" s="30" t="s">
        <v>1010</v>
      </c>
      <c r="J39" s="30"/>
      <c r="L39" s="29" t="s">
        <v>1508</v>
      </c>
      <c r="M39" s="30" t="s">
        <v>1986</v>
      </c>
      <c r="N39" s="30" t="s">
        <v>911</v>
      </c>
      <c r="O39" s="30" t="s">
        <v>1913</v>
      </c>
      <c r="S39" s="29" t="s">
        <v>76</v>
      </c>
      <c r="T39" s="29" t="s">
        <v>964</v>
      </c>
    </row>
    <row r="40" spans="6:20" ht="12.75" customHeight="1" x14ac:dyDescent="0.15">
      <c r="F40" s="29" t="s">
        <v>1602</v>
      </c>
      <c r="G40" s="30" t="s">
        <v>1987</v>
      </c>
      <c r="H40" s="30"/>
      <c r="I40" s="30" t="s">
        <v>1010</v>
      </c>
      <c r="J40" s="30"/>
      <c r="L40" s="29" t="s">
        <v>1508</v>
      </c>
      <c r="M40" s="30" t="s">
        <v>1988</v>
      </c>
      <c r="N40" s="30" t="s">
        <v>911</v>
      </c>
      <c r="O40" s="30" t="s">
        <v>1913</v>
      </c>
      <c r="S40" s="29" t="s">
        <v>76</v>
      </c>
      <c r="T40" s="29" t="s">
        <v>964</v>
      </c>
    </row>
    <row r="41" spans="6:20" ht="12.75" customHeight="1" x14ac:dyDescent="0.15">
      <c r="F41" s="29" t="s">
        <v>1604</v>
      </c>
      <c r="G41" s="30" t="s">
        <v>1989</v>
      </c>
      <c r="H41" s="30"/>
      <c r="I41" s="30" t="s">
        <v>142</v>
      </c>
      <c r="J41" s="30"/>
      <c r="L41" s="29" t="s">
        <v>1508</v>
      </c>
      <c r="M41" s="30" t="s">
        <v>1990</v>
      </c>
      <c r="N41" s="30" t="s">
        <v>914</v>
      </c>
      <c r="O41" s="30" t="s">
        <v>1913</v>
      </c>
      <c r="S41" s="29" t="s">
        <v>76</v>
      </c>
      <c r="T41" s="29" t="s">
        <v>964</v>
      </c>
    </row>
    <row r="42" spans="6:20" ht="12.75" customHeight="1" x14ac:dyDescent="0.15">
      <c r="F42" s="29" t="s">
        <v>1607</v>
      </c>
      <c r="G42" s="30" t="s">
        <v>1991</v>
      </c>
      <c r="H42" s="30"/>
      <c r="I42" s="30" t="s">
        <v>142</v>
      </c>
      <c r="J42" s="30"/>
      <c r="L42" s="29" t="s">
        <v>1508</v>
      </c>
      <c r="M42" s="30" t="s">
        <v>1992</v>
      </c>
      <c r="N42" s="30" t="s">
        <v>914</v>
      </c>
      <c r="O42" s="30" t="s">
        <v>1913</v>
      </c>
      <c r="S42" s="29" t="s">
        <v>76</v>
      </c>
      <c r="T42" s="29" t="s">
        <v>964</v>
      </c>
    </row>
    <row r="43" spans="6:20" ht="12.75" customHeight="1" x14ac:dyDescent="0.15">
      <c r="F43" s="29" t="s">
        <v>1609</v>
      </c>
      <c r="G43" s="30" t="s">
        <v>1993</v>
      </c>
      <c r="H43" s="30"/>
      <c r="I43" s="30" t="s">
        <v>142</v>
      </c>
      <c r="J43" s="30"/>
      <c r="L43" s="29" t="s">
        <v>1508</v>
      </c>
      <c r="M43" s="30" t="s">
        <v>1994</v>
      </c>
      <c r="N43" s="30" t="s">
        <v>914</v>
      </c>
      <c r="O43" s="30" t="s">
        <v>1913</v>
      </c>
      <c r="S43" s="29" t="s">
        <v>76</v>
      </c>
      <c r="T43" s="29" t="s">
        <v>964</v>
      </c>
    </row>
    <row r="44" spans="6:20" ht="12.75" customHeight="1" x14ac:dyDescent="0.15">
      <c r="F44" s="29" t="s">
        <v>1611</v>
      </c>
      <c r="G44" s="30" t="s">
        <v>1995</v>
      </c>
      <c r="H44" s="30"/>
      <c r="I44" s="30" t="s">
        <v>142</v>
      </c>
      <c r="J44" s="30"/>
      <c r="L44" s="29" t="s">
        <v>1508</v>
      </c>
      <c r="M44" s="30" t="s">
        <v>1996</v>
      </c>
      <c r="N44" s="30" t="s">
        <v>914</v>
      </c>
      <c r="O44" s="30" t="s">
        <v>1913</v>
      </c>
      <c r="S44" s="29" t="s">
        <v>76</v>
      </c>
      <c r="T44" s="29" t="s">
        <v>964</v>
      </c>
    </row>
    <row r="45" spans="6:20" ht="12.75" customHeight="1" x14ac:dyDescent="0.15">
      <c r="F45" s="29" t="s">
        <v>1613</v>
      </c>
      <c r="G45" s="30" t="s">
        <v>1997</v>
      </c>
      <c r="H45" s="30"/>
      <c r="I45" s="30" t="s">
        <v>142</v>
      </c>
      <c r="J45" s="30"/>
      <c r="L45" s="29" t="s">
        <v>1508</v>
      </c>
      <c r="M45" s="30" t="s">
        <v>1998</v>
      </c>
      <c r="N45" s="30" t="s">
        <v>914</v>
      </c>
      <c r="O45" s="30" t="s">
        <v>1913</v>
      </c>
      <c r="S45" s="29" t="s">
        <v>76</v>
      </c>
      <c r="T45" s="29" t="s">
        <v>964</v>
      </c>
    </row>
    <row r="46" spans="6:20" ht="12.75" customHeight="1" x14ac:dyDescent="0.15">
      <c r="F46" s="29" t="s">
        <v>1615</v>
      </c>
      <c r="G46" s="30" t="s">
        <v>1999</v>
      </c>
      <c r="H46" s="30"/>
      <c r="I46" s="30" t="s">
        <v>142</v>
      </c>
      <c r="J46" s="30"/>
      <c r="L46" s="29" t="s">
        <v>1508</v>
      </c>
      <c r="M46" s="30" t="s">
        <v>2000</v>
      </c>
      <c r="N46" s="30" t="s">
        <v>914</v>
      </c>
      <c r="O46" s="30" t="s">
        <v>1913</v>
      </c>
      <c r="S46" s="29" t="s">
        <v>76</v>
      </c>
      <c r="T46" s="29" t="s">
        <v>964</v>
      </c>
    </row>
    <row r="47" spans="6:20" ht="12.75" customHeight="1" x14ac:dyDescent="0.15">
      <c r="F47" s="29" t="s">
        <v>1617</v>
      </c>
      <c r="G47" s="30" t="s">
        <v>2001</v>
      </c>
      <c r="H47" s="30"/>
      <c r="I47" s="30" t="s">
        <v>142</v>
      </c>
      <c r="J47" s="30"/>
      <c r="L47" s="29" t="s">
        <v>1508</v>
      </c>
      <c r="M47" s="30" t="s">
        <v>2002</v>
      </c>
      <c r="N47" s="30" t="s">
        <v>914</v>
      </c>
      <c r="O47" s="30" t="s">
        <v>1913</v>
      </c>
      <c r="S47" s="29" t="s">
        <v>76</v>
      </c>
      <c r="T47" s="29" t="s">
        <v>964</v>
      </c>
    </row>
    <row r="48" spans="6:20" ht="12.75" customHeight="1" x14ac:dyDescent="0.15">
      <c r="F48" s="29" t="s">
        <v>1619</v>
      </c>
      <c r="G48" s="30" t="s">
        <v>2003</v>
      </c>
      <c r="H48" s="30"/>
      <c r="I48" s="30" t="s">
        <v>142</v>
      </c>
      <c r="J48" s="30"/>
      <c r="L48" s="29" t="s">
        <v>1508</v>
      </c>
      <c r="M48" s="30" t="s">
        <v>2004</v>
      </c>
      <c r="N48" s="30" t="s">
        <v>914</v>
      </c>
      <c r="O48" s="30" t="s">
        <v>1913</v>
      </c>
      <c r="S48" s="29" t="s">
        <v>76</v>
      </c>
      <c r="T48" s="29" t="s">
        <v>964</v>
      </c>
    </row>
    <row r="49" spans="6:20" ht="12.75" customHeight="1" x14ac:dyDescent="0.15">
      <c r="F49" s="29" t="s">
        <v>1621</v>
      </c>
      <c r="G49" s="30" t="s">
        <v>2005</v>
      </c>
      <c r="H49" s="30"/>
      <c r="I49" s="30" t="s">
        <v>142</v>
      </c>
      <c r="J49" s="30"/>
      <c r="L49" s="29" t="s">
        <v>1508</v>
      </c>
      <c r="M49" s="30" t="s">
        <v>2006</v>
      </c>
      <c r="N49" s="30" t="s">
        <v>914</v>
      </c>
      <c r="O49" s="30" t="s">
        <v>1913</v>
      </c>
      <c r="S49" s="29" t="s">
        <v>76</v>
      </c>
      <c r="T49" s="29" t="s">
        <v>964</v>
      </c>
    </row>
    <row r="50" spans="6:20" ht="12.75" customHeight="1" x14ac:dyDescent="0.15">
      <c r="F50" s="29" t="s">
        <v>1623</v>
      </c>
      <c r="G50" s="30" t="s">
        <v>2007</v>
      </c>
      <c r="H50" s="30"/>
      <c r="I50" s="30" t="s">
        <v>142</v>
      </c>
      <c r="J50" s="30"/>
      <c r="L50" s="29" t="s">
        <v>1508</v>
      </c>
      <c r="M50" s="30" t="s">
        <v>2008</v>
      </c>
      <c r="N50" s="30" t="s">
        <v>914</v>
      </c>
      <c r="O50" s="30" t="s">
        <v>1913</v>
      </c>
      <c r="S50" s="29" t="s">
        <v>76</v>
      </c>
      <c r="T50" s="29" t="s">
        <v>964</v>
      </c>
    </row>
    <row r="51" spans="6:20" ht="12.75" customHeight="1" x14ac:dyDescent="0.15">
      <c r="F51" s="29" t="s">
        <v>1625</v>
      </c>
      <c r="G51" s="30" t="s">
        <v>2009</v>
      </c>
      <c r="H51" s="30"/>
      <c r="I51" s="30" t="s">
        <v>142</v>
      </c>
      <c r="J51" s="30"/>
      <c r="L51" s="29" t="s">
        <v>1508</v>
      </c>
      <c r="M51" s="30" t="s">
        <v>2010</v>
      </c>
      <c r="N51" s="30" t="s">
        <v>914</v>
      </c>
      <c r="O51" s="30" t="s">
        <v>1913</v>
      </c>
      <c r="S51" s="29" t="s">
        <v>76</v>
      </c>
      <c r="T51" s="29" t="s">
        <v>964</v>
      </c>
    </row>
    <row r="52" spans="6:20" ht="12.75" customHeight="1" x14ac:dyDescent="0.15">
      <c r="F52" s="29" t="s">
        <v>1627</v>
      </c>
      <c r="G52" s="30" t="s">
        <v>2011</v>
      </c>
      <c r="H52" s="30"/>
      <c r="I52" s="30" t="s">
        <v>142</v>
      </c>
      <c r="J52" s="30"/>
      <c r="L52" s="29" t="s">
        <v>1508</v>
      </c>
      <c r="M52" s="30" t="s">
        <v>2012</v>
      </c>
      <c r="N52" s="30" t="s">
        <v>914</v>
      </c>
      <c r="O52" s="30" t="s">
        <v>1913</v>
      </c>
      <c r="S52" s="29" t="s">
        <v>76</v>
      </c>
      <c r="T52" s="29" t="s">
        <v>964</v>
      </c>
    </row>
    <row r="53" spans="6:20" ht="12.75" customHeight="1" x14ac:dyDescent="0.15">
      <c r="F53" s="29" t="s">
        <v>1629</v>
      </c>
      <c r="G53" s="30" t="s">
        <v>2013</v>
      </c>
      <c r="H53" s="30"/>
      <c r="I53" s="30" t="s">
        <v>142</v>
      </c>
      <c r="J53" s="30"/>
      <c r="L53" s="29" t="s">
        <v>1508</v>
      </c>
      <c r="M53" s="30" t="s">
        <v>2014</v>
      </c>
      <c r="N53" s="30" t="s">
        <v>914</v>
      </c>
      <c r="O53" s="30" t="s">
        <v>1913</v>
      </c>
      <c r="S53" s="29" t="s">
        <v>76</v>
      </c>
      <c r="T53" s="29" t="s">
        <v>964</v>
      </c>
    </row>
    <row r="54" spans="6:20" ht="12.75" customHeight="1" x14ac:dyDescent="0.15">
      <c r="F54" s="29" t="s">
        <v>1631</v>
      </c>
      <c r="G54" s="30" t="s">
        <v>2015</v>
      </c>
      <c r="H54" s="30"/>
      <c r="I54" s="30" t="s">
        <v>142</v>
      </c>
      <c r="J54" s="30"/>
      <c r="L54" s="29" t="s">
        <v>1508</v>
      </c>
      <c r="M54" s="30" t="s">
        <v>2016</v>
      </c>
      <c r="N54" s="30" t="s">
        <v>914</v>
      </c>
      <c r="O54" s="30" t="s">
        <v>1913</v>
      </c>
      <c r="S54" s="29" t="s">
        <v>76</v>
      </c>
      <c r="T54" s="29" t="s">
        <v>964</v>
      </c>
    </row>
    <row r="55" spans="6:20" ht="12.75" customHeight="1" x14ac:dyDescent="0.15">
      <c r="F55" s="29" t="s">
        <v>1633</v>
      </c>
      <c r="G55" s="30" t="s">
        <v>2017</v>
      </c>
      <c r="H55" s="30"/>
      <c r="I55" s="30" t="s">
        <v>142</v>
      </c>
      <c r="J55" s="30"/>
      <c r="L55" s="29" t="s">
        <v>1508</v>
      </c>
      <c r="M55" s="30" t="s">
        <v>2018</v>
      </c>
      <c r="N55" s="30" t="s">
        <v>914</v>
      </c>
      <c r="O55" s="30" t="s">
        <v>1913</v>
      </c>
      <c r="S55" s="29" t="s">
        <v>76</v>
      </c>
      <c r="T55" s="29" t="s">
        <v>964</v>
      </c>
    </row>
    <row r="56" spans="6:20" ht="12.75" customHeight="1" x14ac:dyDescent="0.15">
      <c r="F56" s="29" t="s">
        <v>1635</v>
      </c>
      <c r="G56" s="30" t="s">
        <v>2019</v>
      </c>
      <c r="H56" s="30"/>
      <c r="I56" s="30" t="s">
        <v>142</v>
      </c>
      <c r="J56" s="30"/>
      <c r="L56" s="29" t="s">
        <v>1508</v>
      </c>
      <c r="M56" s="30" t="s">
        <v>2020</v>
      </c>
      <c r="N56" s="30" t="s">
        <v>914</v>
      </c>
      <c r="O56" s="30" t="s">
        <v>1913</v>
      </c>
      <c r="S56" s="29" t="s">
        <v>76</v>
      </c>
      <c r="T56" s="29" t="s">
        <v>964</v>
      </c>
    </row>
    <row r="57" spans="6:20" ht="12.75" customHeight="1" x14ac:dyDescent="0.15">
      <c r="F57" s="29" t="s">
        <v>1637</v>
      </c>
      <c r="G57" s="30" t="s">
        <v>2021</v>
      </c>
      <c r="H57" s="30"/>
      <c r="I57" s="30" t="s">
        <v>142</v>
      </c>
      <c r="J57" s="30"/>
      <c r="L57" s="29" t="s">
        <v>1508</v>
      </c>
      <c r="M57" s="30" t="s">
        <v>2022</v>
      </c>
      <c r="N57" s="30" t="s">
        <v>914</v>
      </c>
      <c r="O57" s="30" t="s">
        <v>1913</v>
      </c>
      <c r="S57" s="29" t="s">
        <v>76</v>
      </c>
      <c r="T57" s="29" t="s">
        <v>964</v>
      </c>
    </row>
    <row r="58" spans="6:20" ht="12.75" customHeight="1" x14ac:dyDescent="0.15">
      <c r="F58" s="29" t="s">
        <v>1639</v>
      </c>
      <c r="G58" s="30" t="s">
        <v>2023</v>
      </c>
      <c r="H58" s="30"/>
      <c r="I58" s="30" t="s">
        <v>1010</v>
      </c>
      <c r="J58" s="30"/>
      <c r="L58" s="29" t="s">
        <v>1320</v>
      </c>
      <c r="M58" s="30" t="s">
        <v>2024</v>
      </c>
      <c r="N58" s="30" t="s">
        <v>2025</v>
      </c>
      <c r="O58" s="30" t="s">
        <v>1913</v>
      </c>
      <c r="S58" s="29" t="s">
        <v>76</v>
      </c>
      <c r="T58" s="29" t="s">
        <v>964</v>
      </c>
    </row>
    <row r="59" spans="6:20" ht="12.75" customHeight="1" x14ac:dyDescent="0.15">
      <c r="F59" s="29" t="s">
        <v>1642</v>
      </c>
      <c r="G59" s="30" t="s">
        <v>2026</v>
      </c>
      <c r="H59" s="30"/>
      <c r="I59" s="30" t="s">
        <v>1010</v>
      </c>
      <c r="J59" s="30"/>
      <c r="L59" s="29" t="s">
        <v>1320</v>
      </c>
      <c r="M59" s="30" t="s">
        <v>2027</v>
      </c>
      <c r="N59" s="30" t="s">
        <v>2025</v>
      </c>
      <c r="O59" s="30" t="s">
        <v>1913</v>
      </c>
      <c r="S59" s="29" t="s">
        <v>76</v>
      </c>
      <c r="T59" s="29" t="s">
        <v>964</v>
      </c>
    </row>
    <row r="60" spans="6:20" ht="12.75" customHeight="1" x14ac:dyDescent="0.15">
      <c r="F60" s="29" t="s">
        <v>1644</v>
      </c>
      <c r="G60" s="30" t="s">
        <v>2028</v>
      </c>
      <c r="H60" s="30"/>
      <c r="I60" s="30" t="s">
        <v>1010</v>
      </c>
      <c r="J60" s="30"/>
      <c r="L60" s="29" t="s">
        <v>1320</v>
      </c>
      <c r="M60" s="30" t="s">
        <v>2029</v>
      </c>
      <c r="N60" s="30" t="s">
        <v>2030</v>
      </c>
      <c r="O60" s="30" t="s">
        <v>1913</v>
      </c>
      <c r="S60" s="29" t="s">
        <v>76</v>
      </c>
      <c r="T60" s="29" t="s">
        <v>964</v>
      </c>
    </row>
    <row r="61" spans="6:20" ht="12.75" customHeight="1" x14ac:dyDescent="0.15">
      <c r="F61" s="29" t="s">
        <v>1647</v>
      </c>
      <c r="G61" s="30" t="s">
        <v>2031</v>
      </c>
      <c r="H61" s="30"/>
      <c r="I61" s="30" t="s">
        <v>1010</v>
      </c>
      <c r="J61" s="30"/>
      <c r="L61" s="29" t="s">
        <v>1320</v>
      </c>
      <c r="M61" s="30" t="s">
        <v>2032</v>
      </c>
      <c r="N61" s="30" t="s">
        <v>2033</v>
      </c>
      <c r="O61" s="30" t="s">
        <v>1913</v>
      </c>
      <c r="S61" s="29" t="s">
        <v>76</v>
      </c>
      <c r="T61" s="29" t="s">
        <v>964</v>
      </c>
    </row>
    <row r="62" spans="6:20" ht="12.75" customHeight="1" x14ac:dyDescent="0.15">
      <c r="F62" s="29" t="s">
        <v>1650</v>
      </c>
      <c r="G62" s="30" t="s">
        <v>2034</v>
      </c>
      <c r="H62" s="30"/>
      <c r="I62" s="30" t="s">
        <v>1010</v>
      </c>
      <c r="J62" s="30"/>
      <c r="L62" s="29" t="s">
        <v>1320</v>
      </c>
      <c r="M62" s="30" t="s">
        <v>2035</v>
      </c>
      <c r="N62" s="30" t="s">
        <v>2036</v>
      </c>
      <c r="O62" s="30" t="s">
        <v>1913</v>
      </c>
      <c r="S62" s="29" t="s">
        <v>76</v>
      </c>
      <c r="T62" s="29" t="s">
        <v>964</v>
      </c>
    </row>
    <row r="63" spans="6:20" ht="12.75" customHeight="1" x14ac:dyDescent="0.15">
      <c r="F63" s="29" t="s">
        <v>1653</v>
      </c>
      <c r="G63" s="30" t="s">
        <v>2037</v>
      </c>
      <c r="H63" s="30"/>
      <c r="I63" s="30" t="s">
        <v>1010</v>
      </c>
      <c r="J63" s="30"/>
      <c r="L63" s="29" t="s">
        <v>1320</v>
      </c>
      <c r="M63" s="30" t="s">
        <v>2038</v>
      </c>
      <c r="N63" s="30" t="s">
        <v>2039</v>
      </c>
      <c r="O63" s="30" t="s">
        <v>1913</v>
      </c>
      <c r="S63" s="29" t="s">
        <v>76</v>
      </c>
      <c r="T63" s="29" t="s">
        <v>964</v>
      </c>
    </row>
    <row r="64" spans="6:20" ht="12.75" customHeight="1" x14ac:dyDescent="0.15">
      <c r="F64" s="29" t="s">
        <v>1656</v>
      </c>
      <c r="G64" s="30" t="s">
        <v>2040</v>
      </c>
      <c r="H64" s="30"/>
      <c r="I64" s="30" t="s">
        <v>1010</v>
      </c>
      <c r="J64" s="30"/>
      <c r="L64" s="29" t="s">
        <v>1320</v>
      </c>
      <c r="M64" s="30" t="s">
        <v>2041</v>
      </c>
      <c r="N64" s="30" t="s">
        <v>2042</v>
      </c>
      <c r="O64" s="30" t="s">
        <v>1913</v>
      </c>
      <c r="S64" s="29" t="s">
        <v>76</v>
      </c>
      <c r="T64" s="29" t="s">
        <v>964</v>
      </c>
    </row>
    <row r="65" spans="6:20" ht="12.75" customHeight="1" x14ac:dyDescent="0.15">
      <c r="F65" s="29" t="s">
        <v>1659</v>
      </c>
      <c r="G65" s="30" t="s">
        <v>2043</v>
      </c>
      <c r="H65" s="30"/>
      <c r="I65" s="30" t="s">
        <v>1010</v>
      </c>
      <c r="J65" s="30"/>
      <c r="L65" s="29" t="s">
        <v>1320</v>
      </c>
      <c r="M65" s="30" t="s">
        <v>2044</v>
      </c>
      <c r="N65" s="30" t="s">
        <v>2045</v>
      </c>
      <c r="O65" s="30" t="s">
        <v>1913</v>
      </c>
      <c r="S65" s="29" t="s">
        <v>76</v>
      </c>
      <c r="T65" s="29" t="s">
        <v>964</v>
      </c>
    </row>
    <row r="66" spans="6:20" ht="12.75" customHeight="1" x14ac:dyDescent="0.15">
      <c r="F66" s="29" t="s">
        <v>1662</v>
      </c>
      <c r="G66" s="30" t="s">
        <v>2046</v>
      </c>
      <c r="H66" s="30"/>
      <c r="I66" s="30" t="s">
        <v>1010</v>
      </c>
      <c r="J66" s="30"/>
      <c r="L66" s="29" t="s">
        <v>1320</v>
      </c>
      <c r="M66" s="30" t="s">
        <v>2047</v>
      </c>
      <c r="N66" s="30" t="s">
        <v>2048</v>
      </c>
      <c r="O66" s="30" t="s">
        <v>1913</v>
      </c>
      <c r="S66" s="29" t="s">
        <v>76</v>
      </c>
      <c r="T66" s="29" t="s">
        <v>964</v>
      </c>
    </row>
    <row r="67" spans="6:20" ht="12.75" customHeight="1" x14ac:dyDescent="0.15">
      <c r="F67" s="29" t="s">
        <v>1665</v>
      </c>
      <c r="G67" s="30" t="s">
        <v>2049</v>
      </c>
      <c r="H67" s="30"/>
      <c r="I67" s="30" t="s">
        <v>1010</v>
      </c>
      <c r="J67" s="30"/>
      <c r="L67" s="29" t="s">
        <v>1320</v>
      </c>
      <c r="M67" s="30" t="s">
        <v>2050</v>
      </c>
      <c r="N67" s="30" t="s">
        <v>2051</v>
      </c>
      <c r="O67" s="30" t="s">
        <v>1913</v>
      </c>
      <c r="S67" s="29" t="s">
        <v>76</v>
      </c>
      <c r="T67" s="29" t="s">
        <v>964</v>
      </c>
    </row>
    <row r="68" spans="6:20" ht="12.75" customHeight="1" x14ac:dyDescent="0.15">
      <c r="F68" s="29" t="s">
        <v>1668</v>
      </c>
      <c r="G68" s="30" t="s">
        <v>2052</v>
      </c>
      <c r="H68" s="30"/>
      <c r="I68" s="30" t="s">
        <v>1010</v>
      </c>
      <c r="J68" s="30"/>
      <c r="L68" s="29" t="s">
        <v>1320</v>
      </c>
      <c r="M68" s="30" t="s">
        <v>2053</v>
      </c>
      <c r="N68" s="30" t="s">
        <v>2054</v>
      </c>
      <c r="O68" s="30" t="s">
        <v>1913</v>
      </c>
      <c r="S68" s="29" t="s">
        <v>76</v>
      </c>
      <c r="T68" s="29" t="s">
        <v>964</v>
      </c>
    </row>
    <row r="69" spans="6:20" ht="12.75" customHeight="1" x14ac:dyDescent="0.15">
      <c r="F69" s="29" t="s">
        <v>1671</v>
      </c>
      <c r="G69" s="30" t="s">
        <v>2055</v>
      </c>
      <c r="H69" s="30"/>
      <c r="I69" s="30" t="s">
        <v>1010</v>
      </c>
      <c r="J69" s="30"/>
      <c r="L69" s="29" t="s">
        <v>1320</v>
      </c>
      <c r="M69" s="30" t="s">
        <v>2056</v>
      </c>
      <c r="N69" s="30" t="s">
        <v>2057</v>
      </c>
      <c r="O69" s="30" t="s">
        <v>1913</v>
      </c>
      <c r="S69" s="29" t="s">
        <v>76</v>
      </c>
      <c r="T69" s="29" t="s">
        <v>964</v>
      </c>
    </row>
    <row r="70" spans="6:20" ht="12.75" customHeight="1" x14ac:dyDescent="0.15">
      <c r="F70" s="29" t="s">
        <v>1674</v>
      </c>
      <c r="G70" s="30" t="s">
        <v>2058</v>
      </c>
      <c r="H70" s="30"/>
      <c r="I70" s="30" t="s">
        <v>1010</v>
      </c>
      <c r="J70" s="30"/>
      <c r="L70" s="29" t="s">
        <v>1320</v>
      </c>
      <c r="M70" s="30" t="s">
        <v>2059</v>
      </c>
      <c r="N70" s="30" t="s">
        <v>2060</v>
      </c>
      <c r="O70" s="30" t="s">
        <v>1913</v>
      </c>
      <c r="S70" s="29" t="s">
        <v>76</v>
      </c>
      <c r="T70" s="29" t="s">
        <v>964</v>
      </c>
    </row>
    <row r="71" spans="6:20" ht="12.75" customHeight="1" x14ac:dyDescent="0.15">
      <c r="F71" s="29" t="s">
        <v>1677</v>
      </c>
      <c r="G71" s="30" t="s">
        <v>2061</v>
      </c>
      <c r="H71" s="30"/>
      <c r="I71" s="30" t="s">
        <v>1010</v>
      </c>
      <c r="J71" s="30"/>
      <c r="L71" s="29" t="s">
        <v>1320</v>
      </c>
      <c r="M71" s="30" t="s">
        <v>2062</v>
      </c>
      <c r="N71" s="30" t="s">
        <v>2060</v>
      </c>
      <c r="O71" s="30" t="s">
        <v>1913</v>
      </c>
      <c r="S71" s="29" t="s">
        <v>76</v>
      </c>
      <c r="T71" s="29" t="s">
        <v>964</v>
      </c>
    </row>
    <row r="72" spans="6:20" ht="12.75" customHeight="1" x14ac:dyDescent="0.15">
      <c r="F72" s="29" t="s">
        <v>1679</v>
      </c>
      <c r="G72" s="30" t="s">
        <v>2063</v>
      </c>
      <c r="H72" s="30"/>
      <c r="I72" s="30" t="s">
        <v>1010</v>
      </c>
      <c r="J72" s="30"/>
      <c r="L72" s="29" t="s">
        <v>1320</v>
      </c>
      <c r="M72" s="30" t="s">
        <v>2064</v>
      </c>
      <c r="N72" s="30" t="s">
        <v>2065</v>
      </c>
      <c r="O72" s="30" t="s">
        <v>1913</v>
      </c>
      <c r="S72" s="29" t="s">
        <v>76</v>
      </c>
      <c r="T72" s="29" t="s">
        <v>964</v>
      </c>
    </row>
    <row r="73" spans="6:20" ht="12.75" customHeight="1" x14ac:dyDescent="0.15">
      <c r="F73" s="29" t="s">
        <v>1682</v>
      </c>
      <c r="G73" s="30" t="s">
        <v>2066</v>
      </c>
      <c r="H73" s="30"/>
      <c r="I73" s="30" t="s">
        <v>1010</v>
      </c>
      <c r="J73" s="30"/>
      <c r="L73" s="29" t="s">
        <v>1320</v>
      </c>
      <c r="M73" s="30" t="s">
        <v>2067</v>
      </c>
      <c r="N73" s="30" t="s">
        <v>2054</v>
      </c>
      <c r="O73" s="30" t="s">
        <v>1913</v>
      </c>
      <c r="S73" s="29" t="s">
        <v>76</v>
      </c>
      <c r="T73" s="29" t="s">
        <v>964</v>
      </c>
    </row>
    <row r="74" spans="6:20" ht="12.75" customHeight="1" x14ac:dyDescent="0.15">
      <c r="F74" s="29" t="s">
        <v>1684</v>
      </c>
      <c r="G74" s="30" t="s">
        <v>2068</v>
      </c>
      <c r="H74" s="30"/>
      <c r="I74" s="30" t="s">
        <v>1010</v>
      </c>
      <c r="J74" s="30"/>
      <c r="L74" s="29" t="s">
        <v>1320</v>
      </c>
      <c r="M74" s="30" t="s">
        <v>2069</v>
      </c>
      <c r="N74" s="30" t="s">
        <v>2070</v>
      </c>
      <c r="O74" s="30" t="s">
        <v>1913</v>
      </c>
      <c r="S74" s="29" t="s">
        <v>76</v>
      </c>
      <c r="T74" s="29" t="s">
        <v>964</v>
      </c>
    </row>
    <row r="75" spans="6:20" ht="12.75" customHeight="1" x14ac:dyDescent="0.15">
      <c r="F75" s="29" t="s">
        <v>1687</v>
      </c>
      <c r="G75" s="30" t="s">
        <v>2071</v>
      </c>
      <c r="H75" s="30"/>
      <c r="I75" s="30" t="s">
        <v>1010</v>
      </c>
      <c r="J75" s="30"/>
      <c r="L75" s="29" t="s">
        <v>1320</v>
      </c>
      <c r="M75" s="30" t="s">
        <v>2072</v>
      </c>
      <c r="N75" s="30" t="s">
        <v>2073</v>
      </c>
      <c r="O75" s="30" t="s">
        <v>1913</v>
      </c>
      <c r="S75" s="29" t="s">
        <v>76</v>
      </c>
      <c r="T75" s="29" t="s">
        <v>964</v>
      </c>
    </row>
    <row r="76" spans="6:20" ht="12.75" customHeight="1" x14ac:dyDescent="0.15">
      <c r="F76" s="29" t="s">
        <v>1690</v>
      </c>
      <c r="G76" s="30" t="s">
        <v>2074</v>
      </c>
      <c r="H76" s="30"/>
      <c r="I76" s="30" t="s">
        <v>1010</v>
      </c>
      <c r="J76" s="30"/>
      <c r="L76" s="29" t="s">
        <v>1320</v>
      </c>
      <c r="M76" s="30" t="s">
        <v>2075</v>
      </c>
      <c r="N76" s="30" t="s">
        <v>2076</v>
      </c>
      <c r="O76" s="30" t="s">
        <v>1913</v>
      </c>
      <c r="S76" s="29" t="s">
        <v>76</v>
      </c>
      <c r="T76" s="29" t="s">
        <v>964</v>
      </c>
    </row>
    <row r="77" spans="6:20" ht="12.75" customHeight="1" x14ac:dyDescent="0.15">
      <c r="F77" s="29" t="s">
        <v>1693</v>
      </c>
      <c r="G77" s="30" t="s">
        <v>2077</v>
      </c>
      <c r="H77" s="30"/>
      <c r="I77" s="30" t="s">
        <v>1010</v>
      </c>
      <c r="J77" s="30"/>
      <c r="L77" s="29" t="s">
        <v>1320</v>
      </c>
      <c r="M77" s="30" t="s">
        <v>2078</v>
      </c>
      <c r="N77" s="30" t="s">
        <v>2079</v>
      </c>
      <c r="O77" s="30" t="s">
        <v>1913</v>
      </c>
      <c r="S77" s="29" t="s">
        <v>76</v>
      </c>
      <c r="T77" s="29" t="s">
        <v>964</v>
      </c>
    </row>
    <row r="78" spans="6:20" ht="12.75" customHeight="1" x14ac:dyDescent="0.15">
      <c r="F78" s="29" t="s">
        <v>1696</v>
      </c>
      <c r="G78" s="30" t="s">
        <v>2080</v>
      </c>
      <c r="H78" s="30"/>
      <c r="I78" s="30" t="s">
        <v>1010</v>
      </c>
      <c r="J78" s="30"/>
      <c r="L78" s="29" t="s">
        <v>1320</v>
      </c>
      <c r="M78" s="30" t="s">
        <v>2081</v>
      </c>
      <c r="N78" s="30" t="s">
        <v>2082</v>
      </c>
      <c r="O78" s="30" t="s">
        <v>1913</v>
      </c>
      <c r="S78" s="29" t="s">
        <v>76</v>
      </c>
      <c r="T78" s="29" t="s">
        <v>964</v>
      </c>
    </row>
    <row r="79" spans="6:20" ht="12.75" customHeight="1" x14ac:dyDescent="0.15">
      <c r="F79" s="29" t="s">
        <v>1699</v>
      </c>
      <c r="G79" s="30" t="s">
        <v>2083</v>
      </c>
      <c r="H79" s="30"/>
      <c r="I79" s="30" t="s">
        <v>1010</v>
      </c>
      <c r="J79" s="30"/>
      <c r="L79" s="29" t="s">
        <v>1320</v>
      </c>
      <c r="M79" s="30" t="s">
        <v>2084</v>
      </c>
      <c r="N79" s="30" t="s">
        <v>2085</v>
      </c>
      <c r="O79" s="30" t="s">
        <v>1913</v>
      </c>
      <c r="S79" s="29" t="s">
        <v>76</v>
      </c>
      <c r="T79" s="29" t="s">
        <v>964</v>
      </c>
    </row>
    <row r="80" spans="6:20" ht="12.75" customHeight="1" x14ac:dyDescent="0.15">
      <c r="F80" s="29" t="s">
        <v>1702</v>
      </c>
      <c r="G80" s="30" t="s">
        <v>2086</v>
      </c>
      <c r="H80" s="30"/>
      <c r="I80" s="30" t="s">
        <v>142</v>
      </c>
      <c r="J80" s="30"/>
      <c r="L80" s="29" t="s">
        <v>1320</v>
      </c>
      <c r="M80" s="30" t="s">
        <v>924</v>
      </c>
      <c r="N80" s="30" t="s">
        <v>922</v>
      </c>
      <c r="O80" s="30" t="s">
        <v>1913</v>
      </c>
      <c r="S80" s="29" t="s">
        <v>76</v>
      </c>
      <c r="T80" s="29" t="s">
        <v>964</v>
      </c>
    </row>
    <row r="81" spans="5:20" ht="12.75" customHeight="1" x14ac:dyDescent="0.15">
      <c r="E81" s="29" t="s">
        <v>2087</v>
      </c>
    </row>
    <row r="82" spans="5:20" ht="12.75" customHeight="1" x14ac:dyDescent="0.15">
      <c r="F82" s="29" t="s">
        <v>1706</v>
      </c>
      <c r="G82" s="30" t="s">
        <v>2088</v>
      </c>
      <c r="H82" s="30"/>
      <c r="I82" s="30" t="s">
        <v>1010</v>
      </c>
      <c r="J82" s="30"/>
      <c r="L82" s="29" t="s">
        <v>1320</v>
      </c>
      <c r="M82" s="30" t="s">
        <v>2089</v>
      </c>
      <c r="N82" s="30" t="s">
        <v>2090</v>
      </c>
      <c r="O82" s="30" t="s">
        <v>1913</v>
      </c>
      <c r="S82" s="29" t="s">
        <v>76</v>
      </c>
      <c r="T82" s="29" t="s">
        <v>964</v>
      </c>
    </row>
    <row r="83" spans="5:20" ht="12.75" customHeight="1" x14ac:dyDescent="0.15">
      <c r="F83" s="29" t="s">
        <v>1709</v>
      </c>
      <c r="G83" s="30" t="s">
        <v>2091</v>
      </c>
      <c r="H83" s="30"/>
      <c r="I83" s="30" t="s">
        <v>1010</v>
      </c>
      <c r="J83" s="30"/>
      <c r="L83" s="29" t="s">
        <v>1320</v>
      </c>
      <c r="M83" s="30" t="s">
        <v>2092</v>
      </c>
      <c r="N83" s="30" t="s">
        <v>2093</v>
      </c>
      <c r="O83" s="30" t="s">
        <v>1913</v>
      </c>
      <c r="S83" s="29" t="s">
        <v>76</v>
      </c>
      <c r="T83" s="29" t="s">
        <v>964</v>
      </c>
    </row>
    <row r="84" spans="5:20" ht="12.75" customHeight="1" x14ac:dyDescent="0.15">
      <c r="F84" s="29" t="s">
        <v>1712</v>
      </c>
      <c r="G84" s="30" t="s">
        <v>2094</v>
      </c>
      <c r="H84" s="30"/>
      <c r="I84" s="30" t="s">
        <v>1010</v>
      </c>
      <c r="J84" s="30"/>
      <c r="L84" s="29" t="s">
        <v>1320</v>
      </c>
      <c r="M84" s="30" t="s">
        <v>2095</v>
      </c>
      <c r="N84" s="30" t="s">
        <v>2096</v>
      </c>
      <c r="O84" s="30" t="s">
        <v>1913</v>
      </c>
      <c r="S84" s="29" t="s">
        <v>76</v>
      </c>
      <c r="T84" s="29" t="s">
        <v>964</v>
      </c>
    </row>
    <row r="85" spans="5:20" ht="12.75" customHeight="1" x14ac:dyDescent="0.15">
      <c r="F85" s="29" t="s">
        <v>1715</v>
      </c>
      <c r="G85" s="30" t="s">
        <v>2097</v>
      </c>
      <c r="H85" s="30"/>
      <c r="I85" s="30" t="s">
        <v>1010</v>
      </c>
      <c r="J85" s="30"/>
      <c r="L85" s="29" t="s">
        <v>1320</v>
      </c>
      <c r="M85" s="30" t="s">
        <v>2098</v>
      </c>
      <c r="N85" s="30" t="s">
        <v>2099</v>
      </c>
      <c r="O85" s="30" t="s">
        <v>1913</v>
      </c>
      <c r="S85" s="29" t="s">
        <v>76</v>
      </c>
      <c r="T85" s="29" t="s">
        <v>964</v>
      </c>
    </row>
    <row r="86" spans="5:20" ht="12.75" customHeight="1" x14ac:dyDescent="0.15">
      <c r="F86" s="29" t="s">
        <v>1718</v>
      </c>
      <c r="G86" s="30" t="s">
        <v>2100</v>
      </c>
      <c r="H86" s="30"/>
      <c r="I86" s="30" t="s">
        <v>1010</v>
      </c>
      <c r="J86" s="30"/>
      <c r="L86" s="29" t="s">
        <v>1320</v>
      </c>
      <c r="M86" s="30" t="s">
        <v>2101</v>
      </c>
      <c r="N86" s="30" t="s">
        <v>2102</v>
      </c>
      <c r="O86" s="30" t="s">
        <v>1913</v>
      </c>
      <c r="S86" s="29" t="s">
        <v>76</v>
      </c>
      <c r="T86" s="29" t="s">
        <v>964</v>
      </c>
    </row>
    <row r="87" spans="5:20" ht="12.75" customHeight="1" x14ac:dyDescent="0.15">
      <c r="F87" s="29" t="s">
        <v>1721</v>
      </c>
      <c r="G87" s="30" t="s">
        <v>2103</v>
      </c>
      <c r="H87" s="30"/>
      <c r="I87" s="30" t="s">
        <v>1010</v>
      </c>
      <c r="J87" s="30"/>
      <c r="L87" s="29" t="s">
        <v>1320</v>
      </c>
      <c r="M87" s="30" t="s">
        <v>2104</v>
      </c>
      <c r="N87" s="30" t="s">
        <v>2105</v>
      </c>
      <c r="O87" s="30" t="s">
        <v>1913</v>
      </c>
      <c r="S87" s="29" t="s">
        <v>76</v>
      </c>
      <c r="T87" s="29" t="s">
        <v>964</v>
      </c>
    </row>
    <row r="88" spans="5:20" ht="12.75" customHeight="1" x14ac:dyDescent="0.15">
      <c r="F88" s="29" t="s">
        <v>1724</v>
      </c>
      <c r="G88" s="30" t="s">
        <v>2106</v>
      </c>
      <c r="H88" s="30"/>
      <c r="I88" s="30" t="s">
        <v>1010</v>
      </c>
      <c r="J88" s="30"/>
      <c r="L88" s="29" t="s">
        <v>1320</v>
      </c>
      <c r="M88" s="30" t="s">
        <v>2107</v>
      </c>
      <c r="N88" s="30" t="s">
        <v>2108</v>
      </c>
      <c r="O88" s="30" t="s">
        <v>1913</v>
      </c>
      <c r="S88" s="29" t="s">
        <v>76</v>
      </c>
      <c r="T88" s="29" t="s">
        <v>964</v>
      </c>
    </row>
    <row r="89" spans="5:20" ht="12.75" customHeight="1" x14ac:dyDescent="0.15">
      <c r="F89" s="29" t="s">
        <v>1727</v>
      </c>
      <c r="G89" s="30" t="s">
        <v>2109</v>
      </c>
      <c r="H89" s="30"/>
      <c r="I89" s="30" t="s">
        <v>1010</v>
      </c>
      <c r="J89" s="30"/>
      <c r="L89" s="29" t="s">
        <v>1320</v>
      </c>
      <c r="M89" s="30" t="s">
        <v>2110</v>
      </c>
      <c r="N89" s="30" t="s">
        <v>2111</v>
      </c>
      <c r="O89" s="30" t="s">
        <v>1913</v>
      </c>
      <c r="S89" s="29" t="s">
        <v>76</v>
      </c>
      <c r="T89" s="29" t="s">
        <v>964</v>
      </c>
    </row>
    <row r="90" spans="5:20" ht="12.75" customHeight="1" x14ac:dyDescent="0.15">
      <c r="F90" s="29" t="s">
        <v>1730</v>
      </c>
      <c r="G90" s="30" t="s">
        <v>2112</v>
      </c>
      <c r="H90" s="30"/>
      <c r="I90" s="30" t="s">
        <v>1010</v>
      </c>
      <c r="J90" s="30"/>
      <c r="L90" s="29" t="s">
        <v>1320</v>
      </c>
      <c r="M90" s="30" t="s">
        <v>2113</v>
      </c>
      <c r="N90" s="30" t="s">
        <v>2114</v>
      </c>
      <c r="O90" s="30" t="s">
        <v>1913</v>
      </c>
      <c r="S90" s="29" t="s">
        <v>76</v>
      </c>
      <c r="T90" s="29" t="s">
        <v>964</v>
      </c>
    </row>
    <row r="91" spans="5:20" ht="12.75" customHeight="1" x14ac:dyDescent="0.15">
      <c r="F91" s="29" t="s">
        <v>1733</v>
      </c>
      <c r="G91" s="30" t="s">
        <v>2115</v>
      </c>
      <c r="H91" s="30"/>
      <c r="I91" s="30" t="s">
        <v>1010</v>
      </c>
      <c r="J91" s="30"/>
      <c r="L91" s="29" t="s">
        <v>1320</v>
      </c>
      <c r="M91" s="30" t="s">
        <v>2116</v>
      </c>
      <c r="N91" s="30" t="s">
        <v>2117</v>
      </c>
      <c r="O91" s="30" t="s">
        <v>1913</v>
      </c>
      <c r="S91" s="29" t="s">
        <v>76</v>
      </c>
      <c r="T91" s="29" t="s">
        <v>964</v>
      </c>
    </row>
    <row r="92" spans="5:20" ht="12.75" customHeight="1" x14ac:dyDescent="0.15">
      <c r="F92" s="29" t="s">
        <v>1736</v>
      </c>
      <c r="G92" s="30" t="s">
        <v>2118</v>
      </c>
      <c r="H92" s="30"/>
      <c r="I92" s="30" t="s">
        <v>1010</v>
      </c>
      <c r="J92" s="30"/>
      <c r="L92" s="29" t="s">
        <v>1320</v>
      </c>
      <c r="M92" s="30" t="s">
        <v>2119</v>
      </c>
      <c r="N92" s="30" t="s">
        <v>2120</v>
      </c>
      <c r="O92" s="30" t="s">
        <v>1913</v>
      </c>
      <c r="S92" s="29" t="s">
        <v>76</v>
      </c>
      <c r="T92" s="29" t="s">
        <v>964</v>
      </c>
    </row>
    <row r="93" spans="5:20" ht="12.75" customHeight="1" x14ac:dyDescent="0.15">
      <c r="F93" s="29" t="s">
        <v>1739</v>
      </c>
      <c r="G93" s="30" t="s">
        <v>2121</v>
      </c>
      <c r="H93" s="30"/>
      <c r="I93" s="30" t="s">
        <v>1010</v>
      </c>
      <c r="J93" s="30"/>
      <c r="L93" s="29" t="s">
        <v>1320</v>
      </c>
      <c r="M93" s="30" t="s">
        <v>2122</v>
      </c>
      <c r="N93" s="30" t="s">
        <v>2120</v>
      </c>
      <c r="O93" s="30" t="s">
        <v>1913</v>
      </c>
      <c r="S93" s="29" t="s">
        <v>76</v>
      </c>
      <c r="T93" s="29" t="s">
        <v>964</v>
      </c>
    </row>
    <row r="94" spans="5:20" ht="12.75" customHeight="1" x14ac:dyDescent="0.15">
      <c r="F94" s="29" t="s">
        <v>1741</v>
      </c>
      <c r="G94" s="30" t="s">
        <v>2123</v>
      </c>
      <c r="H94" s="30"/>
      <c r="I94" s="30" t="s">
        <v>144</v>
      </c>
      <c r="J94" s="30"/>
      <c r="L94" s="29" t="s">
        <v>1320</v>
      </c>
      <c r="M94" s="30" t="s">
        <v>2124</v>
      </c>
      <c r="N94" s="30" t="s">
        <v>2120</v>
      </c>
      <c r="O94" s="30" t="s">
        <v>1913</v>
      </c>
      <c r="S94" s="29" t="s">
        <v>76</v>
      </c>
      <c r="T94" s="29" t="s">
        <v>1023</v>
      </c>
    </row>
    <row r="95" spans="5:20" ht="12.75" customHeight="1" x14ac:dyDescent="0.15">
      <c r="F95" s="29" t="s">
        <v>1743</v>
      </c>
      <c r="G95" s="30" t="s">
        <v>2125</v>
      </c>
      <c r="H95" s="30"/>
      <c r="I95" s="30" t="s">
        <v>144</v>
      </c>
      <c r="J95" s="30"/>
      <c r="L95" s="29" t="s">
        <v>1320</v>
      </c>
      <c r="M95" s="30" t="s">
        <v>2126</v>
      </c>
      <c r="N95" s="30" t="s">
        <v>2120</v>
      </c>
      <c r="O95" s="30" t="s">
        <v>1913</v>
      </c>
      <c r="S95" s="29" t="s">
        <v>76</v>
      </c>
      <c r="T95" s="29" t="s">
        <v>1023</v>
      </c>
    </row>
    <row r="96" spans="5:20" ht="12.75" customHeight="1" x14ac:dyDescent="0.15">
      <c r="F96" s="29" t="s">
        <v>952</v>
      </c>
      <c r="G96" s="30" t="s">
        <v>2127</v>
      </c>
      <c r="H96" s="30"/>
      <c r="I96" s="30" t="s">
        <v>142</v>
      </c>
      <c r="J96" s="30"/>
      <c r="L96" s="29" t="s">
        <v>1320</v>
      </c>
      <c r="M96" s="30" t="s">
        <v>2128</v>
      </c>
      <c r="N96" s="30" t="s">
        <v>2129</v>
      </c>
      <c r="O96" s="30" t="s">
        <v>1913</v>
      </c>
      <c r="S96" s="29" t="s">
        <v>76</v>
      </c>
      <c r="T96" s="29" t="s">
        <v>964</v>
      </c>
    </row>
    <row r="97" spans="5:20" ht="12.75" customHeight="1" x14ac:dyDescent="0.15">
      <c r="F97" s="29" t="s">
        <v>929</v>
      </c>
      <c r="G97" s="30" t="s">
        <v>2130</v>
      </c>
      <c r="H97" s="30"/>
      <c r="I97" s="30" t="s">
        <v>142</v>
      </c>
      <c r="J97" s="30"/>
      <c r="L97" s="29" t="s">
        <v>1320</v>
      </c>
      <c r="M97" s="30" t="s">
        <v>2131</v>
      </c>
      <c r="N97" s="30" t="s">
        <v>2132</v>
      </c>
      <c r="O97" s="30" t="s">
        <v>1913</v>
      </c>
      <c r="S97" s="29" t="s">
        <v>76</v>
      </c>
      <c r="T97" s="29" t="s">
        <v>964</v>
      </c>
    </row>
    <row r="98" spans="5:20" ht="12.75" customHeight="1" x14ac:dyDescent="0.15">
      <c r="F98" s="29" t="s">
        <v>1749</v>
      </c>
      <c r="G98" s="30" t="s">
        <v>2133</v>
      </c>
      <c r="H98" s="30"/>
      <c r="I98" s="30" t="s">
        <v>142</v>
      </c>
      <c r="J98" s="30"/>
      <c r="L98" s="29" t="s">
        <v>1320</v>
      </c>
      <c r="M98" s="30" t="s">
        <v>2134</v>
      </c>
      <c r="N98" s="30" t="s">
        <v>2135</v>
      </c>
      <c r="O98" s="30" t="s">
        <v>1913</v>
      </c>
      <c r="S98" s="29" t="s">
        <v>76</v>
      </c>
      <c r="T98" s="29" t="s">
        <v>964</v>
      </c>
    </row>
    <row r="99" spans="5:20" ht="12.75" customHeight="1" x14ac:dyDescent="0.15">
      <c r="F99" s="29" t="s">
        <v>960</v>
      </c>
      <c r="G99" s="30" t="s">
        <v>2136</v>
      </c>
      <c r="H99" s="30"/>
      <c r="I99" s="30" t="s">
        <v>144</v>
      </c>
      <c r="J99" s="30"/>
      <c r="L99" s="29" t="s">
        <v>1320</v>
      </c>
      <c r="M99" s="30" t="s">
        <v>2137</v>
      </c>
      <c r="N99" s="30" t="s">
        <v>941</v>
      </c>
      <c r="O99" s="30" t="s">
        <v>1913</v>
      </c>
      <c r="S99" s="29" t="s">
        <v>77</v>
      </c>
      <c r="T99" s="29" t="s">
        <v>1023</v>
      </c>
    </row>
    <row r="100" spans="5:20" ht="12.75" customHeight="1" x14ac:dyDescent="0.15">
      <c r="F100" s="29" t="s">
        <v>962</v>
      </c>
      <c r="G100" s="30" t="s">
        <v>2138</v>
      </c>
      <c r="H100" s="30"/>
      <c r="I100" s="30" t="s">
        <v>144</v>
      </c>
      <c r="J100" s="30"/>
      <c r="L100" s="29" t="s">
        <v>1320</v>
      </c>
      <c r="M100" s="30" t="s">
        <v>2139</v>
      </c>
      <c r="N100" s="30" t="s">
        <v>2140</v>
      </c>
      <c r="O100" s="30" t="s">
        <v>1913</v>
      </c>
      <c r="S100" s="29" t="s">
        <v>77</v>
      </c>
      <c r="T100" s="29" t="s">
        <v>1023</v>
      </c>
    </row>
    <row r="101" spans="5:20" ht="12.75" customHeight="1" x14ac:dyDescent="0.15">
      <c r="F101" s="29" t="s">
        <v>939</v>
      </c>
      <c r="G101" s="30" t="s">
        <v>2141</v>
      </c>
      <c r="H101" s="30"/>
      <c r="I101" s="30" t="s">
        <v>144</v>
      </c>
      <c r="J101" s="30"/>
      <c r="L101" s="29" t="s">
        <v>1320</v>
      </c>
      <c r="M101" s="30" t="s">
        <v>2142</v>
      </c>
      <c r="N101" s="30" t="s">
        <v>2140</v>
      </c>
      <c r="O101" s="30" t="s">
        <v>1913</v>
      </c>
      <c r="S101" s="29" t="s">
        <v>77</v>
      </c>
      <c r="T101" s="29" t="s">
        <v>1023</v>
      </c>
    </row>
    <row r="102" spans="5:20" ht="12.75" customHeight="1" x14ac:dyDescent="0.15">
      <c r="E102" s="29" t="s">
        <v>2143</v>
      </c>
    </row>
    <row r="103" spans="5:20" ht="12.75" customHeight="1" x14ac:dyDescent="0.15">
      <c r="F103" s="29" t="s">
        <v>2144</v>
      </c>
      <c r="G103" s="30" t="s">
        <v>2145</v>
      </c>
      <c r="H103" s="30"/>
      <c r="I103" s="30" t="s">
        <v>144</v>
      </c>
      <c r="J103" s="30"/>
      <c r="L103" s="29" t="s">
        <v>1320</v>
      </c>
      <c r="M103" s="30" t="s">
        <v>2146</v>
      </c>
      <c r="N103" s="30" t="s">
        <v>2147</v>
      </c>
      <c r="O103" s="30" t="s">
        <v>1913</v>
      </c>
      <c r="S103" s="29" t="s">
        <v>77</v>
      </c>
      <c r="T103" s="29" t="s">
        <v>1023</v>
      </c>
    </row>
    <row r="104" spans="5:20" ht="12.75" customHeight="1" x14ac:dyDescent="0.15">
      <c r="F104" s="29" t="s">
        <v>2148</v>
      </c>
      <c r="G104" s="30" t="s">
        <v>2149</v>
      </c>
      <c r="H104" s="30"/>
      <c r="I104" s="30" t="s">
        <v>144</v>
      </c>
      <c r="J104" s="30"/>
      <c r="L104" s="29" t="s">
        <v>1320</v>
      </c>
      <c r="M104" s="30" t="s">
        <v>2150</v>
      </c>
      <c r="N104" s="30" t="s">
        <v>2147</v>
      </c>
      <c r="O104" s="30" t="s">
        <v>1913</v>
      </c>
      <c r="S104" s="29" t="s">
        <v>77</v>
      </c>
      <c r="T104" s="29" t="s">
        <v>1023</v>
      </c>
    </row>
    <row r="105" spans="5:20" ht="12.75" customHeight="1" x14ac:dyDescent="0.15">
      <c r="F105" s="29" t="s">
        <v>2151</v>
      </c>
      <c r="G105" s="30" t="s">
        <v>2152</v>
      </c>
      <c r="H105" s="30"/>
      <c r="I105" s="30" t="s">
        <v>144</v>
      </c>
      <c r="J105" s="30"/>
      <c r="L105" s="29" t="s">
        <v>1320</v>
      </c>
      <c r="M105" s="30" t="s">
        <v>2153</v>
      </c>
      <c r="N105" s="30" t="s">
        <v>2147</v>
      </c>
      <c r="O105" s="30" t="s">
        <v>1913</v>
      </c>
      <c r="S105" s="29" t="s">
        <v>77</v>
      </c>
      <c r="T105" s="29" t="s">
        <v>1023</v>
      </c>
    </row>
    <row r="106" spans="5:20" ht="12.75" customHeight="1" x14ac:dyDescent="0.15">
      <c r="F106" s="29" t="s">
        <v>2154</v>
      </c>
      <c r="G106" s="30" t="s">
        <v>2155</v>
      </c>
      <c r="H106" s="30"/>
      <c r="I106" s="30" t="s">
        <v>144</v>
      </c>
      <c r="J106" s="30"/>
      <c r="L106" s="29" t="s">
        <v>1320</v>
      </c>
      <c r="M106" s="30" t="s">
        <v>2156</v>
      </c>
      <c r="N106" s="30" t="s">
        <v>2147</v>
      </c>
      <c r="O106" s="30" t="s">
        <v>1913</v>
      </c>
      <c r="S106" s="29" t="s">
        <v>77</v>
      </c>
      <c r="T106" s="29" t="s">
        <v>1023</v>
      </c>
    </row>
    <row r="107" spans="5:20" ht="12.75" customHeight="1" x14ac:dyDescent="0.15">
      <c r="F107" s="29" t="s">
        <v>2157</v>
      </c>
      <c r="G107" s="30" t="s">
        <v>2158</v>
      </c>
      <c r="H107" s="30"/>
      <c r="I107" s="30" t="s">
        <v>144</v>
      </c>
      <c r="J107" s="30"/>
      <c r="L107" s="29" t="s">
        <v>1320</v>
      </c>
      <c r="M107" s="30" t="s">
        <v>2159</v>
      </c>
      <c r="N107" s="30" t="s">
        <v>2147</v>
      </c>
      <c r="O107" s="30" t="s">
        <v>1913</v>
      </c>
      <c r="S107" s="29" t="s">
        <v>77</v>
      </c>
      <c r="T107" s="29" t="s">
        <v>1023</v>
      </c>
    </row>
    <row r="108" spans="5:20" ht="12.75" customHeight="1" x14ac:dyDescent="0.15">
      <c r="F108" s="29" t="s">
        <v>2160</v>
      </c>
      <c r="G108" s="30" t="s">
        <v>2161</v>
      </c>
      <c r="H108" s="30"/>
      <c r="I108" s="30" t="s">
        <v>144</v>
      </c>
      <c r="J108" s="30"/>
      <c r="L108" s="29" t="s">
        <v>1320</v>
      </c>
      <c r="M108" s="30" t="s">
        <v>2162</v>
      </c>
      <c r="N108" s="30" t="s">
        <v>2147</v>
      </c>
      <c r="O108" s="30" t="s">
        <v>1913</v>
      </c>
      <c r="S108" s="29" t="s">
        <v>77</v>
      </c>
      <c r="T108" s="29" t="s">
        <v>1023</v>
      </c>
    </row>
    <row r="109" spans="5:20" ht="12.75" customHeight="1" x14ac:dyDescent="0.15">
      <c r="F109" s="29" t="s">
        <v>2163</v>
      </c>
      <c r="G109" s="30" t="s">
        <v>2164</v>
      </c>
      <c r="H109" s="30"/>
      <c r="I109" s="30" t="s">
        <v>144</v>
      </c>
      <c r="J109" s="30"/>
      <c r="L109" s="29" t="s">
        <v>1320</v>
      </c>
      <c r="M109" s="30" t="s">
        <v>2165</v>
      </c>
      <c r="N109" s="30" t="s">
        <v>943</v>
      </c>
      <c r="O109" s="30" t="s">
        <v>1913</v>
      </c>
      <c r="S109" s="29" t="s">
        <v>77</v>
      </c>
      <c r="T109" s="29" t="s">
        <v>1023</v>
      </c>
    </row>
    <row r="110" spans="5:20" ht="12.75" customHeight="1" x14ac:dyDescent="0.15">
      <c r="F110" s="29" t="s">
        <v>2166</v>
      </c>
      <c r="G110" s="30" t="s">
        <v>2167</v>
      </c>
      <c r="H110" s="30"/>
      <c r="I110" s="30" t="s">
        <v>144</v>
      </c>
      <c r="J110" s="30"/>
      <c r="L110" s="29" t="s">
        <v>1320</v>
      </c>
      <c r="M110" s="30" t="s">
        <v>2168</v>
      </c>
      <c r="N110" s="30" t="s">
        <v>943</v>
      </c>
      <c r="O110" s="30" t="s">
        <v>1913</v>
      </c>
      <c r="S110" s="29" t="s">
        <v>77</v>
      </c>
      <c r="T110" s="29" t="s">
        <v>1023</v>
      </c>
    </row>
    <row r="111" spans="5:20" ht="12.75" customHeight="1" x14ac:dyDescent="0.15">
      <c r="F111" s="29" t="s">
        <v>2169</v>
      </c>
      <c r="G111" s="30" t="s">
        <v>2170</v>
      </c>
      <c r="H111" s="30"/>
      <c r="I111" s="30" t="s">
        <v>144</v>
      </c>
      <c r="J111" s="30"/>
      <c r="L111" s="29" t="s">
        <v>1320</v>
      </c>
      <c r="M111" s="30" t="s">
        <v>2171</v>
      </c>
      <c r="N111" s="30" t="s">
        <v>943</v>
      </c>
      <c r="O111" s="30" t="s">
        <v>1913</v>
      </c>
      <c r="S111" s="29" t="s">
        <v>77</v>
      </c>
      <c r="T111" s="29" t="s">
        <v>1023</v>
      </c>
    </row>
    <row r="112" spans="5:20" ht="12.75" customHeight="1" x14ac:dyDescent="0.15">
      <c r="F112" s="29" t="s">
        <v>2172</v>
      </c>
      <c r="G112" s="30" t="s">
        <v>2173</v>
      </c>
      <c r="H112" s="30"/>
      <c r="I112" s="30" t="s">
        <v>144</v>
      </c>
      <c r="J112" s="30"/>
      <c r="L112" s="29" t="s">
        <v>1320</v>
      </c>
      <c r="M112" s="30" t="s">
        <v>2174</v>
      </c>
      <c r="N112" s="30" t="s">
        <v>943</v>
      </c>
      <c r="O112" s="30" t="s">
        <v>1913</v>
      </c>
      <c r="S112" s="29" t="s">
        <v>77</v>
      </c>
      <c r="T112" s="29" t="s">
        <v>1023</v>
      </c>
    </row>
    <row r="113" spans="6:20" ht="12.75" customHeight="1" x14ac:dyDescent="0.15">
      <c r="F113" s="29" t="s">
        <v>2175</v>
      </c>
      <c r="G113" s="30" t="s">
        <v>2176</v>
      </c>
      <c r="H113" s="30"/>
      <c r="I113" s="30" t="s">
        <v>144</v>
      </c>
      <c r="J113" s="30"/>
      <c r="L113" s="29" t="s">
        <v>1320</v>
      </c>
      <c r="M113" s="30" t="s">
        <v>2177</v>
      </c>
      <c r="N113" s="30" t="s">
        <v>943</v>
      </c>
      <c r="O113" s="30" t="s">
        <v>1913</v>
      </c>
      <c r="S113" s="29" t="s">
        <v>77</v>
      </c>
      <c r="T113" s="29" t="s">
        <v>1023</v>
      </c>
    </row>
    <row r="114" spans="6:20" ht="12.75" customHeight="1" x14ac:dyDescent="0.15">
      <c r="F114" s="29" t="s">
        <v>2178</v>
      </c>
      <c r="G114" s="30" t="s">
        <v>2179</v>
      </c>
      <c r="H114" s="30"/>
      <c r="I114" s="30" t="s">
        <v>144</v>
      </c>
      <c r="J114" s="30"/>
      <c r="L114" s="29" t="s">
        <v>1320</v>
      </c>
      <c r="M114" s="30" t="s">
        <v>2180</v>
      </c>
      <c r="N114" s="30" t="s">
        <v>943</v>
      </c>
      <c r="O114" s="30" t="s">
        <v>1913</v>
      </c>
      <c r="S114" s="29" t="s">
        <v>77</v>
      </c>
      <c r="T114" s="29" t="s">
        <v>1023</v>
      </c>
    </row>
    <row r="115" spans="6:20" ht="12.75" customHeight="1" x14ac:dyDescent="0.15">
      <c r="F115" s="29" t="s">
        <v>2181</v>
      </c>
      <c r="G115" s="30" t="s">
        <v>2182</v>
      </c>
      <c r="H115" s="30"/>
      <c r="I115" s="30" t="s">
        <v>144</v>
      </c>
      <c r="J115" s="30"/>
      <c r="L115" s="29" t="s">
        <v>1320</v>
      </c>
      <c r="M115" s="30" t="s">
        <v>2183</v>
      </c>
      <c r="N115" s="30" t="s">
        <v>945</v>
      </c>
      <c r="O115" s="30" t="s">
        <v>1913</v>
      </c>
      <c r="S115" s="29" t="s">
        <v>77</v>
      </c>
      <c r="T115" s="29" t="s">
        <v>1023</v>
      </c>
    </row>
    <row r="116" spans="6:20" ht="12.75" customHeight="1" x14ac:dyDescent="0.15">
      <c r="F116" s="29" t="s">
        <v>2184</v>
      </c>
      <c r="G116" s="30" t="s">
        <v>2185</v>
      </c>
      <c r="H116" s="30"/>
      <c r="I116" s="30" t="s">
        <v>144</v>
      </c>
      <c r="J116" s="30"/>
      <c r="L116" s="29" t="s">
        <v>1320</v>
      </c>
      <c r="M116" s="30" t="s">
        <v>2186</v>
      </c>
      <c r="N116" s="30" t="s">
        <v>945</v>
      </c>
      <c r="O116" s="30" t="s">
        <v>1913</v>
      </c>
      <c r="S116" s="29" t="s">
        <v>77</v>
      </c>
      <c r="T116" s="29" t="s">
        <v>1023</v>
      </c>
    </row>
    <row r="117" spans="6:20" ht="12.75" customHeight="1" x14ac:dyDescent="0.15">
      <c r="F117" s="29" t="s">
        <v>2187</v>
      </c>
      <c r="G117" s="30" t="s">
        <v>2188</v>
      </c>
      <c r="H117" s="30"/>
      <c r="I117" s="30" t="s">
        <v>144</v>
      </c>
      <c r="J117" s="30"/>
      <c r="L117" s="29" t="s">
        <v>1320</v>
      </c>
      <c r="M117" s="30" t="s">
        <v>2189</v>
      </c>
      <c r="N117" s="30" t="s">
        <v>945</v>
      </c>
      <c r="O117" s="30" t="s">
        <v>1913</v>
      </c>
      <c r="S117" s="29" t="s">
        <v>77</v>
      </c>
      <c r="T117" s="29" t="s">
        <v>1023</v>
      </c>
    </row>
    <row r="118" spans="6:20" ht="12.75" customHeight="1" x14ac:dyDescent="0.15">
      <c r="F118" s="29" t="s">
        <v>2190</v>
      </c>
      <c r="G118" s="30" t="s">
        <v>2191</v>
      </c>
      <c r="H118" s="30"/>
      <c r="I118" s="30" t="s">
        <v>144</v>
      </c>
      <c r="J118" s="30"/>
      <c r="L118" s="29" t="s">
        <v>1320</v>
      </c>
      <c r="M118" s="30" t="s">
        <v>2192</v>
      </c>
      <c r="N118" s="30" t="s">
        <v>945</v>
      </c>
      <c r="O118" s="30" t="s">
        <v>1913</v>
      </c>
      <c r="S118" s="29" t="s">
        <v>77</v>
      </c>
      <c r="T118" s="29" t="s">
        <v>1023</v>
      </c>
    </row>
    <row r="119" spans="6:20" ht="12.75" customHeight="1" x14ac:dyDescent="0.15">
      <c r="F119" s="29" t="s">
        <v>2193</v>
      </c>
      <c r="G119" s="30" t="s">
        <v>2194</v>
      </c>
      <c r="H119" s="30"/>
      <c r="I119" s="30" t="s">
        <v>144</v>
      </c>
      <c r="J119" s="30"/>
      <c r="L119" s="29" t="s">
        <v>1320</v>
      </c>
      <c r="M119" s="30" t="s">
        <v>2195</v>
      </c>
      <c r="N119" s="30" t="s">
        <v>945</v>
      </c>
      <c r="O119" s="30" t="s">
        <v>1913</v>
      </c>
      <c r="S119" s="29" t="s">
        <v>77</v>
      </c>
      <c r="T119" s="29" t="s">
        <v>1023</v>
      </c>
    </row>
    <row r="120" spans="6:20" ht="12.75" customHeight="1" x14ac:dyDescent="0.15">
      <c r="F120" s="29" t="s">
        <v>2196</v>
      </c>
      <c r="G120" s="30" t="s">
        <v>2197</v>
      </c>
      <c r="H120" s="30"/>
      <c r="I120" s="30" t="s">
        <v>142</v>
      </c>
      <c r="J120" s="30"/>
      <c r="L120" s="29" t="s">
        <v>1320</v>
      </c>
      <c r="M120" s="30" t="s">
        <v>2198</v>
      </c>
      <c r="N120" s="30" t="s">
        <v>2199</v>
      </c>
      <c r="O120" s="30" t="s">
        <v>1913</v>
      </c>
      <c r="S120" s="29" t="s">
        <v>76</v>
      </c>
      <c r="T120" s="29" t="s">
        <v>964</v>
      </c>
    </row>
    <row r="121" spans="6:20" ht="12.75" customHeight="1" x14ac:dyDescent="0.15">
      <c r="F121" s="29" t="s">
        <v>2200</v>
      </c>
      <c r="G121" s="30" t="s">
        <v>2201</v>
      </c>
      <c r="H121" s="30"/>
      <c r="I121" s="30" t="s">
        <v>142</v>
      </c>
      <c r="J121" s="30"/>
      <c r="L121" s="29" t="s">
        <v>1320</v>
      </c>
      <c r="M121" s="30" t="s">
        <v>2202</v>
      </c>
      <c r="N121" s="30" t="s">
        <v>2203</v>
      </c>
      <c r="O121" s="30" t="s">
        <v>1913</v>
      </c>
      <c r="S121" s="29" t="s">
        <v>76</v>
      </c>
      <c r="T121" s="29" t="s">
        <v>964</v>
      </c>
    </row>
    <row r="122" spans="6:20" ht="12.75" customHeight="1" x14ac:dyDescent="0.15">
      <c r="F122" s="29" t="s">
        <v>2204</v>
      </c>
      <c r="G122" s="30" t="s">
        <v>2205</v>
      </c>
      <c r="H122" s="30"/>
      <c r="I122" s="30" t="s">
        <v>142</v>
      </c>
      <c r="J122" s="30"/>
      <c r="L122" s="29" t="s">
        <v>1320</v>
      </c>
      <c r="M122" s="30" t="s">
        <v>2206</v>
      </c>
      <c r="N122" s="30" t="s">
        <v>2207</v>
      </c>
      <c r="O122" s="30" t="s">
        <v>1913</v>
      </c>
      <c r="S122" s="29" t="s">
        <v>76</v>
      </c>
      <c r="T122" s="29" t="s">
        <v>964</v>
      </c>
    </row>
    <row r="123" spans="6:20" ht="12.75" customHeight="1" x14ac:dyDescent="0.15">
      <c r="F123" s="29" t="s">
        <v>2208</v>
      </c>
      <c r="G123" s="30" t="s">
        <v>2209</v>
      </c>
      <c r="H123" s="30"/>
      <c r="I123" s="30" t="s">
        <v>142</v>
      </c>
      <c r="J123" s="30"/>
      <c r="L123" s="29" t="s">
        <v>1320</v>
      </c>
      <c r="M123" s="30" t="s">
        <v>2210</v>
      </c>
      <c r="N123" s="30" t="s">
        <v>2211</v>
      </c>
      <c r="O123" s="30" t="s">
        <v>1913</v>
      </c>
      <c r="S123" s="29" t="s">
        <v>76</v>
      </c>
      <c r="T123" s="29" t="s">
        <v>964</v>
      </c>
    </row>
    <row r="124" spans="6:20" ht="12.75" customHeight="1" x14ac:dyDescent="0.15">
      <c r="F124" s="29" t="s">
        <v>2212</v>
      </c>
      <c r="G124" s="30" t="s">
        <v>2213</v>
      </c>
      <c r="H124" s="30"/>
      <c r="I124" s="30" t="s">
        <v>142</v>
      </c>
      <c r="J124" s="30"/>
      <c r="L124" s="29" t="s">
        <v>1320</v>
      </c>
      <c r="M124" s="30" t="s">
        <v>2214</v>
      </c>
      <c r="N124" s="30" t="s">
        <v>2215</v>
      </c>
      <c r="O124" s="30" t="s">
        <v>1913</v>
      </c>
      <c r="S124" s="29" t="s">
        <v>76</v>
      </c>
      <c r="T124" s="29" t="s">
        <v>964</v>
      </c>
    </row>
    <row r="125" spans="6:20" ht="12.75" customHeight="1" x14ac:dyDescent="0.15">
      <c r="F125" s="29" t="s">
        <v>2216</v>
      </c>
      <c r="G125" s="30" t="s">
        <v>2217</v>
      </c>
      <c r="H125" s="30"/>
      <c r="I125" s="30" t="s">
        <v>142</v>
      </c>
      <c r="J125" s="30"/>
      <c r="L125" s="29" t="s">
        <v>1320</v>
      </c>
      <c r="M125" s="30" t="s">
        <v>2218</v>
      </c>
      <c r="N125" s="30" t="s">
        <v>2219</v>
      </c>
      <c r="O125" s="30" t="s">
        <v>1913</v>
      </c>
      <c r="S125" s="29" t="s">
        <v>76</v>
      </c>
      <c r="T125" s="29" t="s">
        <v>964</v>
      </c>
    </row>
    <row r="126" spans="6:20" ht="12.75" customHeight="1" x14ac:dyDescent="0.15">
      <c r="F126" s="29" t="s">
        <v>2220</v>
      </c>
      <c r="G126" s="30" t="s">
        <v>2221</v>
      </c>
      <c r="H126" s="30"/>
      <c r="I126" s="30" t="s">
        <v>142</v>
      </c>
      <c r="J126" s="30"/>
      <c r="L126" s="29" t="s">
        <v>1320</v>
      </c>
      <c r="M126" s="30" t="s">
        <v>2222</v>
      </c>
      <c r="N126" s="30" t="s">
        <v>2223</v>
      </c>
      <c r="O126" s="30" t="s">
        <v>1913</v>
      </c>
      <c r="S126" s="29" t="s">
        <v>76</v>
      </c>
      <c r="T126" s="29" t="s">
        <v>964</v>
      </c>
    </row>
    <row r="127" spans="6:20" ht="12.75" customHeight="1" x14ac:dyDescent="0.15">
      <c r="F127" s="29" t="s">
        <v>2224</v>
      </c>
      <c r="G127" s="30" t="s">
        <v>2225</v>
      </c>
      <c r="H127" s="30"/>
      <c r="I127" s="30" t="s">
        <v>142</v>
      </c>
      <c r="J127" s="30"/>
      <c r="L127" s="29" t="s">
        <v>1320</v>
      </c>
      <c r="M127" s="30" t="s">
        <v>2226</v>
      </c>
      <c r="N127" s="30" t="s">
        <v>2227</v>
      </c>
      <c r="O127" s="30" t="s">
        <v>1913</v>
      </c>
      <c r="S127" s="29" t="s">
        <v>76</v>
      </c>
      <c r="T127" s="29" t="s">
        <v>964</v>
      </c>
    </row>
    <row r="128" spans="6:20" ht="12.75" customHeight="1" x14ac:dyDescent="0.15">
      <c r="F128" s="29" t="s">
        <v>2228</v>
      </c>
      <c r="G128" s="30" t="s">
        <v>2229</v>
      </c>
      <c r="H128" s="30"/>
      <c r="I128" s="30" t="s">
        <v>142</v>
      </c>
      <c r="J128" s="30"/>
      <c r="L128" s="29" t="s">
        <v>1320</v>
      </c>
      <c r="M128" s="30" t="s">
        <v>2230</v>
      </c>
      <c r="N128" s="30" t="s">
        <v>2231</v>
      </c>
      <c r="O128" s="30" t="s">
        <v>1913</v>
      </c>
      <c r="S128" s="29" t="s">
        <v>76</v>
      </c>
      <c r="T128" s="29" t="s">
        <v>964</v>
      </c>
    </row>
    <row r="129" spans="5:20" ht="12.75" customHeight="1" x14ac:dyDescent="0.15">
      <c r="F129" s="29" t="s">
        <v>2232</v>
      </c>
      <c r="G129" s="30" t="s">
        <v>2233</v>
      </c>
      <c r="H129" s="30"/>
      <c r="I129" s="30" t="s">
        <v>142</v>
      </c>
      <c r="J129" s="30"/>
      <c r="L129" s="29" t="s">
        <v>1320</v>
      </c>
      <c r="M129" s="30" t="s">
        <v>2234</v>
      </c>
      <c r="N129" s="30" t="s">
        <v>2235</v>
      </c>
      <c r="O129" s="30" t="s">
        <v>1913</v>
      </c>
      <c r="S129" s="29" t="s">
        <v>76</v>
      </c>
      <c r="T129" s="29" t="s">
        <v>964</v>
      </c>
    </row>
    <row r="130" spans="5:20" ht="12.75" customHeight="1" x14ac:dyDescent="0.15">
      <c r="F130" s="29" t="s">
        <v>2236</v>
      </c>
      <c r="G130" s="30" t="s">
        <v>2237</v>
      </c>
      <c r="H130" s="30"/>
      <c r="I130" s="30" t="s">
        <v>142</v>
      </c>
      <c r="J130" s="30"/>
      <c r="L130" s="29" t="s">
        <v>1320</v>
      </c>
      <c r="M130" s="30" t="s">
        <v>2238</v>
      </c>
      <c r="N130" s="30" t="s">
        <v>2239</v>
      </c>
      <c r="O130" s="30" t="s">
        <v>1913</v>
      </c>
      <c r="S130" s="29" t="s">
        <v>76</v>
      </c>
      <c r="T130" s="29" t="s">
        <v>964</v>
      </c>
    </row>
    <row r="131" spans="5:20" ht="12.75" customHeight="1" x14ac:dyDescent="0.15">
      <c r="F131" s="29" t="s">
        <v>2240</v>
      </c>
      <c r="G131" s="30" t="s">
        <v>2241</v>
      </c>
      <c r="H131" s="30"/>
      <c r="I131" s="30" t="s">
        <v>142</v>
      </c>
      <c r="J131" s="30"/>
      <c r="L131" s="29" t="s">
        <v>1320</v>
      </c>
      <c r="M131" s="30" t="s">
        <v>2242</v>
      </c>
      <c r="N131" s="30" t="s">
        <v>2243</v>
      </c>
      <c r="O131" s="30" t="s">
        <v>1913</v>
      </c>
      <c r="S131" s="29" t="s">
        <v>76</v>
      </c>
      <c r="T131" s="29" t="s">
        <v>964</v>
      </c>
    </row>
    <row r="132" spans="5:20" ht="12.75" customHeight="1" x14ac:dyDescent="0.15">
      <c r="F132" s="29" t="s">
        <v>2244</v>
      </c>
      <c r="G132" s="30" t="s">
        <v>2245</v>
      </c>
      <c r="H132" s="30"/>
      <c r="I132" s="30" t="s">
        <v>142</v>
      </c>
      <c r="J132" s="30"/>
      <c r="L132" s="29" t="s">
        <v>1320</v>
      </c>
      <c r="M132" s="30" t="s">
        <v>2246</v>
      </c>
      <c r="N132" s="30" t="s">
        <v>2247</v>
      </c>
      <c r="O132" s="30" t="s">
        <v>1913</v>
      </c>
      <c r="S132" s="29" t="s">
        <v>76</v>
      </c>
      <c r="T132" s="29" t="s">
        <v>964</v>
      </c>
    </row>
    <row r="133" spans="5:20" ht="12.75" customHeight="1" x14ac:dyDescent="0.15">
      <c r="F133" s="29" t="s">
        <v>2248</v>
      </c>
      <c r="G133" s="30" t="s">
        <v>2249</v>
      </c>
      <c r="H133" s="30"/>
      <c r="I133" s="30" t="s">
        <v>142</v>
      </c>
      <c r="J133" s="30"/>
      <c r="L133" s="29" t="s">
        <v>1320</v>
      </c>
      <c r="M133" s="30" t="s">
        <v>2250</v>
      </c>
      <c r="N133" s="30" t="s">
        <v>2251</v>
      </c>
      <c r="O133" s="30" t="s">
        <v>1913</v>
      </c>
      <c r="S133" s="29" t="s">
        <v>76</v>
      </c>
      <c r="T133" s="29" t="s">
        <v>964</v>
      </c>
    </row>
    <row r="134" spans="5:20" ht="12.75" customHeight="1" x14ac:dyDescent="0.15">
      <c r="F134" s="29" t="s">
        <v>2252</v>
      </c>
      <c r="G134" s="30" t="s">
        <v>2253</v>
      </c>
      <c r="H134" s="30"/>
      <c r="I134" s="30" t="s">
        <v>142</v>
      </c>
      <c r="J134" s="30"/>
      <c r="L134" s="29" t="s">
        <v>1320</v>
      </c>
      <c r="M134" s="30" t="s">
        <v>2254</v>
      </c>
      <c r="N134" s="30" t="s">
        <v>2255</v>
      </c>
      <c r="O134" s="30" t="s">
        <v>1913</v>
      </c>
      <c r="S134" s="29" t="s">
        <v>76</v>
      </c>
      <c r="T134" s="29" t="s">
        <v>964</v>
      </c>
    </row>
    <row r="135" spans="5:20" ht="12.75" customHeight="1" x14ac:dyDescent="0.15">
      <c r="F135" s="29" t="s">
        <v>2256</v>
      </c>
      <c r="G135" s="30" t="s">
        <v>2257</v>
      </c>
      <c r="H135" s="30"/>
      <c r="I135" s="30" t="s">
        <v>142</v>
      </c>
      <c r="J135" s="30"/>
      <c r="L135" s="29" t="s">
        <v>1320</v>
      </c>
      <c r="M135" s="30" t="s">
        <v>2258</v>
      </c>
      <c r="N135" s="30" t="s">
        <v>2259</v>
      </c>
      <c r="O135" s="30" t="s">
        <v>1913</v>
      </c>
      <c r="S135" s="29" t="s">
        <v>76</v>
      </c>
      <c r="T135" s="29" t="s">
        <v>964</v>
      </c>
    </row>
    <row r="136" spans="5:20" ht="12.75" customHeight="1" x14ac:dyDescent="0.15">
      <c r="F136" s="29" t="s">
        <v>2260</v>
      </c>
      <c r="G136" s="30" t="s">
        <v>2261</v>
      </c>
      <c r="H136" s="30"/>
      <c r="I136" s="30" t="s">
        <v>142</v>
      </c>
      <c r="J136" s="30"/>
      <c r="L136" s="29" t="s">
        <v>1320</v>
      </c>
      <c r="M136" s="30" t="s">
        <v>2262</v>
      </c>
      <c r="N136" s="30" t="s">
        <v>947</v>
      </c>
      <c r="O136" s="30" t="s">
        <v>1913</v>
      </c>
      <c r="S136" s="29" t="s">
        <v>76</v>
      </c>
      <c r="T136" s="29" t="s">
        <v>964</v>
      </c>
    </row>
    <row r="137" spans="5:20" ht="12.75" customHeight="1" x14ac:dyDescent="0.15">
      <c r="E137" s="29" t="s">
        <v>2263</v>
      </c>
    </row>
    <row r="138" spans="5:20" ht="12.75" customHeight="1" x14ac:dyDescent="0.15">
      <c r="F138" s="29" t="s">
        <v>1758</v>
      </c>
      <c r="G138" s="30" t="s">
        <v>2264</v>
      </c>
      <c r="H138" s="30"/>
      <c r="I138" s="30" t="s">
        <v>142</v>
      </c>
      <c r="J138" s="30"/>
      <c r="L138" s="29" t="s">
        <v>1320</v>
      </c>
      <c r="M138" s="30" t="s">
        <v>2265</v>
      </c>
      <c r="N138" s="30" t="s">
        <v>949</v>
      </c>
      <c r="O138" s="30" t="s">
        <v>1913</v>
      </c>
      <c r="S138" s="29" t="s">
        <v>77</v>
      </c>
      <c r="T138" s="29" t="s">
        <v>964</v>
      </c>
    </row>
    <row r="139" spans="5:20" ht="12.75" customHeight="1" x14ac:dyDescent="0.15">
      <c r="F139" s="29" t="s">
        <v>1761</v>
      </c>
      <c r="G139" s="30" t="s">
        <v>2266</v>
      </c>
      <c r="H139" s="30"/>
      <c r="I139" s="30" t="s">
        <v>142</v>
      </c>
      <c r="J139" s="30"/>
      <c r="L139" s="29" t="s">
        <v>1320</v>
      </c>
      <c r="M139" s="30" t="s">
        <v>2267</v>
      </c>
      <c r="N139" s="30" t="s">
        <v>949</v>
      </c>
      <c r="O139" s="30" t="s">
        <v>1913</v>
      </c>
      <c r="S139" s="29" t="s">
        <v>77</v>
      </c>
      <c r="T139" s="29" t="s">
        <v>964</v>
      </c>
    </row>
    <row r="140" spans="5:20" ht="12.75" customHeight="1" x14ac:dyDescent="0.15">
      <c r="F140" s="29" t="s">
        <v>1763</v>
      </c>
      <c r="G140" s="30" t="s">
        <v>2268</v>
      </c>
      <c r="H140" s="30"/>
      <c r="I140" s="30" t="s">
        <v>142</v>
      </c>
      <c r="J140" s="30"/>
      <c r="L140" s="29" t="s">
        <v>1320</v>
      </c>
      <c r="M140" s="30" t="s">
        <v>2269</v>
      </c>
      <c r="N140" s="30" t="s">
        <v>949</v>
      </c>
      <c r="O140" s="30" t="s">
        <v>1913</v>
      </c>
      <c r="S140" s="29" t="s">
        <v>77</v>
      </c>
      <c r="T140" s="29" t="s">
        <v>964</v>
      </c>
    </row>
    <row r="141" spans="5:20" ht="12.75" customHeight="1" x14ac:dyDescent="0.15">
      <c r="F141" s="29" t="s">
        <v>1765</v>
      </c>
      <c r="G141" s="30" t="s">
        <v>2270</v>
      </c>
      <c r="H141" s="30"/>
      <c r="I141" s="30" t="s">
        <v>142</v>
      </c>
      <c r="J141" s="30"/>
      <c r="L141" s="29" t="s">
        <v>1320</v>
      </c>
      <c r="M141" s="30" t="s">
        <v>2271</v>
      </c>
      <c r="N141" s="30" t="s">
        <v>949</v>
      </c>
      <c r="O141" s="30" t="s">
        <v>1913</v>
      </c>
      <c r="S141" s="29" t="s">
        <v>77</v>
      </c>
      <c r="T141" s="29" t="s">
        <v>964</v>
      </c>
    </row>
    <row r="142" spans="5:20" ht="12.75" customHeight="1" x14ac:dyDescent="0.15">
      <c r="F142" s="29" t="s">
        <v>1767</v>
      </c>
      <c r="G142" s="30" t="s">
        <v>2272</v>
      </c>
      <c r="H142" s="30"/>
      <c r="I142" s="30" t="s">
        <v>142</v>
      </c>
      <c r="J142" s="30"/>
      <c r="L142" s="29" t="s">
        <v>1320</v>
      </c>
      <c r="M142" s="30" t="s">
        <v>2273</v>
      </c>
      <c r="N142" s="30" t="s">
        <v>949</v>
      </c>
      <c r="O142" s="30" t="s">
        <v>1913</v>
      </c>
      <c r="S142" s="29" t="s">
        <v>77</v>
      </c>
      <c r="T142" s="29" t="s">
        <v>964</v>
      </c>
    </row>
    <row r="143" spans="5:20" ht="12.75" customHeight="1" x14ac:dyDescent="0.15">
      <c r="F143" s="29" t="s">
        <v>1769</v>
      </c>
      <c r="G143" s="30" t="s">
        <v>2274</v>
      </c>
      <c r="H143" s="30"/>
      <c r="I143" s="30" t="s">
        <v>142</v>
      </c>
      <c r="J143" s="30"/>
      <c r="L143" s="29" t="s">
        <v>1320</v>
      </c>
      <c r="M143" s="30" t="s">
        <v>2275</v>
      </c>
      <c r="N143" s="30" t="s">
        <v>949</v>
      </c>
      <c r="O143" s="30" t="s">
        <v>1913</v>
      </c>
      <c r="S143" s="29" t="s">
        <v>77</v>
      </c>
      <c r="T143" s="29" t="s">
        <v>964</v>
      </c>
    </row>
    <row r="144" spans="5:20" ht="12.75" customHeight="1" x14ac:dyDescent="0.15">
      <c r="F144" s="29" t="s">
        <v>1771</v>
      </c>
      <c r="G144" s="30" t="s">
        <v>2276</v>
      </c>
      <c r="H144" s="30"/>
      <c r="I144" s="30" t="s">
        <v>142</v>
      </c>
      <c r="J144" s="30"/>
      <c r="L144" s="29" t="s">
        <v>1320</v>
      </c>
      <c r="M144" s="30" t="s">
        <v>2277</v>
      </c>
      <c r="N144" s="30" t="s">
        <v>949</v>
      </c>
      <c r="O144" s="30" t="s">
        <v>1913</v>
      </c>
      <c r="S144" s="29" t="s">
        <v>77</v>
      </c>
      <c r="T144" s="29" t="s">
        <v>964</v>
      </c>
    </row>
    <row r="145" spans="6:20" ht="12.75" customHeight="1" x14ac:dyDescent="0.15">
      <c r="F145" s="29" t="s">
        <v>1773</v>
      </c>
      <c r="G145" s="30" t="s">
        <v>2278</v>
      </c>
      <c r="H145" s="30"/>
      <c r="I145" s="30" t="s">
        <v>142</v>
      </c>
      <c r="J145" s="30"/>
      <c r="L145" s="29" t="s">
        <v>1320</v>
      </c>
      <c r="M145" s="30" t="s">
        <v>2279</v>
      </c>
      <c r="N145" s="30" t="s">
        <v>949</v>
      </c>
      <c r="O145" s="30" t="s">
        <v>1913</v>
      </c>
      <c r="S145" s="29" t="s">
        <v>77</v>
      </c>
      <c r="T145" s="29" t="s">
        <v>964</v>
      </c>
    </row>
    <row r="146" spans="6:20" ht="12.75" customHeight="1" x14ac:dyDescent="0.15">
      <c r="F146" s="29" t="s">
        <v>1775</v>
      </c>
      <c r="G146" s="30" t="s">
        <v>2280</v>
      </c>
      <c r="H146" s="30"/>
      <c r="I146" s="30" t="s">
        <v>142</v>
      </c>
      <c r="J146" s="30"/>
      <c r="L146" s="29" t="s">
        <v>1320</v>
      </c>
      <c r="M146" s="30" t="s">
        <v>2281</v>
      </c>
      <c r="N146" s="30" t="s">
        <v>949</v>
      </c>
      <c r="O146" s="30" t="s">
        <v>1913</v>
      </c>
      <c r="S146" s="29" t="s">
        <v>77</v>
      </c>
      <c r="T146" s="29" t="s">
        <v>964</v>
      </c>
    </row>
    <row r="147" spans="6:20" ht="12.75" customHeight="1" x14ac:dyDescent="0.15">
      <c r="F147" s="29" t="s">
        <v>1777</v>
      </c>
      <c r="G147" s="30" t="s">
        <v>2282</v>
      </c>
      <c r="H147" s="30"/>
      <c r="I147" s="30" t="s">
        <v>142</v>
      </c>
      <c r="J147" s="30"/>
      <c r="L147" s="29" t="s">
        <v>1320</v>
      </c>
      <c r="M147" s="30" t="s">
        <v>2283</v>
      </c>
      <c r="N147" s="30" t="s">
        <v>2284</v>
      </c>
      <c r="O147" s="30" t="s">
        <v>1913</v>
      </c>
      <c r="S147" s="29" t="s">
        <v>77</v>
      </c>
      <c r="T147" s="29" t="s">
        <v>964</v>
      </c>
    </row>
    <row r="148" spans="6:20" ht="12.75" customHeight="1" x14ac:dyDescent="0.15">
      <c r="F148" s="29" t="s">
        <v>1780</v>
      </c>
      <c r="G148" s="30" t="s">
        <v>2285</v>
      </c>
      <c r="H148" s="30"/>
      <c r="I148" s="30" t="s">
        <v>142</v>
      </c>
      <c r="J148" s="30"/>
      <c r="L148" s="29" t="s">
        <v>1320</v>
      </c>
      <c r="M148" s="30" t="s">
        <v>2286</v>
      </c>
      <c r="N148" s="30" t="s">
        <v>2284</v>
      </c>
      <c r="O148" s="30" t="s">
        <v>1913</v>
      </c>
      <c r="S148" s="29" t="s">
        <v>77</v>
      </c>
      <c r="T148" s="29" t="s">
        <v>964</v>
      </c>
    </row>
    <row r="149" spans="6:20" ht="12.75" customHeight="1" x14ac:dyDescent="0.15">
      <c r="F149" s="29" t="s">
        <v>1782</v>
      </c>
      <c r="G149" s="30" t="s">
        <v>2287</v>
      </c>
      <c r="H149" s="30"/>
      <c r="I149" s="30" t="s">
        <v>142</v>
      </c>
      <c r="J149" s="30"/>
      <c r="L149" s="29" t="s">
        <v>1320</v>
      </c>
      <c r="M149" s="30" t="s">
        <v>2288</v>
      </c>
      <c r="N149" s="30" t="s">
        <v>2284</v>
      </c>
      <c r="O149" s="30" t="s">
        <v>1913</v>
      </c>
      <c r="S149" s="29" t="s">
        <v>77</v>
      </c>
      <c r="T149" s="29" t="s">
        <v>964</v>
      </c>
    </row>
    <row r="150" spans="6:20" ht="12.75" customHeight="1" x14ac:dyDescent="0.15">
      <c r="F150" s="29" t="s">
        <v>1784</v>
      </c>
      <c r="G150" s="30" t="s">
        <v>2289</v>
      </c>
      <c r="H150" s="30"/>
      <c r="I150" s="30" t="s">
        <v>142</v>
      </c>
      <c r="J150" s="30"/>
      <c r="L150" s="29" t="s">
        <v>1320</v>
      </c>
      <c r="M150" s="30" t="s">
        <v>2290</v>
      </c>
      <c r="N150" s="30" t="s">
        <v>2284</v>
      </c>
      <c r="O150" s="30" t="s">
        <v>1913</v>
      </c>
      <c r="S150" s="29" t="s">
        <v>77</v>
      </c>
      <c r="T150" s="29" t="s">
        <v>964</v>
      </c>
    </row>
    <row r="151" spans="6:20" ht="12.75" customHeight="1" x14ac:dyDescent="0.15">
      <c r="F151" s="29" t="s">
        <v>1786</v>
      </c>
      <c r="G151" s="30" t="s">
        <v>2291</v>
      </c>
      <c r="H151" s="30"/>
      <c r="I151" s="30" t="s">
        <v>142</v>
      </c>
      <c r="J151" s="30"/>
      <c r="L151" s="29" t="s">
        <v>1320</v>
      </c>
      <c r="M151" s="30" t="s">
        <v>2292</v>
      </c>
      <c r="N151" s="30" t="s">
        <v>2284</v>
      </c>
      <c r="O151" s="30" t="s">
        <v>1913</v>
      </c>
      <c r="S151" s="29" t="s">
        <v>77</v>
      </c>
      <c r="T151" s="29" t="s">
        <v>964</v>
      </c>
    </row>
    <row r="152" spans="6:20" ht="12.75" customHeight="1" x14ac:dyDescent="0.15">
      <c r="F152" s="29" t="s">
        <v>1788</v>
      </c>
      <c r="G152" s="30" t="s">
        <v>2293</v>
      </c>
      <c r="H152" s="30"/>
      <c r="I152" s="30" t="s">
        <v>142</v>
      </c>
      <c r="J152" s="30"/>
      <c r="L152" s="29" t="s">
        <v>1320</v>
      </c>
      <c r="M152" s="30" t="s">
        <v>2294</v>
      </c>
      <c r="N152" s="30" t="s">
        <v>2284</v>
      </c>
      <c r="O152" s="30" t="s">
        <v>1913</v>
      </c>
      <c r="S152" s="29" t="s">
        <v>77</v>
      </c>
      <c r="T152" s="29" t="s">
        <v>964</v>
      </c>
    </row>
    <row r="153" spans="6:20" ht="12.75" customHeight="1" x14ac:dyDescent="0.15">
      <c r="F153" s="29" t="s">
        <v>1790</v>
      </c>
      <c r="G153" s="30" t="s">
        <v>2295</v>
      </c>
      <c r="H153" s="30"/>
      <c r="I153" s="30" t="s">
        <v>142</v>
      </c>
      <c r="J153" s="30"/>
      <c r="L153" s="29" t="s">
        <v>1320</v>
      </c>
      <c r="M153" s="30" t="s">
        <v>2296</v>
      </c>
      <c r="N153" s="30" t="s">
        <v>2284</v>
      </c>
      <c r="O153" s="30" t="s">
        <v>1913</v>
      </c>
      <c r="S153" s="29" t="s">
        <v>77</v>
      </c>
      <c r="T153" s="29" t="s">
        <v>964</v>
      </c>
    </row>
    <row r="154" spans="6:20" ht="12.75" customHeight="1" x14ac:dyDescent="0.15">
      <c r="F154" s="29" t="s">
        <v>1792</v>
      </c>
      <c r="G154" s="30" t="s">
        <v>2297</v>
      </c>
      <c r="H154" s="30"/>
      <c r="I154" s="30" t="s">
        <v>142</v>
      </c>
      <c r="J154" s="30"/>
      <c r="L154" s="29" t="s">
        <v>1320</v>
      </c>
      <c r="M154" s="30" t="s">
        <v>2298</v>
      </c>
      <c r="N154" s="30" t="s">
        <v>2284</v>
      </c>
      <c r="O154" s="30" t="s">
        <v>1913</v>
      </c>
      <c r="S154" s="29" t="s">
        <v>77</v>
      </c>
      <c r="T154" s="29" t="s">
        <v>964</v>
      </c>
    </row>
    <row r="155" spans="6:20" ht="12.75" customHeight="1" x14ac:dyDescent="0.15">
      <c r="F155" s="29" t="s">
        <v>1794</v>
      </c>
      <c r="G155" s="30" t="s">
        <v>2299</v>
      </c>
      <c r="H155" s="30"/>
      <c r="I155" s="30" t="s">
        <v>1010</v>
      </c>
      <c r="J155" s="30"/>
      <c r="L155" s="29" t="s">
        <v>1320</v>
      </c>
      <c r="M155" s="30" t="s">
        <v>2300</v>
      </c>
      <c r="N155" s="30" t="s">
        <v>2301</v>
      </c>
      <c r="O155" s="30" t="s">
        <v>1913</v>
      </c>
      <c r="S155" s="29" t="s">
        <v>1797</v>
      </c>
      <c r="T155" s="29" t="s">
        <v>964</v>
      </c>
    </row>
    <row r="156" spans="6:20" ht="12.75" customHeight="1" x14ac:dyDescent="0.15">
      <c r="F156" s="29" t="s">
        <v>1798</v>
      </c>
      <c r="G156" s="30" t="s">
        <v>2302</v>
      </c>
      <c r="H156" s="30"/>
      <c r="I156" s="30" t="s">
        <v>1220</v>
      </c>
      <c r="J156" s="30"/>
      <c r="L156" s="29" t="s">
        <v>1320</v>
      </c>
      <c r="M156" s="30" t="s">
        <v>2303</v>
      </c>
      <c r="N156" s="30" t="s">
        <v>2304</v>
      </c>
      <c r="O156" s="30" t="s">
        <v>1913</v>
      </c>
      <c r="S156" s="29" t="s">
        <v>1797</v>
      </c>
      <c r="T156" s="29" t="s">
        <v>964</v>
      </c>
    </row>
    <row r="157" spans="6:20" ht="12.75" customHeight="1" x14ac:dyDescent="0.15">
      <c r="F157" s="29" t="s">
        <v>1801</v>
      </c>
      <c r="G157" s="30" t="s">
        <v>2305</v>
      </c>
      <c r="H157" s="30"/>
      <c r="I157" s="30" t="s">
        <v>1220</v>
      </c>
      <c r="J157" s="30"/>
      <c r="L157" s="29" t="s">
        <v>1320</v>
      </c>
      <c r="M157" s="30" t="s">
        <v>2306</v>
      </c>
      <c r="N157" s="30" t="s">
        <v>2307</v>
      </c>
      <c r="O157" s="30" t="s">
        <v>1913</v>
      </c>
      <c r="S157" s="29" t="s">
        <v>1797</v>
      </c>
      <c r="T157" s="29" t="s">
        <v>964</v>
      </c>
    </row>
    <row r="158" spans="6:20" ht="12.75" customHeight="1" x14ac:dyDescent="0.15">
      <c r="F158" s="29" t="s">
        <v>1804</v>
      </c>
      <c r="G158" s="30" t="s">
        <v>2308</v>
      </c>
      <c r="H158" s="30"/>
      <c r="I158" s="30" t="s">
        <v>142</v>
      </c>
      <c r="J158" s="30"/>
      <c r="L158" s="29" t="s">
        <v>1320</v>
      </c>
      <c r="M158" s="30" t="s">
        <v>2309</v>
      </c>
      <c r="N158" s="29" t="s">
        <v>2310</v>
      </c>
      <c r="O158" s="30" t="s">
        <v>1913</v>
      </c>
      <c r="S158" s="29" t="s">
        <v>76</v>
      </c>
      <c r="T158" s="29" t="s">
        <v>964</v>
      </c>
    </row>
    <row r="159" spans="6:20" ht="12.75" customHeight="1" x14ac:dyDescent="0.15">
      <c r="F159" s="29" t="s">
        <v>1807</v>
      </c>
      <c r="G159" s="30" t="s">
        <v>2311</v>
      </c>
      <c r="H159" s="30"/>
      <c r="I159" s="30" t="s">
        <v>142</v>
      </c>
      <c r="J159" s="30"/>
      <c r="L159" s="29" t="s">
        <v>1320</v>
      </c>
      <c r="M159" s="30" t="s">
        <v>2312</v>
      </c>
      <c r="N159" s="29" t="s">
        <v>2310</v>
      </c>
      <c r="O159" s="30" t="s">
        <v>1913</v>
      </c>
      <c r="S159" s="29" t="s">
        <v>76</v>
      </c>
      <c r="T159" s="29" t="s">
        <v>964</v>
      </c>
    </row>
    <row r="160" spans="6:20" ht="12.75" customHeight="1" x14ac:dyDescent="0.15">
      <c r="F160" s="29" t="s">
        <v>1809</v>
      </c>
      <c r="G160" s="30" t="s">
        <v>2313</v>
      </c>
      <c r="H160" s="30"/>
      <c r="I160" s="30" t="s">
        <v>142</v>
      </c>
      <c r="J160" s="30"/>
      <c r="L160" s="29" t="s">
        <v>1320</v>
      </c>
      <c r="M160" s="30" t="s">
        <v>2314</v>
      </c>
      <c r="N160" s="29" t="s">
        <v>2310</v>
      </c>
      <c r="O160" s="30" t="s">
        <v>1913</v>
      </c>
      <c r="S160" s="29" t="s">
        <v>76</v>
      </c>
      <c r="T160" s="29" t="s">
        <v>964</v>
      </c>
    </row>
    <row r="161" spans="5:20" ht="12.75" customHeight="1" x14ac:dyDescent="0.15">
      <c r="F161" s="29" t="s">
        <v>1811</v>
      </c>
      <c r="G161" s="30" t="s">
        <v>2315</v>
      </c>
      <c r="H161" s="30"/>
      <c r="I161" s="30" t="s">
        <v>142</v>
      </c>
      <c r="J161" s="30"/>
      <c r="L161" s="29" t="s">
        <v>1320</v>
      </c>
      <c r="M161" s="30" t="s">
        <v>2316</v>
      </c>
      <c r="N161" s="29" t="s">
        <v>2310</v>
      </c>
      <c r="O161" s="30" t="s">
        <v>1913</v>
      </c>
      <c r="S161" s="29" t="s">
        <v>76</v>
      </c>
      <c r="T161" s="29" t="s">
        <v>964</v>
      </c>
    </row>
    <row r="162" spans="5:20" ht="12.75" customHeight="1" x14ac:dyDescent="0.15">
      <c r="F162" s="29" t="s">
        <v>1813</v>
      </c>
      <c r="G162" s="30" t="s">
        <v>2317</v>
      </c>
      <c r="H162" s="30"/>
      <c r="I162" s="30" t="s">
        <v>144</v>
      </c>
      <c r="J162" s="30"/>
      <c r="L162" s="29" t="s">
        <v>1320</v>
      </c>
      <c r="M162" s="30" t="s">
        <v>2318</v>
      </c>
      <c r="N162" s="30" t="s">
        <v>2319</v>
      </c>
      <c r="O162" s="30" t="s">
        <v>1913</v>
      </c>
      <c r="S162" s="29" t="s">
        <v>77</v>
      </c>
      <c r="T162" s="29" t="s">
        <v>964</v>
      </c>
    </row>
    <row r="163" spans="5:20" ht="12.75" customHeight="1" x14ac:dyDescent="0.15">
      <c r="F163" s="29" t="s">
        <v>1816</v>
      </c>
      <c r="G163" s="30" t="s">
        <v>2320</v>
      </c>
      <c r="H163" s="30"/>
      <c r="I163" s="30" t="s">
        <v>144</v>
      </c>
      <c r="J163" s="30"/>
      <c r="L163" s="29" t="s">
        <v>1320</v>
      </c>
      <c r="M163" s="30" t="s">
        <v>2321</v>
      </c>
      <c r="N163" s="30" t="s">
        <v>2322</v>
      </c>
      <c r="O163" s="30" t="s">
        <v>1913</v>
      </c>
      <c r="S163" s="29" t="s">
        <v>77</v>
      </c>
      <c r="T163" s="29" t="s">
        <v>964</v>
      </c>
    </row>
    <row r="164" spans="5:20" ht="12.75" customHeight="1" x14ac:dyDescent="0.15">
      <c r="E164" s="29" t="s">
        <v>2323</v>
      </c>
    </row>
    <row r="165" spans="5:20" ht="12.75" customHeight="1" x14ac:dyDescent="0.15">
      <c r="F165" s="29" t="s">
        <v>1846</v>
      </c>
      <c r="G165" s="30" t="s">
        <v>2324</v>
      </c>
      <c r="H165" s="30"/>
      <c r="I165" s="30" t="s">
        <v>142</v>
      </c>
      <c r="J165" s="30"/>
      <c r="L165" s="29" t="s">
        <v>1320</v>
      </c>
      <c r="M165" s="30" t="s">
        <v>2325</v>
      </c>
      <c r="N165" s="30" t="s">
        <v>2326</v>
      </c>
      <c r="O165" s="30" t="s">
        <v>1913</v>
      </c>
      <c r="S165" s="29" t="s">
        <v>76</v>
      </c>
      <c r="T165" s="29" t="s">
        <v>964</v>
      </c>
    </row>
    <row r="166" spans="5:20" ht="12.75" customHeight="1" x14ac:dyDescent="0.15">
      <c r="F166" s="29" t="s">
        <v>1849</v>
      </c>
      <c r="G166" s="30" t="s">
        <v>2327</v>
      </c>
      <c r="H166" s="30"/>
      <c r="I166" s="30" t="s">
        <v>142</v>
      </c>
      <c r="J166" s="30"/>
      <c r="L166" s="29" t="s">
        <v>1320</v>
      </c>
      <c r="M166" s="30" t="s">
        <v>2328</v>
      </c>
      <c r="N166" s="30" t="s">
        <v>2326</v>
      </c>
      <c r="O166" s="30" t="s">
        <v>1913</v>
      </c>
      <c r="S166" s="29" t="s">
        <v>76</v>
      </c>
      <c r="T166" s="29" t="s">
        <v>964</v>
      </c>
    </row>
    <row r="167" spans="5:20" ht="12.75" customHeight="1" x14ac:dyDescent="0.15">
      <c r="F167" s="29" t="s">
        <v>1851</v>
      </c>
      <c r="G167" s="30" t="s">
        <v>2329</v>
      </c>
      <c r="H167" s="30"/>
      <c r="I167" s="30" t="s">
        <v>142</v>
      </c>
      <c r="J167" s="30"/>
      <c r="L167" s="29" t="s">
        <v>1320</v>
      </c>
      <c r="M167" s="30" t="s">
        <v>2330</v>
      </c>
      <c r="N167" s="30" t="s">
        <v>2326</v>
      </c>
      <c r="O167" s="30" t="s">
        <v>1913</v>
      </c>
      <c r="S167" s="29" t="s">
        <v>76</v>
      </c>
      <c r="T167" s="29" t="s">
        <v>964</v>
      </c>
    </row>
    <row r="168" spans="5:20" ht="12.75" customHeight="1" x14ac:dyDescent="0.15">
      <c r="F168" s="29" t="s">
        <v>1853</v>
      </c>
      <c r="G168" s="30" t="s">
        <v>2331</v>
      </c>
      <c r="H168" s="30"/>
      <c r="I168" s="30" t="s">
        <v>142</v>
      </c>
      <c r="J168" s="30"/>
      <c r="L168" s="29" t="s">
        <v>1320</v>
      </c>
      <c r="M168" s="30" t="s">
        <v>2332</v>
      </c>
      <c r="N168" s="30" t="s">
        <v>2326</v>
      </c>
      <c r="O168" s="30" t="s">
        <v>1913</v>
      </c>
      <c r="S168" s="29" t="s">
        <v>76</v>
      </c>
      <c r="T168" s="29" t="s">
        <v>964</v>
      </c>
    </row>
    <row r="169" spans="5:20" ht="12.75" customHeight="1" x14ac:dyDescent="0.15">
      <c r="F169" s="29" t="s">
        <v>1855</v>
      </c>
      <c r="G169" s="30" t="s">
        <v>2333</v>
      </c>
      <c r="H169" s="30"/>
      <c r="I169" s="30" t="s">
        <v>142</v>
      </c>
      <c r="J169" s="30"/>
      <c r="L169" s="29" t="s">
        <v>1320</v>
      </c>
      <c r="M169" s="30" t="s">
        <v>2334</v>
      </c>
      <c r="N169" s="30" t="s">
        <v>2326</v>
      </c>
      <c r="O169" s="30" t="s">
        <v>1913</v>
      </c>
      <c r="S169" s="29" t="s">
        <v>76</v>
      </c>
      <c r="T169" s="29" t="s">
        <v>964</v>
      </c>
    </row>
    <row r="170" spans="5:20" ht="12.75" customHeight="1" x14ac:dyDescent="0.15">
      <c r="F170" s="29" t="s">
        <v>1857</v>
      </c>
      <c r="G170" s="30" t="s">
        <v>2335</v>
      </c>
      <c r="H170" s="30"/>
      <c r="I170" s="30" t="s">
        <v>142</v>
      </c>
      <c r="J170" s="30"/>
      <c r="L170" s="29" t="s">
        <v>1320</v>
      </c>
      <c r="M170" s="30" t="s">
        <v>2336</v>
      </c>
      <c r="N170" s="30" t="s">
        <v>2326</v>
      </c>
      <c r="O170" s="30" t="s">
        <v>1913</v>
      </c>
      <c r="S170" s="29" t="s">
        <v>76</v>
      </c>
      <c r="T170" s="29" t="s">
        <v>964</v>
      </c>
    </row>
    <row r="171" spans="5:20" ht="12.75" customHeight="1" x14ac:dyDescent="0.15">
      <c r="F171" s="29" t="s">
        <v>1859</v>
      </c>
      <c r="G171" s="30" t="s">
        <v>2337</v>
      </c>
      <c r="H171" s="30"/>
      <c r="I171" s="30" t="s">
        <v>142</v>
      </c>
      <c r="J171" s="30"/>
      <c r="L171" s="29" t="s">
        <v>1320</v>
      </c>
      <c r="M171" s="30" t="s">
        <v>2338</v>
      </c>
      <c r="N171" s="30" t="s">
        <v>2326</v>
      </c>
      <c r="O171" s="30" t="s">
        <v>1913</v>
      </c>
      <c r="S171" s="29" t="s">
        <v>76</v>
      </c>
      <c r="T171" s="29" t="s">
        <v>964</v>
      </c>
    </row>
    <row r="172" spans="5:20" ht="12.75" customHeight="1" x14ac:dyDescent="0.15">
      <c r="F172" s="29" t="s">
        <v>1861</v>
      </c>
      <c r="G172" s="30" t="s">
        <v>2339</v>
      </c>
      <c r="H172" s="30"/>
      <c r="I172" s="30" t="s">
        <v>142</v>
      </c>
      <c r="J172" s="30"/>
      <c r="L172" s="29" t="s">
        <v>1320</v>
      </c>
      <c r="M172" s="30" t="s">
        <v>2340</v>
      </c>
      <c r="N172" s="30" t="s">
        <v>2326</v>
      </c>
      <c r="O172" s="30" t="s">
        <v>1913</v>
      </c>
      <c r="S172" s="29" t="s">
        <v>76</v>
      </c>
      <c r="T172" s="29" t="s">
        <v>964</v>
      </c>
    </row>
    <row r="173" spans="5:20" ht="12.75" customHeight="1" x14ac:dyDescent="0.15">
      <c r="F173" s="29" t="s">
        <v>1863</v>
      </c>
      <c r="G173" s="30" t="s">
        <v>2341</v>
      </c>
      <c r="H173" s="30"/>
      <c r="I173" s="30" t="s">
        <v>142</v>
      </c>
      <c r="J173" s="30"/>
      <c r="L173" s="29" t="s">
        <v>1320</v>
      </c>
      <c r="M173" s="30" t="s">
        <v>2342</v>
      </c>
      <c r="N173" s="30" t="s">
        <v>2326</v>
      </c>
      <c r="O173" s="30" t="s">
        <v>1913</v>
      </c>
      <c r="S173" s="29" t="s">
        <v>76</v>
      </c>
      <c r="T173" s="29" t="s">
        <v>964</v>
      </c>
    </row>
    <row r="174" spans="5:20" ht="12.75" customHeight="1" x14ac:dyDescent="0.15">
      <c r="F174" s="29" t="s">
        <v>1865</v>
      </c>
      <c r="G174" s="30" t="s">
        <v>2343</v>
      </c>
      <c r="H174" s="30"/>
      <c r="I174" s="30" t="s">
        <v>142</v>
      </c>
      <c r="J174" s="30"/>
      <c r="L174" s="29" t="s">
        <v>1320</v>
      </c>
      <c r="M174" s="30" t="s">
        <v>2344</v>
      </c>
      <c r="N174" s="30" t="s">
        <v>2326</v>
      </c>
      <c r="O174" s="30" t="s">
        <v>1913</v>
      </c>
      <c r="S174" s="29" t="s">
        <v>76</v>
      </c>
      <c r="T174" s="29" t="s">
        <v>964</v>
      </c>
    </row>
    <row r="175" spans="5:20" ht="12.75" customHeight="1" x14ac:dyDescent="0.15">
      <c r="F175" s="29" t="s">
        <v>1867</v>
      </c>
      <c r="G175" s="30" t="s">
        <v>2345</v>
      </c>
      <c r="H175" s="30"/>
      <c r="I175" s="30" t="s">
        <v>142</v>
      </c>
      <c r="J175" s="30"/>
      <c r="L175" s="29" t="s">
        <v>1320</v>
      </c>
      <c r="M175" s="30" t="s">
        <v>2346</v>
      </c>
      <c r="N175" s="30" t="s">
        <v>2326</v>
      </c>
      <c r="O175" s="30" t="s">
        <v>1913</v>
      </c>
      <c r="S175" s="29" t="s">
        <v>76</v>
      </c>
      <c r="T175" s="29" t="s">
        <v>964</v>
      </c>
    </row>
    <row r="176" spans="5:20" ht="12.75" customHeight="1" x14ac:dyDescent="0.15">
      <c r="F176" s="29" t="s">
        <v>1869</v>
      </c>
      <c r="G176" s="30" t="s">
        <v>2347</v>
      </c>
      <c r="H176" s="30"/>
      <c r="I176" s="30" t="s">
        <v>142</v>
      </c>
      <c r="J176" s="30"/>
      <c r="L176" s="29" t="s">
        <v>1320</v>
      </c>
      <c r="M176" s="30" t="s">
        <v>2348</v>
      </c>
      <c r="N176" s="30" t="s">
        <v>2326</v>
      </c>
      <c r="O176" s="30" t="s">
        <v>1913</v>
      </c>
      <c r="S176" s="29" t="s">
        <v>76</v>
      </c>
      <c r="T176" s="29" t="s">
        <v>964</v>
      </c>
    </row>
    <row r="177" spans="4:20" ht="12.75" customHeight="1" x14ac:dyDescent="0.15">
      <c r="F177" s="29" t="s">
        <v>1871</v>
      </c>
      <c r="G177" s="30" t="s">
        <v>2349</v>
      </c>
      <c r="H177" s="30"/>
      <c r="I177" s="30" t="s">
        <v>142</v>
      </c>
      <c r="J177" s="30"/>
      <c r="L177" s="29" t="s">
        <v>1320</v>
      </c>
      <c r="M177" s="30" t="s">
        <v>2350</v>
      </c>
      <c r="N177" s="30" t="s">
        <v>2326</v>
      </c>
      <c r="O177" s="30" t="s">
        <v>1913</v>
      </c>
      <c r="S177" s="29" t="s">
        <v>76</v>
      </c>
      <c r="T177" s="29" t="s">
        <v>964</v>
      </c>
    </row>
    <row r="178" spans="4:20" ht="12.75" customHeight="1" x14ac:dyDescent="0.15">
      <c r="F178" s="29" t="s">
        <v>1873</v>
      </c>
      <c r="G178" s="30" t="s">
        <v>2351</v>
      </c>
      <c r="H178" s="30"/>
      <c r="I178" s="30" t="s">
        <v>142</v>
      </c>
      <c r="J178" s="30"/>
      <c r="L178" s="29" t="s">
        <v>1320</v>
      </c>
      <c r="M178" s="30" t="s">
        <v>2352</v>
      </c>
      <c r="N178" s="30" t="s">
        <v>2326</v>
      </c>
      <c r="O178" s="30" t="s">
        <v>1913</v>
      </c>
      <c r="S178" s="29" t="s">
        <v>76</v>
      </c>
      <c r="T178" s="29" t="s">
        <v>964</v>
      </c>
    </row>
    <row r="179" spans="4:20" ht="12.75" customHeight="1" x14ac:dyDescent="0.15">
      <c r="F179" s="29" t="s">
        <v>1875</v>
      </c>
      <c r="G179" s="30" t="s">
        <v>2353</v>
      </c>
      <c r="H179" s="30"/>
      <c r="I179" s="30" t="s">
        <v>142</v>
      </c>
      <c r="J179" s="30"/>
      <c r="L179" s="29" t="s">
        <v>1320</v>
      </c>
      <c r="M179" s="30" t="s">
        <v>2354</v>
      </c>
      <c r="N179" s="30" t="s">
        <v>2326</v>
      </c>
      <c r="O179" s="30" t="s">
        <v>1913</v>
      </c>
      <c r="S179" s="29" t="s">
        <v>76</v>
      </c>
      <c r="T179" s="29" t="s">
        <v>964</v>
      </c>
    </row>
    <row r="180" spans="4:20" ht="12.75" customHeight="1" x14ac:dyDescent="0.15">
      <c r="F180" s="29" t="s">
        <v>1877</v>
      </c>
      <c r="G180" s="30" t="s">
        <v>2355</v>
      </c>
      <c r="H180" s="30"/>
      <c r="I180" s="30" t="s">
        <v>142</v>
      </c>
      <c r="J180" s="30"/>
      <c r="L180" s="29" t="s">
        <v>1320</v>
      </c>
      <c r="M180" s="30" t="s">
        <v>2356</v>
      </c>
      <c r="N180" s="30" t="s">
        <v>2326</v>
      </c>
      <c r="O180" s="30" t="s">
        <v>1913</v>
      </c>
      <c r="S180" s="29" t="s">
        <v>76</v>
      </c>
      <c r="T180" s="29" t="s">
        <v>964</v>
      </c>
    </row>
    <row r="181" spans="4:20" ht="12.75" customHeight="1" x14ac:dyDescent="0.15">
      <c r="F181" s="29" t="s">
        <v>1879</v>
      </c>
      <c r="G181" s="30" t="s">
        <v>2357</v>
      </c>
      <c r="H181" s="30"/>
      <c r="I181" s="30" t="s">
        <v>142</v>
      </c>
      <c r="J181" s="30"/>
      <c r="L181" s="29" t="s">
        <v>1320</v>
      </c>
      <c r="M181" s="30" t="s">
        <v>2358</v>
      </c>
      <c r="N181" s="30" t="s">
        <v>2326</v>
      </c>
      <c r="O181" s="30" t="s">
        <v>1913</v>
      </c>
      <c r="S181" s="29" t="s">
        <v>76</v>
      </c>
      <c r="T181" s="29" t="s">
        <v>964</v>
      </c>
    </row>
    <row r="182" spans="4:20" ht="12.75" customHeight="1" x14ac:dyDescent="0.15">
      <c r="F182" s="29" t="s">
        <v>1881</v>
      </c>
      <c r="G182" s="30" t="s">
        <v>2359</v>
      </c>
      <c r="H182" s="30"/>
      <c r="I182" s="30" t="s">
        <v>144</v>
      </c>
      <c r="J182" s="30"/>
      <c r="L182" s="29" t="s">
        <v>1320</v>
      </c>
      <c r="M182" s="30" t="s">
        <v>2360</v>
      </c>
      <c r="N182" s="30" t="s">
        <v>2361</v>
      </c>
      <c r="O182" s="30" t="s">
        <v>1913</v>
      </c>
      <c r="S182" s="29" t="s">
        <v>77</v>
      </c>
      <c r="T182" s="29" t="s">
        <v>1023</v>
      </c>
    </row>
    <row r="183" spans="4:20" ht="12.75" customHeight="1" x14ac:dyDescent="0.15">
      <c r="F183" s="29" t="s">
        <v>1884</v>
      </c>
      <c r="G183" s="30" t="s">
        <v>2362</v>
      </c>
      <c r="H183" s="30"/>
      <c r="I183" s="30" t="s">
        <v>144</v>
      </c>
      <c r="J183" s="30"/>
      <c r="L183" s="29" t="s">
        <v>1320</v>
      </c>
      <c r="M183" s="30" t="s">
        <v>2363</v>
      </c>
      <c r="N183" s="30" t="s">
        <v>2364</v>
      </c>
      <c r="O183" s="30" t="s">
        <v>1913</v>
      </c>
      <c r="S183" s="29" t="s">
        <v>76</v>
      </c>
      <c r="T183" s="29" t="s">
        <v>964</v>
      </c>
    </row>
    <row r="184" spans="4:20" ht="12.75" customHeight="1" x14ac:dyDescent="0.15">
      <c r="F184" s="29" t="s">
        <v>1887</v>
      </c>
      <c r="G184" s="30" t="s">
        <v>2365</v>
      </c>
      <c r="H184" s="30"/>
      <c r="I184" s="30" t="s">
        <v>144</v>
      </c>
      <c r="J184" s="30"/>
      <c r="L184" s="29" t="s">
        <v>1320</v>
      </c>
      <c r="M184" s="30" t="s">
        <v>2366</v>
      </c>
      <c r="N184" s="30" t="s">
        <v>2367</v>
      </c>
      <c r="O184" s="30" t="s">
        <v>1913</v>
      </c>
      <c r="S184" s="29" t="s">
        <v>76</v>
      </c>
      <c r="T184" s="29" t="s">
        <v>964</v>
      </c>
    </row>
    <row r="185" spans="4:20" ht="12.75" customHeight="1" x14ac:dyDescent="0.15">
      <c r="F185" s="29" t="s">
        <v>1890</v>
      </c>
      <c r="G185" s="30" t="s">
        <v>2368</v>
      </c>
      <c r="H185" s="30"/>
      <c r="I185" s="30" t="s">
        <v>144</v>
      </c>
      <c r="J185" s="30"/>
      <c r="L185" s="29" t="s">
        <v>1320</v>
      </c>
      <c r="M185" s="30" t="s">
        <v>2369</v>
      </c>
      <c r="N185" s="30" t="s">
        <v>2370</v>
      </c>
      <c r="O185" s="30" t="s">
        <v>1913</v>
      </c>
      <c r="S185" s="29" t="s">
        <v>76</v>
      </c>
      <c r="T185" s="29" t="s">
        <v>964</v>
      </c>
    </row>
    <row r="186" spans="4:20" ht="12.75" customHeight="1" x14ac:dyDescent="0.15">
      <c r="F186" s="29" t="s">
        <v>1893</v>
      </c>
      <c r="G186" s="30" t="s">
        <v>2371</v>
      </c>
      <c r="H186" s="30"/>
      <c r="I186" s="30" t="s">
        <v>144</v>
      </c>
      <c r="J186" s="30"/>
      <c r="L186" s="29" t="s">
        <v>1320</v>
      </c>
      <c r="M186" s="30" t="s">
        <v>2372</v>
      </c>
      <c r="N186" s="30" t="s">
        <v>2373</v>
      </c>
      <c r="O186" s="30" t="s">
        <v>1913</v>
      </c>
      <c r="S186" s="29" t="s">
        <v>76</v>
      </c>
      <c r="T186" s="29" t="s">
        <v>964</v>
      </c>
    </row>
    <row r="187" spans="4:20" ht="12.75" customHeight="1" x14ac:dyDescent="0.15">
      <c r="F187" s="29" t="s">
        <v>2374</v>
      </c>
      <c r="G187" s="30" t="s">
        <v>2375</v>
      </c>
      <c r="H187" s="30"/>
      <c r="I187" s="30" t="s">
        <v>144</v>
      </c>
      <c r="J187" s="30"/>
      <c r="L187" s="29" t="s">
        <v>1320</v>
      </c>
      <c r="M187" s="30" t="s">
        <v>2376</v>
      </c>
      <c r="N187" s="30" t="s">
        <v>2377</v>
      </c>
      <c r="O187" s="30" t="s">
        <v>1913</v>
      </c>
      <c r="S187" s="29" t="s">
        <v>76</v>
      </c>
      <c r="T187" s="29" t="s">
        <v>964</v>
      </c>
    </row>
    <row r="188" spans="4:20" ht="12.75" customHeight="1" x14ac:dyDescent="0.15">
      <c r="F188" s="29" t="s">
        <v>2378</v>
      </c>
      <c r="G188" s="30" t="s">
        <v>2379</v>
      </c>
      <c r="H188" s="30"/>
      <c r="I188" s="30" t="s">
        <v>144</v>
      </c>
      <c r="J188" s="30"/>
      <c r="L188" s="29" t="s">
        <v>1320</v>
      </c>
      <c r="M188" s="30" t="s">
        <v>2380</v>
      </c>
      <c r="N188" s="30" t="s">
        <v>2381</v>
      </c>
      <c r="O188" s="30" t="s">
        <v>1913</v>
      </c>
      <c r="S188" s="29" t="s">
        <v>77</v>
      </c>
      <c r="T188" s="29" t="s">
        <v>964</v>
      </c>
    </row>
    <row r="189" spans="4:20" ht="12.75" customHeight="1" x14ac:dyDescent="0.15">
      <c r="D189" s="29" t="s">
        <v>2382</v>
      </c>
    </row>
    <row r="190" spans="4:20" ht="12.75" customHeight="1" x14ac:dyDescent="0.15">
      <c r="E190" s="29" t="s">
        <v>2383</v>
      </c>
    </row>
    <row r="191" spans="4:20" ht="12.75" customHeight="1" x14ac:dyDescent="0.15">
      <c r="F191" s="29" t="s">
        <v>1005</v>
      </c>
      <c r="G191" s="30" t="s">
        <v>2384</v>
      </c>
      <c r="H191" s="30"/>
      <c r="I191" s="30" t="s">
        <v>1010</v>
      </c>
      <c r="J191" s="30"/>
      <c r="L191" s="30" t="s">
        <v>1006</v>
      </c>
      <c r="M191" s="30" t="s">
        <v>2385</v>
      </c>
      <c r="N191" s="30" t="s">
        <v>2386</v>
      </c>
      <c r="O191" s="30" t="s">
        <v>1913</v>
      </c>
      <c r="S191" s="29" t="s">
        <v>76</v>
      </c>
      <c r="T191" s="29" t="s">
        <v>964</v>
      </c>
    </row>
    <row r="192" spans="4:20" ht="12.75" customHeight="1" x14ac:dyDescent="0.15">
      <c r="F192" s="29" t="s">
        <v>1014</v>
      </c>
      <c r="G192" s="30" t="s">
        <v>2387</v>
      </c>
      <c r="H192" s="30"/>
      <c r="I192" s="30" t="s">
        <v>1010</v>
      </c>
      <c r="J192" s="30"/>
      <c r="L192" s="30" t="s">
        <v>1006</v>
      </c>
      <c r="M192" s="30" t="s">
        <v>2388</v>
      </c>
      <c r="N192" s="30" t="s">
        <v>2386</v>
      </c>
      <c r="O192" s="30" t="s">
        <v>1913</v>
      </c>
      <c r="S192" s="29" t="s">
        <v>76</v>
      </c>
      <c r="T192" s="29" t="s">
        <v>964</v>
      </c>
    </row>
    <row r="193" spans="5:20" ht="12.75" customHeight="1" x14ac:dyDescent="0.15">
      <c r="F193" s="29" t="s">
        <v>1016</v>
      </c>
      <c r="G193" s="30" t="s">
        <v>2389</v>
      </c>
      <c r="H193" s="30"/>
      <c r="I193" s="30" t="s">
        <v>1010</v>
      </c>
      <c r="J193" s="30"/>
      <c r="L193" s="30" t="s">
        <v>1006</v>
      </c>
      <c r="M193" s="30" t="s">
        <v>2390</v>
      </c>
      <c r="N193" s="30" t="s">
        <v>2386</v>
      </c>
      <c r="O193" s="30" t="s">
        <v>1913</v>
      </c>
      <c r="S193" s="29" t="s">
        <v>76</v>
      </c>
      <c r="T193" s="29" t="s">
        <v>964</v>
      </c>
    </row>
    <row r="194" spans="5:20" ht="12.75" customHeight="1" x14ac:dyDescent="0.15">
      <c r="F194" s="29" t="s">
        <v>1018</v>
      </c>
      <c r="G194" s="30" t="s">
        <v>2391</v>
      </c>
      <c r="H194" s="30"/>
      <c r="I194" s="30" t="s">
        <v>1010</v>
      </c>
      <c r="J194" s="30"/>
      <c r="L194" s="30" t="s">
        <v>1006</v>
      </c>
      <c r="M194" s="30" t="s">
        <v>2392</v>
      </c>
      <c r="N194" s="30" t="s">
        <v>2386</v>
      </c>
      <c r="O194" s="30" t="s">
        <v>1913</v>
      </c>
      <c r="S194" s="29" t="s">
        <v>76</v>
      </c>
      <c r="T194" s="29" t="s">
        <v>964</v>
      </c>
    </row>
    <row r="195" spans="5:20" ht="12.75" customHeight="1" x14ac:dyDescent="0.15">
      <c r="F195" s="29" t="s">
        <v>1020</v>
      </c>
      <c r="G195" s="30" t="s">
        <v>2393</v>
      </c>
      <c r="H195" s="30"/>
      <c r="I195" s="30" t="s">
        <v>142</v>
      </c>
      <c r="J195" s="30"/>
      <c r="L195" s="30" t="s">
        <v>1006</v>
      </c>
      <c r="M195" s="30" t="s">
        <v>2394</v>
      </c>
      <c r="N195" s="29" t="s">
        <v>2395</v>
      </c>
      <c r="O195" s="30" t="s">
        <v>1913</v>
      </c>
      <c r="S195" s="29" t="s">
        <v>76</v>
      </c>
      <c r="T195" s="29" t="s">
        <v>1023</v>
      </c>
    </row>
    <row r="196" spans="5:20" ht="12.75" customHeight="1" x14ac:dyDescent="0.15">
      <c r="F196" s="29" t="s">
        <v>1024</v>
      </c>
      <c r="G196" s="30" t="s">
        <v>2396</v>
      </c>
      <c r="H196" s="30"/>
      <c r="I196" s="30" t="s">
        <v>142</v>
      </c>
      <c r="J196" s="30"/>
      <c r="L196" s="30" t="s">
        <v>1006</v>
      </c>
      <c r="M196" s="30" t="s">
        <v>2397</v>
      </c>
      <c r="N196" s="30" t="s">
        <v>2398</v>
      </c>
      <c r="O196" s="30" t="s">
        <v>1913</v>
      </c>
      <c r="S196" s="29" t="s">
        <v>76</v>
      </c>
      <c r="T196" s="29" t="s">
        <v>1023</v>
      </c>
    </row>
    <row r="197" spans="5:20" ht="12.75" customHeight="1" x14ac:dyDescent="0.15">
      <c r="F197" s="29" t="s">
        <v>1027</v>
      </c>
      <c r="G197" s="30" t="s">
        <v>2399</v>
      </c>
      <c r="H197" s="30"/>
      <c r="I197" s="30" t="s">
        <v>144</v>
      </c>
      <c r="J197" s="30"/>
      <c r="L197" s="30" t="s">
        <v>1006</v>
      </c>
      <c r="M197" s="30" t="s">
        <v>2400</v>
      </c>
      <c r="N197" s="29" t="s">
        <v>2395</v>
      </c>
      <c r="O197" s="30" t="s">
        <v>1913</v>
      </c>
      <c r="S197" s="29" t="s">
        <v>77</v>
      </c>
      <c r="T197" s="29" t="s">
        <v>1023</v>
      </c>
    </row>
    <row r="198" spans="5:20" ht="12.75" customHeight="1" x14ac:dyDescent="0.15">
      <c r="F198" s="29" t="s">
        <v>1029</v>
      </c>
      <c r="G198" s="30" t="s">
        <v>2401</v>
      </c>
      <c r="H198" s="30"/>
      <c r="I198" s="30" t="s">
        <v>144</v>
      </c>
      <c r="J198" s="30"/>
      <c r="L198" s="30" t="s">
        <v>1006</v>
      </c>
      <c r="M198" s="30" t="s">
        <v>2400</v>
      </c>
      <c r="N198" s="29" t="s">
        <v>2395</v>
      </c>
      <c r="O198" s="30" t="s">
        <v>1913</v>
      </c>
      <c r="S198" s="29" t="s">
        <v>77</v>
      </c>
      <c r="T198" s="29" t="s">
        <v>1023</v>
      </c>
    </row>
    <row r="199" spans="5:20" ht="12.75" customHeight="1" x14ac:dyDescent="0.15">
      <c r="F199" s="29" t="s">
        <v>1030</v>
      </c>
      <c r="G199" s="30" t="s">
        <v>2402</v>
      </c>
      <c r="H199" s="30"/>
      <c r="I199" s="30" t="s">
        <v>144</v>
      </c>
      <c r="J199" s="30"/>
      <c r="L199" s="30" t="s">
        <v>1006</v>
      </c>
      <c r="M199" s="30" t="s">
        <v>2400</v>
      </c>
      <c r="N199" s="29" t="s">
        <v>2395</v>
      </c>
      <c r="O199" s="30" t="s">
        <v>1913</v>
      </c>
      <c r="S199" s="29" t="s">
        <v>77</v>
      </c>
      <c r="T199" s="29" t="s">
        <v>1023</v>
      </c>
    </row>
    <row r="200" spans="5:20" ht="12.75" customHeight="1" x14ac:dyDescent="0.15">
      <c r="F200" s="29" t="s">
        <v>1031</v>
      </c>
      <c r="G200" s="30" t="s">
        <v>2403</v>
      </c>
      <c r="H200" s="30"/>
      <c r="I200" s="30" t="s">
        <v>144</v>
      </c>
      <c r="J200" s="30"/>
      <c r="L200" s="30" t="s">
        <v>1006</v>
      </c>
      <c r="M200" s="30" t="s">
        <v>2400</v>
      </c>
      <c r="N200" s="29" t="s">
        <v>2395</v>
      </c>
      <c r="O200" s="30" t="s">
        <v>1913</v>
      </c>
      <c r="S200" s="29" t="s">
        <v>77</v>
      </c>
      <c r="T200" s="29" t="s">
        <v>1023</v>
      </c>
    </row>
    <row r="201" spans="5:20" ht="12.75" customHeight="1" x14ac:dyDescent="0.15">
      <c r="F201" s="29" t="s">
        <v>1032</v>
      </c>
      <c r="G201" s="30" t="s">
        <v>2404</v>
      </c>
      <c r="H201" s="30"/>
      <c r="I201" s="30" t="s">
        <v>144</v>
      </c>
      <c r="J201" s="30"/>
      <c r="L201" s="30" t="s">
        <v>1006</v>
      </c>
      <c r="M201" s="30" t="s">
        <v>2400</v>
      </c>
      <c r="N201" s="29" t="s">
        <v>2395</v>
      </c>
      <c r="O201" s="30" t="s">
        <v>1913</v>
      </c>
      <c r="S201" s="29" t="s">
        <v>77</v>
      </c>
      <c r="T201" s="29" t="s">
        <v>1023</v>
      </c>
    </row>
    <row r="202" spans="5:20" ht="12.75" customHeight="1" x14ac:dyDescent="0.15">
      <c r="F202" s="29" t="s">
        <v>1033</v>
      </c>
      <c r="G202" s="30" t="s">
        <v>2405</v>
      </c>
      <c r="H202" s="30"/>
      <c r="I202" s="30" t="s">
        <v>144</v>
      </c>
      <c r="J202" s="30"/>
      <c r="L202" s="30" t="s">
        <v>1034</v>
      </c>
      <c r="M202" s="30" t="s">
        <v>2406</v>
      </c>
      <c r="N202" s="30" t="s">
        <v>2407</v>
      </c>
      <c r="O202" s="30" t="s">
        <v>1913</v>
      </c>
      <c r="S202" s="29" t="s">
        <v>77</v>
      </c>
      <c r="T202" s="29" t="s">
        <v>1023</v>
      </c>
    </row>
    <row r="203" spans="5:20" ht="12.75" customHeight="1" x14ac:dyDescent="0.15">
      <c r="F203" s="29" t="s">
        <v>1038</v>
      </c>
      <c r="G203" s="30" t="s">
        <v>2408</v>
      </c>
      <c r="H203" s="30"/>
      <c r="I203" s="30" t="s">
        <v>144</v>
      </c>
      <c r="J203" s="30"/>
      <c r="L203" s="30" t="s">
        <v>1034</v>
      </c>
      <c r="M203" s="30" t="s">
        <v>2409</v>
      </c>
      <c r="N203" s="30" t="s">
        <v>2407</v>
      </c>
      <c r="O203" s="30" t="s">
        <v>1913</v>
      </c>
      <c r="S203" s="29" t="s">
        <v>77</v>
      </c>
      <c r="T203" s="29" t="s">
        <v>1023</v>
      </c>
    </row>
    <row r="204" spans="5:20" ht="12.75" customHeight="1" x14ac:dyDescent="0.15">
      <c r="F204" s="29" t="s">
        <v>1040</v>
      </c>
      <c r="G204" s="30" t="s">
        <v>2410</v>
      </c>
      <c r="H204" s="30"/>
      <c r="I204" s="30" t="s">
        <v>144</v>
      </c>
      <c r="J204" s="30"/>
      <c r="L204" s="30" t="s">
        <v>1034</v>
      </c>
      <c r="M204" s="30" t="s">
        <v>2411</v>
      </c>
      <c r="N204" s="30" t="s">
        <v>2412</v>
      </c>
      <c r="O204" s="30" t="s">
        <v>1913</v>
      </c>
      <c r="S204" s="29" t="s">
        <v>77</v>
      </c>
      <c r="T204" s="29" t="s">
        <v>1023</v>
      </c>
    </row>
    <row r="205" spans="5:20" ht="12.75" customHeight="1" x14ac:dyDescent="0.15">
      <c r="E205" s="29" t="s">
        <v>2413</v>
      </c>
    </row>
    <row r="206" spans="5:20" ht="12.75" customHeight="1" x14ac:dyDescent="0.15">
      <c r="F206" s="29" t="s">
        <v>1045</v>
      </c>
      <c r="G206" s="30" t="s">
        <v>2414</v>
      </c>
      <c r="H206" s="30"/>
      <c r="I206" s="30" t="s">
        <v>1010</v>
      </c>
      <c r="J206" s="30"/>
      <c r="L206" s="30" t="s">
        <v>1046</v>
      </c>
      <c r="M206" s="30" t="s">
        <v>2415</v>
      </c>
      <c r="N206" s="30" t="s">
        <v>2416</v>
      </c>
      <c r="O206" s="30" t="s">
        <v>1913</v>
      </c>
      <c r="S206" s="29" t="s">
        <v>76</v>
      </c>
      <c r="T206" s="29" t="s">
        <v>964</v>
      </c>
    </row>
    <row r="207" spans="5:20" ht="12.75" customHeight="1" x14ac:dyDescent="0.15">
      <c r="F207" s="29" t="s">
        <v>1050</v>
      </c>
      <c r="G207" s="30" t="s">
        <v>2417</v>
      </c>
      <c r="H207" s="30"/>
      <c r="I207" s="30" t="s">
        <v>1010</v>
      </c>
      <c r="J207" s="30"/>
      <c r="L207" s="30" t="s">
        <v>1051</v>
      </c>
      <c r="M207" s="30" t="s">
        <v>2418</v>
      </c>
      <c r="N207" s="30" t="s">
        <v>2419</v>
      </c>
      <c r="O207" s="30" t="s">
        <v>1913</v>
      </c>
      <c r="S207" s="29" t="s">
        <v>76</v>
      </c>
      <c r="T207" s="29" t="s">
        <v>964</v>
      </c>
    </row>
    <row r="208" spans="5:20" ht="12.75" customHeight="1" x14ac:dyDescent="0.15">
      <c r="F208" s="29" t="s">
        <v>1054</v>
      </c>
      <c r="G208" s="30" t="s">
        <v>2420</v>
      </c>
      <c r="H208" s="30"/>
      <c r="I208" s="30" t="s">
        <v>1010</v>
      </c>
      <c r="J208" s="30"/>
      <c r="L208" s="30" t="s">
        <v>1055</v>
      </c>
      <c r="M208" s="30" t="s">
        <v>2421</v>
      </c>
      <c r="N208" s="30" t="s">
        <v>2422</v>
      </c>
      <c r="O208" s="30" t="s">
        <v>1913</v>
      </c>
      <c r="S208" s="29" t="s">
        <v>76</v>
      </c>
      <c r="T208" s="29" t="s">
        <v>964</v>
      </c>
    </row>
    <row r="209" spans="4:20" ht="12.75" customHeight="1" x14ac:dyDescent="0.15">
      <c r="F209" s="29" t="s">
        <v>1058</v>
      </c>
      <c r="G209" s="30" t="s">
        <v>2423</v>
      </c>
      <c r="H209" s="30"/>
      <c r="I209" s="30" t="s">
        <v>1010</v>
      </c>
      <c r="J209" s="30"/>
      <c r="L209" s="30" t="s">
        <v>1059</v>
      </c>
      <c r="M209" s="30" t="s">
        <v>2424</v>
      </c>
      <c r="N209" s="30" t="s">
        <v>2425</v>
      </c>
      <c r="O209" s="30" t="s">
        <v>1913</v>
      </c>
      <c r="S209" s="29" t="s">
        <v>76</v>
      </c>
      <c r="T209" s="29" t="s">
        <v>964</v>
      </c>
    </row>
    <row r="210" spans="4:20" ht="12.75" customHeight="1" x14ac:dyDescent="0.15">
      <c r="F210" s="29" t="s">
        <v>1062</v>
      </c>
      <c r="G210" s="30" t="s">
        <v>2426</v>
      </c>
      <c r="H210" s="30"/>
      <c r="I210" s="30" t="s">
        <v>1010</v>
      </c>
      <c r="J210" s="30"/>
      <c r="L210" s="30" t="s">
        <v>1063</v>
      </c>
      <c r="M210" s="30" t="s">
        <v>2427</v>
      </c>
      <c r="N210" s="30" t="s">
        <v>2428</v>
      </c>
      <c r="O210" s="30" t="s">
        <v>1913</v>
      </c>
      <c r="S210" s="29" t="s">
        <v>76</v>
      </c>
      <c r="T210" s="29" t="s">
        <v>964</v>
      </c>
    </row>
    <row r="211" spans="4:20" ht="12.75" customHeight="1" x14ac:dyDescent="0.15">
      <c r="F211" s="29" t="s">
        <v>1066</v>
      </c>
      <c r="G211" s="30" t="s">
        <v>2429</v>
      </c>
      <c r="H211" s="30"/>
      <c r="I211" s="30" t="s">
        <v>1010</v>
      </c>
      <c r="J211" s="30"/>
      <c r="L211" s="30" t="s">
        <v>1067</v>
      </c>
      <c r="M211" s="30" t="s">
        <v>2430</v>
      </c>
      <c r="N211" s="30" t="s">
        <v>2431</v>
      </c>
      <c r="O211" s="30" t="s">
        <v>1913</v>
      </c>
      <c r="S211" s="29" t="s">
        <v>76</v>
      </c>
      <c r="T211" s="29" t="s">
        <v>964</v>
      </c>
    </row>
    <row r="212" spans="4:20" ht="12.75" customHeight="1" x14ac:dyDescent="0.15">
      <c r="F212" s="29" t="s">
        <v>1070</v>
      </c>
      <c r="G212" s="30" t="s">
        <v>2432</v>
      </c>
      <c r="H212" s="30"/>
      <c r="I212" s="30" t="s">
        <v>1010</v>
      </c>
      <c r="J212" s="30"/>
      <c r="L212" s="30" t="s">
        <v>1071</v>
      </c>
      <c r="M212" s="30" t="s">
        <v>2433</v>
      </c>
      <c r="N212" s="30" t="s">
        <v>2434</v>
      </c>
      <c r="O212" s="30" t="s">
        <v>1913</v>
      </c>
      <c r="S212" s="29" t="s">
        <v>76</v>
      </c>
      <c r="T212" s="29" t="s">
        <v>964</v>
      </c>
    </row>
    <row r="213" spans="4:20" ht="12.75" customHeight="1" x14ac:dyDescent="0.15">
      <c r="F213" s="29" t="s">
        <v>1074</v>
      </c>
      <c r="G213" s="30" t="s">
        <v>2435</v>
      </c>
      <c r="H213" s="30"/>
      <c r="I213" s="30" t="s">
        <v>1010</v>
      </c>
      <c r="J213" s="30"/>
      <c r="L213" s="30" t="s">
        <v>1075</v>
      </c>
      <c r="M213" s="30" t="s">
        <v>2436</v>
      </c>
      <c r="N213" s="30" t="s">
        <v>2437</v>
      </c>
      <c r="O213" s="30" t="s">
        <v>1913</v>
      </c>
      <c r="S213" s="29" t="s">
        <v>76</v>
      </c>
      <c r="T213" s="29" t="s">
        <v>964</v>
      </c>
    </row>
    <row r="214" spans="4:20" ht="12.75" customHeight="1" x14ac:dyDescent="0.15">
      <c r="F214" s="29" t="s">
        <v>1078</v>
      </c>
      <c r="G214" s="30" t="s">
        <v>2438</v>
      </c>
      <c r="H214" s="30"/>
      <c r="I214" s="30" t="s">
        <v>1010</v>
      </c>
      <c r="J214" s="30"/>
      <c r="L214" s="30" t="s">
        <v>1079</v>
      </c>
      <c r="M214" s="30" t="s">
        <v>2439</v>
      </c>
      <c r="N214" s="30" t="s">
        <v>2440</v>
      </c>
      <c r="O214" s="30" t="s">
        <v>1913</v>
      </c>
      <c r="S214" s="29" t="s">
        <v>76</v>
      </c>
      <c r="T214" s="29" t="s">
        <v>964</v>
      </c>
    </row>
    <row r="215" spans="4:20" ht="12.75" customHeight="1" x14ac:dyDescent="0.15">
      <c r="F215" s="29" t="s">
        <v>1084</v>
      </c>
      <c r="G215" s="30" t="s">
        <v>2441</v>
      </c>
      <c r="H215" s="30"/>
      <c r="I215" s="30" t="s">
        <v>1010</v>
      </c>
      <c r="J215" s="30"/>
      <c r="L215" s="30" t="s">
        <v>1085</v>
      </c>
      <c r="M215" s="30" t="s">
        <v>2442</v>
      </c>
      <c r="N215" s="30" t="s">
        <v>2443</v>
      </c>
      <c r="O215" s="30" t="s">
        <v>1913</v>
      </c>
      <c r="S215" s="29" t="s">
        <v>76</v>
      </c>
      <c r="T215" s="29" t="s">
        <v>964</v>
      </c>
    </row>
    <row r="216" spans="4:20" ht="12.75" customHeight="1" x14ac:dyDescent="0.15">
      <c r="F216" s="29" t="s">
        <v>1088</v>
      </c>
      <c r="G216" s="30" t="s">
        <v>2444</v>
      </c>
      <c r="H216" s="30"/>
      <c r="I216" s="30" t="s">
        <v>1010</v>
      </c>
      <c r="J216" s="30"/>
      <c r="L216" s="30" t="s">
        <v>1089</v>
      </c>
      <c r="M216" s="30" t="s">
        <v>2445</v>
      </c>
      <c r="N216" s="30" t="s">
        <v>2446</v>
      </c>
      <c r="O216" s="30" t="s">
        <v>1913</v>
      </c>
      <c r="S216" s="29" t="s">
        <v>76</v>
      </c>
      <c r="T216" s="29" t="s">
        <v>964</v>
      </c>
    </row>
    <row r="217" spans="4:20" ht="12.75" customHeight="1" x14ac:dyDescent="0.15">
      <c r="F217" s="29" t="s">
        <v>1092</v>
      </c>
      <c r="G217" s="30" t="s">
        <v>2447</v>
      </c>
      <c r="H217" s="30"/>
      <c r="I217" s="30" t="s">
        <v>1010</v>
      </c>
      <c r="J217" s="30"/>
      <c r="L217" s="30" t="s">
        <v>1089</v>
      </c>
      <c r="M217" s="30" t="s">
        <v>2448</v>
      </c>
      <c r="N217" s="30" t="s">
        <v>2449</v>
      </c>
      <c r="O217" s="30" t="s">
        <v>1913</v>
      </c>
      <c r="S217" s="29" t="s">
        <v>76</v>
      </c>
      <c r="T217" s="29" t="s">
        <v>964</v>
      </c>
    </row>
    <row r="218" spans="4:20" ht="12.75" customHeight="1" x14ac:dyDescent="0.15">
      <c r="F218" s="29" t="s">
        <v>1095</v>
      </c>
      <c r="G218" s="30" t="s">
        <v>2450</v>
      </c>
      <c r="H218" s="30"/>
      <c r="I218" s="30" t="s">
        <v>1010</v>
      </c>
      <c r="J218" s="30"/>
      <c r="L218" s="30" t="s">
        <v>1089</v>
      </c>
      <c r="M218" s="30" t="s">
        <v>2451</v>
      </c>
      <c r="N218" s="30" t="s">
        <v>2452</v>
      </c>
      <c r="O218" s="30" t="s">
        <v>1913</v>
      </c>
      <c r="S218" s="29" t="s">
        <v>76</v>
      </c>
      <c r="T218" s="29" t="s">
        <v>964</v>
      </c>
    </row>
    <row r="219" spans="4:20" ht="12.75" customHeight="1" x14ac:dyDescent="0.15">
      <c r="F219" s="29" t="s">
        <v>1098</v>
      </c>
      <c r="G219" s="30" t="s">
        <v>2453</v>
      </c>
      <c r="H219" s="30"/>
      <c r="I219" s="30" t="s">
        <v>1010</v>
      </c>
      <c r="J219" s="30"/>
      <c r="L219" s="30" t="s">
        <v>1089</v>
      </c>
      <c r="M219" s="30" t="s">
        <v>2454</v>
      </c>
      <c r="N219" s="30" t="s">
        <v>2455</v>
      </c>
      <c r="O219" s="30" t="s">
        <v>1913</v>
      </c>
      <c r="S219" s="29" t="s">
        <v>76</v>
      </c>
      <c r="T219" s="29" t="s">
        <v>964</v>
      </c>
    </row>
    <row r="220" spans="4:20" ht="12.75" customHeight="1" x14ac:dyDescent="0.15">
      <c r="F220" s="29" t="s">
        <v>2456</v>
      </c>
      <c r="G220" s="30" t="s">
        <v>2457</v>
      </c>
      <c r="H220" s="30"/>
      <c r="I220" s="30" t="s">
        <v>1010</v>
      </c>
      <c r="J220" s="30"/>
      <c r="L220" s="30" t="s">
        <v>2458</v>
      </c>
      <c r="M220" s="30" t="s">
        <v>2459</v>
      </c>
      <c r="N220" s="30" t="s">
        <v>2460</v>
      </c>
      <c r="O220" s="30" t="s">
        <v>1913</v>
      </c>
      <c r="S220" s="29" t="s">
        <v>76</v>
      </c>
      <c r="T220" s="29" t="s">
        <v>964</v>
      </c>
    </row>
    <row r="221" spans="4:20" ht="12.75" customHeight="1" x14ac:dyDescent="0.15">
      <c r="D221" s="29" t="s">
        <v>2514</v>
      </c>
    </row>
    <row r="222" spans="4:20" ht="12.75" customHeight="1" x14ac:dyDescent="0.15">
      <c r="E222" s="29" t="s">
        <v>2515</v>
      </c>
    </row>
    <row r="223" spans="4:20" ht="12.75" customHeight="1" x14ac:dyDescent="0.15">
      <c r="F223" s="29" t="s">
        <v>2516</v>
      </c>
      <c r="G223" s="30" t="s">
        <v>2517</v>
      </c>
      <c r="H223" s="30"/>
      <c r="I223" s="30" t="s">
        <v>2518</v>
      </c>
      <c r="J223" s="30"/>
      <c r="K223" s="30"/>
      <c r="L223" s="30" t="s">
        <v>2519</v>
      </c>
      <c r="M223" s="30" t="s">
        <v>2520</v>
      </c>
      <c r="N223" s="30" t="s">
        <v>2521</v>
      </c>
      <c r="O223" s="30" t="s">
        <v>1913</v>
      </c>
      <c r="S223" s="29" t="s">
        <v>2522</v>
      </c>
      <c r="T223" s="29" t="s">
        <v>2523</v>
      </c>
    </row>
    <row r="224" spans="4:20" ht="12.75" customHeight="1" x14ac:dyDescent="0.15">
      <c r="F224" s="29" t="s">
        <v>2524</v>
      </c>
      <c r="G224" s="30" t="s">
        <v>2525</v>
      </c>
      <c r="H224" s="30"/>
      <c r="I224" s="30" t="s">
        <v>2518</v>
      </c>
      <c r="J224" s="30"/>
      <c r="K224" s="30"/>
      <c r="L224" s="30" t="s">
        <v>2519</v>
      </c>
      <c r="M224" s="30" t="s">
        <v>2526</v>
      </c>
      <c r="N224" s="30" t="s">
        <v>2527</v>
      </c>
      <c r="O224" s="30" t="s">
        <v>1913</v>
      </c>
      <c r="S224" s="29" t="s">
        <v>2522</v>
      </c>
      <c r="T224" s="29" t="s">
        <v>2523</v>
      </c>
    </row>
    <row r="225" spans="4:20" ht="12.75" customHeight="1" x14ac:dyDescent="0.15">
      <c r="F225" s="29" t="s">
        <v>2528</v>
      </c>
      <c r="G225" s="30" t="s">
        <v>2529</v>
      </c>
      <c r="H225" s="30"/>
      <c r="I225" s="30" t="s">
        <v>2518</v>
      </c>
      <c r="J225" s="30"/>
      <c r="L225" s="29" t="s">
        <v>2519</v>
      </c>
      <c r="M225" s="30" t="s">
        <v>2530</v>
      </c>
      <c r="N225" s="30" t="s">
        <v>2531</v>
      </c>
      <c r="O225" s="30" t="s">
        <v>1913</v>
      </c>
      <c r="S225" s="29" t="s">
        <v>2522</v>
      </c>
      <c r="T225" s="29" t="s">
        <v>2523</v>
      </c>
    </row>
    <row r="226" spans="4:20" ht="12.75" customHeight="1" x14ac:dyDescent="0.15">
      <c r="F226" s="29" t="s">
        <v>2532</v>
      </c>
      <c r="G226" s="30" t="s">
        <v>2533</v>
      </c>
      <c r="H226" s="30"/>
      <c r="I226" s="30" t="s">
        <v>2518</v>
      </c>
      <c r="J226" s="30"/>
      <c r="L226" s="29" t="s">
        <v>2519</v>
      </c>
      <c r="M226" s="30" t="s">
        <v>2534</v>
      </c>
      <c r="N226" s="30" t="s">
        <v>2535</v>
      </c>
      <c r="O226" s="30" t="s">
        <v>1913</v>
      </c>
      <c r="S226" s="29" t="s">
        <v>2522</v>
      </c>
      <c r="T226" s="29" t="s">
        <v>2523</v>
      </c>
    </row>
    <row r="227" spans="4:20" ht="12.75" customHeight="1" x14ac:dyDescent="0.15">
      <c r="F227" s="29" t="s">
        <v>2536</v>
      </c>
      <c r="G227" s="30" t="s">
        <v>2537</v>
      </c>
      <c r="H227" s="30"/>
      <c r="I227" s="30" t="s">
        <v>2518</v>
      </c>
      <c r="J227" s="30"/>
      <c r="L227" s="29" t="s">
        <v>2519</v>
      </c>
      <c r="M227" s="30" t="s">
        <v>2538</v>
      </c>
      <c r="N227" s="30" t="s">
        <v>2539</v>
      </c>
      <c r="O227" s="30" t="s">
        <v>1913</v>
      </c>
      <c r="S227" s="29" t="s">
        <v>2522</v>
      </c>
      <c r="T227" s="29" t="s">
        <v>2523</v>
      </c>
    </row>
    <row r="228" spans="4:20" ht="12.75" customHeight="1" x14ac:dyDescent="0.15">
      <c r="F228" s="29" t="s">
        <v>2540</v>
      </c>
      <c r="G228" s="30" t="s">
        <v>2541</v>
      </c>
      <c r="H228" s="30"/>
      <c r="I228" s="30" t="s">
        <v>2518</v>
      </c>
      <c r="J228" s="30"/>
      <c r="L228" s="29" t="s">
        <v>2519</v>
      </c>
      <c r="M228" s="30" t="s">
        <v>2542</v>
      </c>
      <c r="N228" s="30" t="s">
        <v>2543</v>
      </c>
      <c r="O228" s="30" t="s">
        <v>1913</v>
      </c>
      <c r="S228" s="29" t="s">
        <v>2522</v>
      </c>
      <c r="T228" s="29" t="s">
        <v>2523</v>
      </c>
    </row>
    <row r="229" spans="4:20" ht="12.75" customHeight="1" x14ac:dyDescent="0.15">
      <c r="F229" s="29" t="s">
        <v>2544</v>
      </c>
      <c r="G229" s="30" t="s">
        <v>2545</v>
      </c>
      <c r="H229" s="30"/>
      <c r="I229" s="30" t="s">
        <v>2518</v>
      </c>
      <c r="J229" s="30"/>
      <c r="L229" s="29" t="s">
        <v>2519</v>
      </c>
      <c r="M229" s="30" t="s">
        <v>2546</v>
      </c>
      <c r="N229" s="30" t="s">
        <v>2547</v>
      </c>
      <c r="O229" s="30" t="s">
        <v>1913</v>
      </c>
      <c r="S229" s="29" t="s">
        <v>2522</v>
      </c>
      <c r="T229" s="29" t="s">
        <v>2523</v>
      </c>
    </row>
    <row r="230" spans="4:20" ht="12.75" customHeight="1" x14ac:dyDescent="0.15">
      <c r="F230" s="29" t="s">
        <v>2548</v>
      </c>
      <c r="G230" s="30" t="s">
        <v>2549</v>
      </c>
      <c r="H230" s="30"/>
      <c r="I230" s="30" t="s">
        <v>2518</v>
      </c>
      <c r="J230" s="30"/>
      <c r="L230" s="29" t="s">
        <v>2519</v>
      </c>
      <c r="M230" s="30" t="s">
        <v>2550</v>
      </c>
      <c r="N230" s="30" t="s">
        <v>2551</v>
      </c>
      <c r="O230" s="30" t="s">
        <v>1913</v>
      </c>
      <c r="S230" s="29" t="s">
        <v>2522</v>
      </c>
      <c r="T230" s="29" t="s">
        <v>2523</v>
      </c>
    </row>
    <row r="231" spans="4:20" ht="12.75" customHeight="1" x14ac:dyDescent="0.15">
      <c r="F231" s="29" t="s">
        <v>2552</v>
      </c>
      <c r="G231" s="30" t="s">
        <v>2553</v>
      </c>
      <c r="H231" s="30"/>
      <c r="I231" s="30" t="s">
        <v>2554</v>
      </c>
      <c r="J231" s="30"/>
      <c r="K231" s="30"/>
      <c r="L231" s="30" t="s">
        <v>2555</v>
      </c>
      <c r="M231" s="30" t="s">
        <v>2556</v>
      </c>
      <c r="N231" s="30" t="s">
        <v>2557</v>
      </c>
      <c r="O231" s="30" t="s">
        <v>1913</v>
      </c>
      <c r="S231" s="29" t="s">
        <v>1914</v>
      </c>
      <c r="T231" s="29" t="s">
        <v>1915</v>
      </c>
    </row>
    <row r="232" spans="4:20" ht="12.75" customHeight="1" x14ac:dyDescent="0.15">
      <c r="E232" s="29" t="s">
        <v>2558</v>
      </c>
      <c r="G232" s="30"/>
      <c r="H232" s="30"/>
      <c r="I232" s="30"/>
      <c r="J232" s="30"/>
      <c r="K232" s="30"/>
      <c r="L232" s="30"/>
      <c r="M232" s="30"/>
      <c r="N232" s="30"/>
    </row>
    <row r="233" spans="4:20" ht="12.75" customHeight="1" x14ac:dyDescent="0.15">
      <c r="F233" s="29" t="s">
        <v>2559</v>
      </c>
      <c r="G233" s="30" t="s">
        <v>2560</v>
      </c>
      <c r="H233" s="30"/>
      <c r="I233" s="30" t="s">
        <v>2554</v>
      </c>
      <c r="J233" s="30"/>
      <c r="L233" s="29" t="s">
        <v>2519</v>
      </c>
      <c r="M233" s="30" t="s">
        <v>2561</v>
      </c>
      <c r="N233" s="30" t="s">
        <v>2562</v>
      </c>
      <c r="O233" s="30" t="s">
        <v>1913</v>
      </c>
      <c r="S233" s="29" t="s">
        <v>1914</v>
      </c>
      <c r="T233" s="29" t="s">
        <v>1915</v>
      </c>
    </row>
    <row r="234" spans="4:20" ht="12.75" customHeight="1" x14ac:dyDescent="0.15">
      <c r="F234" s="29" t="s">
        <v>2563</v>
      </c>
      <c r="G234" s="30" t="s">
        <v>2564</v>
      </c>
      <c r="H234" s="30"/>
      <c r="I234" s="30" t="s">
        <v>2554</v>
      </c>
      <c r="J234" s="30"/>
      <c r="K234" s="30"/>
      <c r="L234" s="30" t="s">
        <v>2565</v>
      </c>
      <c r="M234" s="30" t="s">
        <v>2566</v>
      </c>
      <c r="N234" s="30" t="s">
        <v>2567</v>
      </c>
      <c r="O234" s="30" t="s">
        <v>1913</v>
      </c>
      <c r="S234" s="29" t="s">
        <v>1914</v>
      </c>
      <c r="T234" s="29" t="s">
        <v>1915</v>
      </c>
    </row>
    <row r="235" spans="4:20" ht="12.75" customHeight="1" x14ac:dyDescent="0.15">
      <c r="F235" s="29" t="s">
        <v>1398</v>
      </c>
      <c r="G235" s="30" t="s">
        <v>2568</v>
      </c>
      <c r="H235" s="30"/>
      <c r="I235" s="30" t="s">
        <v>2554</v>
      </c>
      <c r="J235" s="30"/>
      <c r="K235" s="30"/>
      <c r="L235" s="30" t="s">
        <v>1394</v>
      </c>
      <c r="M235" s="30" t="s">
        <v>2569</v>
      </c>
      <c r="N235" s="30" t="s">
        <v>2570</v>
      </c>
      <c r="O235" s="30" t="s">
        <v>1913</v>
      </c>
      <c r="Q235" s="30"/>
      <c r="S235" s="29" t="s">
        <v>1914</v>
      </c>
      <c r="T235" s="29" t="s">
        <v>1915</v>
      </c>
    </row>
    <row r="236" spans="4:20" ht="12.75" customHeight="1" x14ac:dyDescent="0.15">
      <c r="F236" s="29" t="s">
        <v>1402</v>
      </c>
      <c r="G236" s="30" t="s">
        <v>2571</v>
      </c>
      <c r="H236" s="30"/>
      <c r="I236" s="30" t="s">
        <v>2518</v>
      </c>
      <c r="J236" s="30"/>
      <c r="K236" s="30"/>
      <c r="L236" s="30" t="s">
        <v>1394</v>
      </c>
      <c r="M236" s="30" t="s">
        <v>2572</v>
      </c>
      <c r="N236" s="30" t="s">
        <v>2573</v>
      </c>
      <c r="O236" s="30" t="s">
        <v>1913</v>
      </c>
      <c r="Q236" s="30"/>
      <c r="S236" s="29" t="s">
        <v>2522</v>
      </c>
      <c r="T236" s="29" t="s">
        <v>2523</v>
      </c>
    </row>
    <row r="237" spans="4:20" ht="12.75" customHeight="1" x14ac:dyDescent="0.15">
      <c r="F237" s="29" t="s">
        <v>1406</v>
      </c>
      <c r="G237" s="30" t="s">
        <v>2574</v>
      </c>
      <c r="H237" s="30"/>
      <c r="I237" s="30" t="s">
        <v>2554</v>
      </c>
      <c r="J237" s="30"/>
      <c r="K237" s="30"/>
      <c r="L237" s="30" t="s">
        <v>1407</v>
      </c>
      <c r="M237" s="30" t="s">
        <v>2575</v>
      </c>
      <c r="N237" s="30" t="s">
        <v>2576</v>
      </c>
      <c r="O237" s="30" t="s">
        <v>1913</v>
      </c>
      <c r="S237" s="29" t="s">
        <v>1914</v>
      </c>
      <c r="T237" s="29" t="s">
        <v>1915</v>
      </c>
    </row>
    <row r="238" spans="4:20" ht="12.75" customHeight="1" x14ac:dyDescent="0.15">
      <c r="F238" s="29" t="s">
        <v>1412</v>
      </c>
      <c r="G238" s="30" t="s">
        <v>2577</v>
      </c>
      <c r="H238" s="30"/>
      <c r="I238" s="30" t="s">
        <v>2554</v>
      </c>
      <c r="J238" s="30"/>
      <c r="K238" s="30"/>
      <c r="L238" s="30" t="s">
        <v>1407</v>
      </c>
      <c r="M238" s="30" t="s">
        <v>2578</v>
      </c>
      <c r="N238" s="30" t="s">
        <v>2579</v>
      </c>
      <c r="O238" s="30" t="s">
        <v>1913</v>
      </c>
      <c r="S238" s="29" t="s">
        <v>1914</v>
      </c>
      <c r="T238" s="29" t="s">
        <v>1915</v>
      </c>
    </row>
    <row r="239" spans="4:20" ht="12.75" customHeight="1" x14ac:dyDescent="0.15">
      <c r="D239" s="29" t="s">
        <v>1902</v>
      </c>
    </row>
    <row r="240" spans="4:20" ht="12.75" customHeight="1" x14ac:dyDescent="0.15">
      <c r="E240" s="29" t="s">
        <v>2461</v>
      </c>
    </row>
    <row r="241" spans="6:20" ht="12.75" customHeight="1" x14ac:dyDescent="0.15">
      <c r="F241" s="29" t="s">
        <v>1418</v>
      </c>
      <c r="G241" s="30" t="s">
        <v>2462</v>
      </c>
      <c r="H241" s="30"/>
      <c r="I241" s="30" t="s">
        <v>144</v>
      </c>
      <c r="J241" s="30"/>
      <c r="L241" s="29" t="s">
        <v>1320</v>
      </c>
      <c r="M241" s="30" t="s">
        <v>2463</v>
      </c>
      <c r="N241" s="30" t="s">
        <v>2464</v>
      </c>
      <c r="O241" s="30" t="s">
        <v>1913</v>
      </c>
      <c r="S241" s="29" t="s">
        <v>77</v>
      </c>
      <c r="T241" s="29" t="s">
        <v>1023</v>
      </c>
    </row>
    <row r="242" spans="6:20" ht="12.75" customHeight="1" x14ac:dyDescent="0.15">
      <c r="F242" s="29" t="s">
        <v>1421</v>
      </c>
      <c r="G242" s="30" t="s">
        <v>2465</v>
      </c>
      <c r="H242" s="30"/>
      <c r="I242" s="30" t="s">
        <v>144</v>
      </c>
      <c r="J242" s="30"/>
      <c r="L242" s="29" t="s">
        <v>1320</v>
      </c>
      <c r="M242" s="30" t="s">
        <v>2466</v>
      </c>
      <c r="N242" s="30" t="s">
        <v>2467</v>
      </c>
      <c r="O242" s="30" t="s">
        <v>1913</v>
      </c>
      <c r="S242" s="29" t="s">
        <v>1424</v>
      </c>
      <c r="T242" s="29" t="s">
        <v>1023</v>
      </c>
    </row>
    <row r="243" spans="6:20" ht="12.75" customHeight="1" x14ac:dyDescent="0.15">
      <c r="F243" s="29" t="s">
        <v>1425</v>
      </c>
      <c r="G243" s="30" t="s">
        <v>2468</v>
      </c>
      <c r="H243" s="30"/>
      <c r="I243" s="30" t="s">
        <v>144</v>
      </c>
      <c r="J243" s="30"/>
      <c r="L243" s="30" t="s">
        <v>1426</v>
      </c>
      <c r="M243" s="30" t="s">
        <v>2469</v>
      </c>
      <c r="N243" s="30" t="s">
        <v>2470</v>
      </c>
      <c r="O243" s="30" t="s">
        <v>1913</v>
      </c>
      <c r="S243" s="29" t="s">
        <v>1424</v>
      </c>
      <c r="T243" s="29" t="s">
        <v>1023</v>
      </c>
    </row>
    <row r="244" spans="6:20" ht="12.75" customHeight="1" x14ac:dyDescent="0.15">
      <c r="F244" s="29" t="s">
        <v>1429</v>
      </c>
      <c r="G244" s="30" t="s">
        <v>2471</v>
      </c>
      <c r="H244" s="30"/>
      <c r="I244" s="30" t="s">
        <v>144</v>
      </c>
      <c r="J244" s="30"/>
      <c r="L244" s="30" t="s">
        <v>1426</v>
      </c>
      <c r="M244" s="30" t="s">
        <v>2472</v>
      </c>
      <c r="N244" s="30" t="s">
        <v>2473</v>
      </c>
      <c r="O244" s="30" t="s">
        <v>1913</v>
      </c>
      <c r="S244" s="29" t="s">
        <v>1424</v>
      </c>
      <c r="T244" s="29" t="s">
        <v>1023</v>
      </c>
    </row>
    <row r="245" spans="6:20" ht="12.75" customHeight="1" x14ac:dyDescent="0.15">
      <c r="F245" s="29" t="s">
        <v>1432</v>
      </c>
      <c r="G245" s="30" t="s">
        <v>2474</v>
      </c>
      <c r="H245" s="30"/>
      <c r="I245" s="30" t="s">
        <v>144</v>
      </c>
      <c r="J245" s="30"/>
      <c r="L245" s="30" t="s">
        <v>1426</v>
      </c>
      <c r="M245" s="30" t="s">
        <v>2475</v>
      </c>
      <c r="N245" s="30" t="s">
        <v>2473</v>
      </c>
      <c r="O245" s="30" t="s">
        <v>1913</v>
      </c>
      <c r="S245" s="29" t="s">
        <v>1424</v>
      </c>
      <c r="T245" s="29" t="s">
        <v>1023</v>
      </c>
    </row>
    <row r="246" spans="6:20" ht="12.75" customHeight="1" x14ac:dyDescent="0.15">
      <c r="F246" s="29" t="s">
        <v>1434</v>
      </c>
      <c r="G246" s="30" t="s">
        <v>2476</v>
      </c>
      <c r="H246" s="30"/>
      <c r="I246" s="30" t="s">
        <v>144</v>
      </c>
      <c r="J246" s="30"/>
      <c r="L246" s="30" t="s">
        <v>1426</v>
      </c>
      <c r="M246" s="30" t="s">
        <v>2477</v>
      </c>
      <c r="N246" s="30" t="s">
        <v>2478</v>
      </c>
      <c r="O246" s="30" t="s">
        <v>1913</v>
      </c>
      <c r="S246" s="29" t="s">
        <v>1424</v>
      </c>
      <c r="T246" s="29" t="s">
        <v>1023</v>
      </c>
    </row>
    <row r="247" spans="6:20" ht="12.75" customHeight="1" x14ac:dyDescent="0.15">
      <c r="F247" s="29" t="s">
        <v>1437</v>
      </c>
      <c r="G247" s="30" t="s">
        <v>2479</v>
      </c>
      <c r="H247" s="30"/>
      <c r="I247" s="30" t="s">
        <v>144</v>
      </c>
      <c r="J247" s="30"/>
      <c r="L247" s="30" t="s">
        <v>1426</v>
      </c>
      <c r="M247" s="30" t="s">
        <v>2480</v>
      </c>
      <c r="N247" s="30" t="s">
        <v>2481</v>
      </c>
      <c r="O247" s="30" t="s">
        <v>1913</v>
      </c>
      <c r="S247" s="29" t="s">
        <v>1424</v>
      </c>
      <c r="T247" s="29" t="s">
        <v>1023</v>
      </c>
    </row>
    <row r="248" spans="6:20" ht="12.75" customHeight="1" x14ac:dyDescent="0.15">
      <c r="F248" s="29" t="s">
        <v>1440</v>
      </c>
      <c r="G248" s="30" t="s">
        <v>2482</v>
      </c>
      <c r="H248" s="30"/>
      <c r="I248" s="30" t="s">
        <v>144</v>
      </c>
      <c r="J248" s="30"/>
      <c r="L248" s="30" t="s">
        <v>1426</v>
      </c>
      <c r="M248" s="30" t="s">
        <v>2483</v>
      </c>
      <c r="N248" s="30" t="s">
        <v>2484</v>
      </c>
      <c r="O248" s="30" t="s">
        <v>1913</v>
      </c>
      <c r="S248" s="29" t="s">
        <v>1424</v>
      </c>
      <c r="T248" s="29" t="s">
        <v>1023</v>
      </c>
    </row>
    <row r="249" spans="6:20" ht="12.75" customHeight="1" x14ac:dyDescent="0.15">
      <c r="F249" s="29" t="s">
        <v>1443</v>
      </c>
      <c r="G249" s="30" t="s">
        <v>2485</v>
      </c>
      <c r="H249" s="30"/>
      <c r="I249" s="30" t="s">
        <v>144</v>
      </c>
      <c r="J249" s="30"/>
      <c r="L249" s="30" t="s">
        <v>1426</v>
      </c>
      <c r="M249" s="30" t="s">
        <v>2486</v>
      </c>
      <c r="N249" s="30" t="s">
        <v>2487</v>
      </c>
      <c r="O249" s="30" t="s">
        <v>1913</v>
      </c>
      <c r="S249" s="29" t="s">
        <v>1424</v>
      </c>
      <c r="T249" s="29" t="s">
        <v>1023</v>
      </c>
    </row>
    <row r="250" spans="6:20" ht="12.75" customHeight="1" x14ac:dyDescent="0.15">
      <c r="F250" s="29" t="s">
        <v>1446</v>
      </c>
      <c r="G250" s="30" t="s">
        <v>2488</v>
      </c>
      <c r="H250" s="30"/>
      <c r="I250" s="30" t="s">
        <v>144</v>
      </c>
      <c r="J250" s="30"/>
      <c r="L250" s="30" t="s">
        <v>1426</v>
      </c>
      <c r="M250" s="30" t="s">
        <v>2489</v>
      </c>
      <c r="N250" s="30" t="s">
        <v>2473</v>
      </c>
      <c r="O250" s="30" t="s">
        <v>1913</v>
      </c>
      <c r="S250" s="29" t="s">
        <v>1424</v>
      </c>
      <c r="T250" s="29" t="s">
        <v>1023</v>
      </c>
    </row>
    <row r="251" spans="6:20" ht="12.75" customHeight="1" x14ac:dyDescent="0.15">
      <c r="F251" s="29" t="s">
        <v>1449</v>
      </c>
      <c r="G251" s="30" t="s">
        <v>2490</v>
      </c>
      <c r="H251" s="30"/>
      <c r="I251" s="30" t="s">
        <v>144</v>
      </c>
      <c r="J251" s="30"/>
      <c r="L251" s="30" t="s">
        <v>1450</v>
      </c>
      <c r="M251" s="30" t="s">
        <v>2491</v>
      </c>
      <c r="N251" s="30" t="s">
        <v>2492</v>
      </c>
      <c r="O251" s="30" t="s">
        <v>1913</v>
      </c>
      <c r="S251" s="29" t="s">
        <v>1424</v>
      </c>
      <c r="T251" s="29" t="s">
        <v>1023</v>
      </c>
    </row>
    <row r="252" spans="6:20" ht="12.75" customHeight="1" x14ac:dyDescent="0.15">
      <c r="F252" s="29" t="s">
        <v>1453</v>
      </c>
      <c r="G252" s="30" t="s">
        <v>2493</v>
      </c>
      <c r="H252" s="30"/>
      <c r="I252" s="30" t="s">
        <v>144</v>
      </c>
      <c r="J252" s="30"/>
      <c r="L252" s="30" t="s">
        <v>1450</v>
      </c>
      <c r="M252" s="30" t="s">
        <v>2494</v>
      </c>
      <c r="N252" s="30" t="s">
        <v>2492</v>
      </c>
      <c r="O252" s="30" t="s">
        <v>1913</v>
      </c>
      <c r="S252" s="29" t="s">
        <v>1424</v>
      </c>
      <c r="T252" s="29" t="s">
        <v>1023</v>
      </c>
    </row>
    <row r="253" spans="6:20" ht="12.75" customHeight="1" x14ac:dyDescent="0.15">
      <c r="F253" s="29" t="s">
        <v>1455</v>
      </c>
      <c r="G253" s="30" t="s">
        <v>2495</v>
      </c>
      <c r="H253" s="30"/>
      <c r="I253" s="30" t="s">
        <v>144</v>
      </c>
      <c r="J253" s="30"/>
      <c r="L253" s="30" t="s">
        <v>1450</v>
      </c>
      <c r="M253" s="30" t="s">
        <v>2496</v>
      </c>
      <c r="N253" s="30" t="s">
        <v>2492</v>
      </c>
      <c r="O253" s="30" t="s">
        <v>1913</v>
      </c>
      <c r="S253" s="29" t="s">
        <v>1424</v>
      </c>
      <c r="T253" s="29" t="s">
        <v>1023</v>
      </c>
    </row>
    <row r="254" spans="6:20" ht="12.75" customHeight="1" x14ac:dyDescent="0.15">
      <c r="F254" s="29" t="s">
        <v>1457</v>
      </c>
      <c r="G254" s="30" t="s">
        <v>2497</v>
      </c>
      <c r="H254" s="30"/>
      <c r="I254" s="30" t="s">
        <v>144</v>
      </c>
      <c r="J254" s="30"/>
      <c r="L254" s="29" t="s">
        <v>1320</v>
      </c>
      <c r="M254" s="30" t="s">
        <v>2498</v>
      </c>
      <c r="N254" s="30" t="s">
        <v>2499</v>
      </c>
      <c r="O254" s="30" t="s">
        <v>1913</v>
      </c>
      <c r="S254" s="29" t="s">
        <v>1238</v>
      </c>
      <c r="T254" s="29" t="s">
        <v>1023</v>
      </c>
    </row>
    <row r="255" spans="6:20" ht="12.75" customHeight="1" x14ac:dyDescent="0.15">
      <c r="F255" s="29" t="s">
        <v>1460</v>
      </c>
      <c r="G255" s="30" t="s">
        <v>2500</v>
      </c>
      <c r="H255" s="30"/>
      <c r="I255" s="30" t="s">
        <v>144</v>
      </c>
      <c r="J255" s="30"/>
      <c r="L255" s="29" t="s">
        <v>1320</v>
      </c>
      <c r="M255" s="30" t="s">
        <v>2501</v>
      </c>
      <c r="N255" s="30" t="s">
        <v>2499</v>
      </c>
      <c r="O255" s="30" t="s">
        <v>1913</v>
      </c>
      <c r="S255" s="29" t="s">
        <v>1238</v>
      </c>
      <c r="T255" s="29" t="s">
        <v>1023</v>
      </c>
    </row>
    <row r="256" spans="6:20" ht="12.75" customHeight="1" x14ac:dyDescent="0.15">
      <c r="F256" s="29" t="s">
        <v>1462</v>
      </c>
      <c r="G256" s="30" t="s">
        <v>2502</v>
      </c>
      <c r="H256" s="30"/>
      <c r="I256" s="30" t="s">
        <v>144</v>
      </c>
      <c r="J256" s="30"/>
      <c r="L256" s="29" t="s">
        <v>1320</v>
      </c>
      <c r="M256" s="30" t="s">
        <v>2503</v>
      </c>
      <c r="N256" s="30" t="s">
        <v>2504</v>
      </c>
      <c r="O256" s="30" t="s">
        <v>1913</v>
      </c>
      <c r="S256" s="29" t="s">
        <v>1238</v>
      </c>
      <c r="T256" s="29" t="s">
        <v>1023</v>
      </c>
    </row>
    <row r="257" spans="5:20" ht="12.75" customHeight="1" x14ac:dyDescent="0.15">
      <c r="F257" s="29" t="s">
        <v>1465</v>
      </c>
      <c r="G257" s="30" t="s">
        <v>2505</v>
      </c>
      <c r="H257" s="30"/>
      <c r="I257" s="30" t="s">
        <v>144</v>
      </c>
      <c r="J257" s="30"/>
      <c r="L257" s="29" t="s">
        <v>1320</v>
      </c>
      <c r="M257" s="30" t="s">
        <v>2506</v>
      </c>
      <c r="N257" s="30" t="s">
        <v>2499</v>
      </c>
      <c r="O257" s="30" t="s">
        <v>1913</v>
      </c>
      <c r="S257" s="29" t="s">
        <v>1238</v>
      </c>
      <c r="T257" s="29" t="s">
        <v>1023</v>
      </c>
    </row>
    <row r="258" spans="5:20" ht="12.75" customHeight="1" x14ac:dyDescent="0.15">
      <c r="F258" s="29" t="s">
        <v>1467</v>
      </c>
      <c r="G258" s="30" t="s">
        <v>2507</v>
      </c>
      <c r="H258" s="30"/>
      <c r="I258" s="30" t="s">
        <v>144</v>
      </c>
      <c r="J258" s="30"/>
      <c r="L258" s="29" t="s">
        <v>1320</v>
      </c>
      <c r="M258" s="30" t="s">
        <v>2508</v>
      </c>
      <c r="N258" s="29" t="s">
        <v>2509</v>
      </c>
      <c r="O258" s="30" t="s">
        <v>1913</v>
      </c>
      <c r="S258" s="29" t="s">
        <v>1238</v>
      </c>
      <c r="T258" s="29" t="s">
        <v>1023</v>
      </c>
    </row>
    <row r="259" spans="5:20" ht="12.75" customHeight="1" x14ac:dyDescent="0.15">
      <c r="F259" s="29" t="s">
        <v>1470</v>
      </c>
      <c r="G259" s="30" t="s">
        <v>2510</v>
      </c>
      <c r="H259" s="30"/>
      <c r="I259" s="30" t="s">
        <v>144</v>
      </c>
      <c r="J259" s="30"/>
      <c r="L259" s="30" t="s">
        <v>1471</v>
      </c>
      <c r="M259" s="30" t="s">
        <v>2511</v>
      </c>
      <c r="N259" s="30" t="s">
        <v>2512</v>
      </c>
      <c r="O259" s="30" t="s">
        <v>1913</v>
      </c>
      <c r="S259" s="29" t="s">
        <v>1238</v>
      </c>
      <c r="T259" s="29" t="s">
        <v>1023</v>
      </c>
    </row>
    <row r="260" spans="5:20" ht="12.75" customHeight="1" x14ac:dyDescent="0.15">
      <c r="F260" s="29" t="s">
        <v>1474</v>
      </c>
      <c r="G260" s="30" t="s">
        <v>2513</v>
      </c>
      <c r="H260" s="30"/>
      <c r="I260" s="30" t="s">
        <v>144</v>
      </c>
      <c r="J260" s="30"/>
      <c r="L260" s="30" t="s">
        <v>1475</v>
      </c>
      <c r="M260" s="30" t="s">
        <v>2511</v>
      </c>
      <c r="N260" s="30" t="s">
        <v>2512</v>
      </c>
      <c r="O260" s="30" t="s">
        <v>1913</v>
      </c>
      <c r="S260" s="29" t="s">
        <v>1238</v>
      </c>
      <c r="T260" s="29" t="s">
        <v>1023</v>
      </c>
    </row>
    <row r="261" spans="5:20" ht="13.5" customHeight="1" x14ac:dyDescent="0.15">
      <c r="E261" s="29" t="s">
        <v>2580</v>
      </c>
    </row>
    <row r="262" spans="5:20" ht="13.5" customHeight="1" x14ac:dyDescent="0.15">
      <c r="F262" s="29" t="s">
        <v>2581</v>
      </c>
      <c r="G262" s="30" t="s">
        <v>2582</v>
      </c>
      <c r="H262" s="30"/>
      <c r="I262" s="30" t="s">
        <v>2518</v>
      </c>
      <c r="J262" s="30"/>
      <c r="L262" s="29" t="s">
        <v>1320</v>
      </c>
      <c r="M262" s="30" t="s">
        <v>2583</v>
      </c>
      <c r="N262" s="30" t="s">
        <v>2584</v>
      </c>
      <c r="O262" s="30" t="s">
        <v>1913</v>
      </c>
      <c r="S262" s="29" t="s">
        <v>2522</v>
      </c>
      <c r="T262" s="29" t="s">
        <v>2523</v>
      </c>
    </row>
    <row r="263" spans="5:20" ht="13.5" customHeight="1" x14ac:dyDescent="0.15">
      <c r="F263" s="29" t="s">
        <v>1488</v>
      </c>
      <c r="G263" s="30" t="s">
        <v>2585</v>
      </c>
      <c r="H263" s="30"/>
      <c r="I263" s="30" t="s">
        <v>2518</v>
      </c>
      <c r="J263" s="30"/>
      <c r="L263" s="29" t="s">
        <v>1320</v>
      </c>
      <c r="M263" s="30" t="s">
        <v>2586</v>
      </c>
      <c r="N263" s="30" t="s">
        <v>2587</v>
      </c>
      <c r="O263" s="30" t="s">
        <v>1913</v>
      </c>
      <c r="S263" s="29" t="s">
        <v>2522</v>
      </c>
      <c r="T263" s="29" t="s">
        <v>2523</v>
      </c>
    </row>
    <row r="264" spans="5:20" ht="13.5" customHeight="1" x14ac:dyDescent="0.15">
      <c r="F264" s="29" t="s">
        <v>2588</v>
      </c>
      <c r="G264" s="30" t="s">
        <v>2589</v>
      </c>
      <c r="H264" s="30"/>
      <c r="I264" s="30" t="s">
        <v>2518</v>
      </c>
      <c r="J264" s="30"/>
      <c r="L264" s="29" t="s">
        <v>1320</v>
      </c>
      <c r="M264" s="30" t="s">
        <v>2590</v>
      </c>
      <c r="N264" s="30" t="s">
        <v>2591</v>
      </c>
      <c r="O264" s="30" t="s">
        <v>1913</v>
      </c>
      <c r="S264" s="29" t="s">
        <v>2522</v>
      </c>
      <c r="T264" s="29" t="s">
        <v>2523</v>
      </c>
    </row>
    <row r="265" spans="5:20" ht="13.5" customHeight="1" x14ac:dyDescent="0.15">
      <c r="F265" s="29" t="s">
        <v>2592</v>
      </c>
      <c r="G265" s="30" t="s">
        <v>2593</v>
      </c>
      <c r="H265" s="30"/>
      <c r="I265" s="30" t="s">
        <v>2554</v>
      </c>
      <c r="J265" s="30"/>
      <c r="L265" s="29" t="s">
        <v>1320</v>
      </c>
      <c r="M265" s="30" t="s">
        <v>2594</v>
      </c>
      <c r="N265" s="30" t="s">
        <v>2595</v>
      </c>
      <c r="O265" s="30" t="s">
        <v>1913</v>
      </c>
      <c r="Q265" s="30" t="s">
        <v>2596</v>
      </c>
      <c r="S265" s="29" t="s">
        <v>1914</v>
      </c>
      <c r="T265" s="29" t="s">
        <v>1915</v>
      </c>
    </row>
    <row r="266" spans="5:20" ht="13.5" customHeight="1" x14ac:dyDescent="0.15">
      <c r="F266" s="29" t="s">
        <v>1501</v>
      </c>
      <c r="G266" s="30" t="s">
        <v>2597</v>
      </c>
      <c r="H266" s="30"/>
      <c r="I266" s="30" t="s">
        <v>2554</v>
      </c>
      <c r="J266" s="30"/>
      <c r="L266" s="29" t="s">
        <v>1320</v>
      </c>
      <c r="M266" s="30" t="s">
        <v>2594</v>
      </c>
      <c r="N266" s="30" t="s">
        <v>2598</v>
      </c>
      <c r="O266" s="30" t="s">
        <v>1913</v>
      </c>
      <c r="Q266" s="30" t="s">
        <v>2599</v>
      </c>
      <c r="S266" s="29" t="s">
        <v>1914</v>
      </c>
      <c r="T266" s="29" t="s">
        <v>1915</v>
      </c>
    </row>
  </sheetData>
  <autoFilter ref="A1:AW1" xr:uid="{00000000-0009-0000-0000-000010000000}"/>
  <phoneticPr fontId="1" type="noConversion"/>
  <dataValidations count="2">
    <dataValidation type="list" allowBlank="1" showInputMessage="1" showErrorMessage="1" sqref="I1" xr:uid="{9581EBB7-2966-4E81-8986-F26E4AEEAF1F}">
      <formula1>$AH$1:$AK$1</formula1>
    </dataValidation>
    <dataValidation type="list" allowBlank="1" showInputMessage="1" showErrorMessage="1" sqref="S1" xr:uid="{E5C4DE7B-B21B-41E7-88EC-E6467D1377E6}">
      <formula1>$AO$1:$AV$1</formula1>
    </dataValidation>
  </dataValidations>
  <pageMargins left="0.7" right="0.7" top="0.75" bottom="0.75" header="0.3" footer="0.3"/>
  <pageSetup paperSize="9" orientation="portrait" horizontalDpi="1200" verticalDpi="1200"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44C01D-8CD5-4856-9D99-6B20F85500AF}">
  <dimension ref="A1:AH274"/>
  <sheetViews>
    <sheetView workbookViewId="0">
      <selection activeCell="I14" sqref="I14"/>
    </sheetView>
  </sheetViews>
  <sheetFormatPr defaultRowHeight="13.5" x14ac:dyDescent="0.15"/>
  <sheetData>
    <row r="1" spans="1:34" x14ac:dyDescent="0.15">
      <c r="A1" t="s">
        <v>55</v>
      </c>
      <c r="B1" t="s">
        <v>971</v>
      </c>
      <c r="C1" t="s">
        <v>972</v>
      </c>
      <c r="D1" t="s">
        <v>973</v>
      </c>
      <c r="E1" t="s">
        <v>44</v>
      </c>
      <c r="F1" t="s">
        <v>974</v>
      </c>
      <c r="G1" t="s">
        <v>975</v>
      </c>
      <c r="H1" t="s">
        <v>976</v>
      </c>
      <c r="I1" t="s">
        <v>977</v>
      </c>
      <c r="J1" t="s">
        <v>64</v>
      </c>
      <c r="K1" t="s">
        <v>978</v>
      </c>
      <c r="L1" t="s">
        <v>979</v>
      </c>
      <c r="M1" t="s">
        <v>980</v>
      </c>
      <c r="N1" t="s">
        <v>981</v>
      </c>
      <c r="O1" t="s">
        <v>982</v>
      </c>
      <c r="P1" t="s">
        <v>983</v>
      </c>
      <c r="Q1" t="s">
        <v>984</v>
      </c>
      <c r="R1" t="s">
        <v>985</v>
      </c>
      <c r="S1" t="s">
        <v>986</v>
      </c>
      <c r="T1" t="s">
        <v>987</v>
      </c>
      <c r="U1" t="s">
        <v>988</v>
      </c>
      <c r="V1" t="s">
        <v>989</v>
      </c>
      <c r="W1" t="s">
        <v>990</v>
      </c>
      <c r="X1" t="s">
        <v>991</v>
      </c>
      <c r="Y1" t="s">
        <v>992</v>
      </c>
      <c r="Z1" t="s">
        <v>993</v>
      </c>
      <c r="AA1" t="s">
        <v>994</v>
      </c>
      <c r="AB1" t="s">
        <v>995</v>
      </c>
      <c r="AC1" t="s">
        <v>996</v>
      </c>
      <c r="AD1" t="s">
        <v>997</v>
      </c>
      <c r="AE1" t="s">
        <v>998</v>
      </c>
      <c r="AF1" t="s">
        <v>999</v>
      </c>
      <c r="AG1" t="s">
        <v>1000</v>
      </c>
      <c r="AH1" t="s">
        <v>1001</v>
      </c>
    </row>
    <row r="2" spans="1:34" x14ac:dyDescent="0.15">
      <c r="A2">
        <v>254397</v>
      </c>
      <c r="B2" t="s">
        <v>1002</v>
      </c>
      <c r="C2" t="s">
        <v>1003</v>
      </c>
      <c r="D2" t="s">
        <v>1004</v>
      </c>
      <c r="E2" t="s">
        <v>1005</v>
      </c>
      <c r="F2" t="s">
        <v>1006</v>
      </c>
      <c r="G2" t="s">
        <v>1007</v>
      </c>
      <c r="H2" t="s">
        <v>1008</v>
      </c>
      <c r="I2" t="s">
        <v>1009</v>
      </c>
      <c r="K2" t="s">
        <v>1010</v>
      </c>
      <c r="L2" t="s">
        <v>76</v>
      </c>
      <c r="N2" t="s">
        <v>1011</v>
      </c>
      <c r="O2">
        <v>0</v>
      </c>
      <c r="P2">
        <v>0</v>
      </c>
      <c r="Q2">
        <v>4</v>
      </c>
      <c r="U2" t="s">
        <v>1</v>
      </c>
      <c r="V2" t="s">
        <v>1012</v>
      </c>
      <c r="Y2">
        <v>1</v>
      </c>
      <c r="AB2" t="s">
        <v>1013</v>
      </c>
      <c r="AD2" t="s">
        <v>964</v>
      </c>
    </row>
    <row r="3" spans="1:34" x14ac:dyDescent="0.15">
      <c r="A3">
        <v>254398</v>
      </c>
      <c r="B3" t="s">
        <v>1002</v>
      </c>
      <c r="C3" t="s">
        <v>1003</v>
      </c>
      <c r="D3" t="s">
        <v>1004</v>
      </c>
      <c r="E3" t="s">
        <v>1014</v>
      </c>
      <c r="F3" t="s">
        <v>1006</v>
      </c>
      <c r="G3" t="s">
        <v>1015</v>
      </c>
      <c r="H3" t="s">
        <v>1008</v>
      </c>
      <c r="I3" t="s">
        <v>1009</v>
      </c>
      <c r="K3" t="s">
        <v>1010</v>
      </c>
      <c r="L3" t="s">
        <v>76</v>
      </c>
      <c r="N3" t="s">
        <v>1011</v>
      </c>
      <c r="O3">
        <v>0</v>
      </c>
      <c r="P3">
        <v>0</v>
      </c>
      <c r="Q3">
        <v>4</v>
      </c>
      <c r="U3" t="s">
        <v>1</v>
      </c>
      <c r="V3" t="s">
        <v>1012</v>
      </c>
      <c r="Y3">
        <v>1</v>
      </c>
      <c r="AB3" t="s">
        <v>1013</v>
      </c>
      <c r="AD3" t="s">
        <v>964</v>
      </c>
    </row>
    <row r="4" spans="1:34" x14ac:dyDescent="0.15">
      <c r="A4">
        <v>254399</v>
      </c>
      <c r="B4" t="s">
        <v>1002</v>
      </c>
      <c r="C4" t="s">
        <v>1003</v>
      </c>
      <c r="D4" t="s">
        <v>1004</v>
      </c>
      <c r="E4" t="s">
        <v>1016</v>
      </c>
      <c r="F4" t="s">
        <v>1006</v>
      </c>
      <c r="G4" t="s">
        <v>1017</v>
      </c>
      <c r="H4" t="s">
        <v>1008</v>
      </c>
      <c r="I4" t="s">
        <v>1009</v>
      </c>
      <c r="K4" t="s">
        <v>1010</v>
      </c>
      <c r="L4" t="s">
        <v>76</v>
      </c>
      <c r="N4" t="s">
        <v>1011</v>
      </c>
      <c r="O4">
        <v>0</v>
      </c>
      <c r="P4">
        <v>0</v>
      </c>
      <c r="Q4">
        <v>4</v>
      </c>
      <c r="U4" t="s">
        <v>1</v>
      </c>
      <c r="V4" t="s">
        <v>1012</v>
      </c>
      <c r="Y4">
        <v>1</v>
      </c>
      <c r="AB4" t="s">
        <v>1013</v>
      </c>
      <c r="AD4" t="s">
        <v>964</v>
      </c>
    </row>
    <row r="5" spans="1:34" x14ac:dyDescent="0.15">
      <c r="A5">
        <v>254400</v>
      </c>
      <c r="B5" t="s">
        <v>1002</v>
      </c>
      <c r="C5" t="s">
        <v>1003</v>
      </c>
      <c r="D5" t="s">
        <v>1004</v>
      </c>
      <c r="E5" t="s">
        <v>1018</v>
      </c>
      <c r="F5" t="s">
        <v>1006</v>
      </c>
      <c r="G5" t="s">
        <v>1019</v>
      </c>
      <c r="H5" t="s">
        <v>1008</v>
      </c>
      <c r="I5" t="s">
        <v>1009</v>
      </c>
      <c r="K5" t="s">
        <v>1010</v>
      </c>
      <c r="L5" t="s">
        <v>76</v>
      </c>
      <c r="N5" t="s">
        <v>1011</v>
      </c>
      <c r="O5">
        <v>0</v>
      </c>
      <c r="P5">
        <v>0</v>
      </c>
      <c r="Q5">
        <v>4</v>
      </c>
      <c r="U5" t="s">
        <v>1</v>
      </c>
      <c r="V5" t="s">
        <v>1012</v>
      </c>
      <c r="Y5">
        <v>1</v>
      </c>
      <c r="AB5" t="s">
        <v>1013</v>
      </c>
      <c r="AD5" t="s">
        <v>964</v>
      </c>
    </row>
    <row r="6" spans="1:34" x14ac:dyDescent="0.15">
      <c r="A6">
        <v>254401</v>
      </c>
      <c r="B6" t="s">
        <v>1002</v>
      </c>
      <c r="C6" t="s">
        <v>1003</v>
      </c>
      <c r="D6" t="s">
        <v>1004</v>
      </c>
      <c r="E6" t="s">
        <v>1020</v>
      </c>
      <c r="F6" t="s">
        <v>1006</v>
      </c>
      <c r="G6" t="s">
        <v>1021</v>
      </c>
      <c r="H6" t="s">
        <v>1022</v>
      </c>
      <c r="I6" t="s">
        <v>1009</v>
      </c>
      <c r="K6" t="s">
        <v>142</v>
      </c>
      <c r="L6" t="s">
        <v>76</v>
      </c>
      <c r="N6" t="s">
        <v>1011</v>
      </c>
      <c r="O6">
        <v>0</v>
      </c>
      <c r="P6">
        <v>0</v>
      </c>
      <c r="Q6">
        <v>4</v>
      </c>
      <c r="U6" t="s">
        <v>1</v>
      </c>
      <c r="V6" t="s">
        <v>1012</v>
      </c>
      <c r="Y6">
        <v>1</v>
      </c>
      <c r="AB6" t="s">
        <v>1013</v>
      </c>
      <c r="AD6" t="s">
        <v>1023</v>
      </c>
    </row>
    <row r="7" spans="1:34" x14ac:dyDescent="0.15">
      <c r="A7">
        <v>254402</v>
      </c>
      <c r="B7" t="s">
        <v>1002</v>
      </c>
      <c r="C7" t="s">
        <v>1003</v>
      </c>
      <c r="D7" t="s">
        <v>1004</v>
      </c>
      <c r="E7" t="s">
        <v>1024</v>
      </c>
      <c r="F7" t="s">
        <v>1006</v>
      </c>
      <c r="G7" t="s">
        <v>1025</v>
      </c>
      <c r="H7" t="s">
        <v>1026</v>
      </c>
      <c r="I7" t="s">
        <v>1009</v>
      </c>
      <c r="K7" t="s">
        <v>142</v>
      </c>
      <c r="L7" t="s">
        <v>76</v>
      </c>
      <c r="N7" t="s">
        <v>1011</v>
      </c>
      <c r="O7">
        <v>0</v>
      </c>
      <c r="P7">
        <v>0</v>
      </c>
      <c r="Q7">
        <v>4</v>
      </c>
      <c r="U7" t="s">
        <v>1</v>
      </c>
      <c r="V7" t="s">
        <v>1012</v>
      </c>
      <c r="Y7">
        <v>1</v>
      </c>
      <c r="AB7" t="s">
        <v>1013</v>
      </c>
      <c r="AD7" t="s">
        <v>1023</v>
      </c>
    </row>
    <row r="8" spans="1:34" x14ac:dyDescent="0.15">
      <c r="A8">
        <v>254403</v>
      </c>
      <c r="B8" t="s">
        <v>1002</v>
      </c>
      <c r="C8" t="s">
        <v>1003</v>
      </c>
      <c r="D8" t="s">
        <v>1004</v>
      </c>
      <c r="E8" t="s">
        <v>1027</v>
      </c>
      <c r="F8" t="s">
        <v>1006</v>
      </c>
      <c r="G8" t="s">
        <v>1028</v>
      </c>
      <c r="H8" t="s">
        <v>1022</v>
      </c>
      <c r="I8" t="s">
        <v>1009</v>
      </c>
      <c r="K8" t="s">
        <v>144</v>
      </c>
      <c r="L8" t="s">
        <v>77</v>
      </c>
      <c r="N8" t="s">
        <v>1011</v>
      </c>
      <c r="O8">
        <v>0</v>
      </c>
      <c r="P8">
        <v>0</v>
      </c>
      <c r="Q8">
        <v>4</v>
      </c>
      <c r="U8" t="s">
        <v>1</v>
      </c>
      <c r="V8" t="s">
        <v>1012</v>
      </c>
      <c r="Y8">
        <v>1</v>
      </c>
      <c r="AB8" t="s">
        <v>1013</v>
      </c>
      <c r="AD8" t="s">
        <v>1023</v>
      </c>
    </row>
    <row r="9" spans="1:34" x14ac:dyDescent="0.15">
      <c r="A9">
        <v>254404</v>
      </c>
      <c r="B9" t="s">
        <v>1002</v>
      </c>
      <c r="C9" t="s">
        <v>1003</v>
      </c>
      <c r="D9" t="s">
        <v>1004</v>
      </c>
      <c r="E9" t="s">
        <v>1029</v>
      </c>
      <c r="F9" t="s">
        <v>1006</v>
      </c>
      <c r="G9" t="s">
        <v>1028</v>
      </c>
      <c r="H9" t="s">
        <v>1022</v>
      </c>
      <c r="I9" t="s">
        <v>1009</v>
      </c>
      <c r="K9" t="s">
        <v>144</v>
      </c>
      <c r="L9" t="s">
        <v>77</v>
      </c>
      <c r="N9" t="s">
        <v>1011</v>
      </c>
      <c r="O9">
        <v>0</v>
      </c>
      <c r="P9">
        <v>0</v>
      </c>
      <c r="Q9">
        <v>4</v>
      </c>
      <c r="U9" t="s">
        <v>1</v>
      </c>
      <c r="V9" t="s">
        <v>1012</v>
      </c>
      <c r="Y9">
        <v>1</v>
      </c>
      <c r="AB9" t="s">
        <v>1013</v>
      </c>
      <c r="AD9" t="s">
        <v>1023</v>
      </c>
    </row>
    <row r="10" spans="1:34" x14ac:dyDescent="0.15">
      <c r="A10">
        <v>254405</v>
      </c>
      <c r="B10" t="s">
        <v>1002</v>
      </c>
      <c r="C10" t="s">
        <v>1003</v>
      </c>
      <c r="D10" t="s">
        <v>1004</v>
      </c>
      <c r="E10" t="s">
        <v>1030</v>
      </c>
      <c r="F10" t="s">
        <v>1006</v>
      </c>
      <c r="G10" t="s">
        <v>1028</v>
      </c>
      <c r="H10" t="s">
        <v>1022</v>
      </c>
      <c r="I10" t="s">
        <v>1009</v>
      </c>
      <c r="K10" t="s">
        <v>144</v>
      </c>
      <c r="L10" t="s">
        <v>77</v>
      </c>
      <c r="N10" t="s">
        <v>1011</v>
      </c>
      <c r="O10">
        <v>0</v>
      </c>
      <c r="P10">
        <v>0</v>
      </c>
      <c r="Q10">
        <v>4</v>
      </c>
      <c r="U10" t="s">
        <v>1</v>
      </c>
      <c r="V10" t="s">
        <v>1012</v>
      </c>
      <c r="Y10">
        <v>1</v>
      </c>
      <c r="AB10" t="s">
        <v>1013</v>
      </c>
      <c r="AD10" t="s">
        <v>1023</v>
      </c>
    </row>
    <row r="11" spans="1:34" x14ac:dyDescent="0.15">
      <c r="A11">
        <v>254406</v>
      </c>
      <c r="B11" t="s">
        <v>1002</v>
      </c>
      <c r="C11" t="s">
        <v>1003</v>
      </c>
      <c r="D11" t="s">
        <v>1004</v>
      </c>
      <c r="E11" t="s">
        <v>1031</v>
      </c>
      <c r="F11" t="s">
        <v>1006</v>
      </c>
      <c r="G11" t="s">
        <v>1028</v>
      </c>
      <c r="H11" t="s">
        <v>1022</v>
      </c>
      <c r="I11" t="s">
        <v>1009</v>
      </c>
      <c r="K11" t="s">
        <v>144</v>
      </c>
      <c r="L11" t="s">
        <v>77</v>
      </c>
      <c r="N11" t="s">
        <v>1011</v>
      </c>
      <c r="O11">
        <v>0</v>
      </c>
      <c r="P11">
        <v>0</v>
      </c>
      <c r="Q11">
        <v>4</v>
      </c>
      <c r="U11" t="s">
        <v>1</v>
      </c>
      <c r="V11" t="s">
        <v>1012</v>
      </c>
      <c r="Y11">
        <v>1</v>
      </c>
      <c r="AB11" t="s">
        <v>1013</v>
      </c>
      <c r="AD11" t="s">
        <v>1023</v>
      </c>
    </row>
    <row r="12" spans="1:34" x14ac:dyDescent="0.15">
      <c r="A12">
        <v>254407</v>
      </c>
      <c r="B12" t="s">
        <v>1002</v>
      </c>
      <c r="C12" t="s">
        <v>1003</v>
      </c>
      <c r="D12" t="s">
        <v>1004</v>
      </c>
      <c r="E12" t="s">
        <v>1032</v>
      </c>
      <c r="F12" t="s">
        <v>1006</v>
      </c>
      <c r="G12" t="s">
        <v>1028</v>
      </c>
      <c r="H12" t="s">
        <v>1022</v>
      </c>
      <c r="I12" t="s">
        <v>1009</v>
      </c>
      <c r="K12" t="s">
        <v>144</v>
      </c>
      <c r="L12" t="s">
        <v>77</v>
      </c>
      <c r="N12" t="s">
        <v>1011</v>
      </c>
      <c r="O12">
        <v>0</v>
      </c>
      <c r="P12">
        <v>0</v>
      </c>
      <c r="Q12">
        <v>4</v>
      </c>
      <c r="U12" t="s">
        <v>1</v>
      </c>
      <c r="V12" t="s">
        <v>1012</v>
      </c>
      <c r="Y12">
        <v>1</v>
      </c>
      <c r="AB12" t="s">
        <v>1013</v>
      </c>
      <c r="AD12" t="s">
        <v>1023</v>
      </c>
    </row>
    <row r="13" spans="1:34" x14ac:dyDescent="0.15">
      <c r="A13">
        <v>254408</v>
      </c>
      <c r="B13" t="s">
        <v>1002</v>
      </c>
      <c r="C13" t="s">
        <v>1003</v>
      </c>
      <c r="D13" t="s">
        <v>1004</v>
      </c>
      <c r="E13" t="s">
        <v>1033</v>
      </c>
      <c r="F13" t="s">
        <v>1034</v>
      </c>
      <c r="G13" t="s">
        <v>1035</v>
      </c>
      <c r="H13" t="s">
        <v>1036</v>
      </c>
      <c r="I13" t="s">
        <v>1037</v>
      </c>
      <c r="K13" t="s">
        <v>144</v>
      </c>
      <c r="L13" t="s">
        <v>77</v>
      </c>
      <c r="N13" t="s">
        <v>1011</v>
      </c>
      <c r="O13">
        <v>0</v>
      </c>
      <c r="P13">
        <v>0</v>
      </c>
      <c r="Q13">
        <v>5</v>
      </c>
      <c r="U13" t="s">
        <v>1</v>
      </c>
      <c r="V13" t="s">
        <v>1012</v>
      </c>
      <c r="Y13">
        <v>1</v>
      </c>
      <c r="AB13" t="s">
        <v>1013</v>
      </c>
      <c r="AD13" t="s">
        <v>1023</v>
      </c>
    </row>
    <row r="14" spans="1:34" x14ac:dyDescent="0.15">
      <c r="A14">
        <v>254409</v>
      </c>
      <c r="B14" t="s">
        <v>1002</v>
      </c>
      <c r="C14" t="s">
        <v>1003</v>
      </c>
      <c r="D14" t="s">
        <v>1004</v>
      </c>
      <c r="E14" t="s">
        <v>1038</v>
      </c>
      <c r="F14" t="s">
        <v>1034</v>
      </c>
      <c r="G14" t="s">
        <v>1039</v>
      </c>
      <c r="H14" t="s">
        <v>1036</v>
      </c>
      <c r="I14" t="s">
        <v>1037</v>
      </c>
      <c r="K14" t="s">
        <v>144</v>
      </c>
      <c r="L14" t="s">
        <v>77</v>
      </c>
      <c r="N14" t="s">
        <v>1011</v>
      </c>
      <c r="O14">
        <v>0</v>
      </c>
      <c r="P14">
        <v>0</v>
      </c>
      <c r="Q14">
        <v>5</v>
      </c>
      <c r="U14" t="s">
        <v>1</v>
      </c>
      <c r="V14" t="s">
        <v>1012</v>
      </c>
      <c r="Y14">
        <v>1</v>
      </c>
      <c r="AB14" t="s">
        <v>1013</v>
      </c>
      <c r="AD14" t="s">
        <v>1023</v>
      </c>
    </row>
    <row r="15" spans="1:34" x14ac:dyDescent="0.15">
      <c r="A15">
        <v>254410</v>
      </c>
      <c r="B15" t="s">
        <v>1002</v>
      </c>
      <c r="C15" t="s">
        <v>1003</v>
      </c>
      <c r="D15" t="s">
        <v>1004</v>
      </c>
      <c r="E15" t="s">
        <v>1040</v>
      </c>
      <c r="F15" t="s">
        <v>1034</v>
      </c>
      <c r="G15" t="s">
        <v>1041</v>
      </c>
      <c r="H15" t="s">
        <v>1042</v>
      </c>
      <c r="I15" t="s">
        <v>1043</v>
      </c>
      <c r="K15" t="s">
        <v>144</v>
      </c>
      <c r="L15" t="s">
        <v>77</v>
      </c>
      <c r="N15" t="s">
        <v>1011</v>
      </c>
      <c r="O15">
        <v>0</v>
      </c>
      <c r="P15">
        <v>0</v>
      </c>
      <c r="Q15">
        <v>3</v>
      </c>
      <c r="U15" t="s">
        <v>1</v>
      </c>
      <c r="V15" t="s">
        <v>1012</v>
      </c>
      <c r="Y15">
        <v>1</v>
      </c>
      <c r="AB15" t="s">
        <v>1013</v>
      </c>
      <c r="AD15" t="s">
        <v>1023</v>
      </c>
    </row>
    <row r="16" spans="1:34" x14ac:dyDescent="0.15">
      <c r="A16">
        <v>254411</v>
      </c>
      <c r="B16" t="s">
        <v>1002</v>
      </c>
      <c r="C16" t="s">
        <v>1044</v>
      </c>
      <c r="D16" t="s">
        <v>1004</v>
      </c>
      <c r="E16" t="s">
        <v>1045</v>
      </c>
      <c r="F16" t="s">
        <v>1046</v>
      </c>
      <c r="G16" t="s">
        <v>1047</v>
      </c>
      <c r="H16" t="s">
        <v>1048</v>
      </c>
      <c r="I16" t="s">
        <v>1049</v>
      </c>
      <c r="K16" t="s">
        <v>1010</v>
      </c>
      <c r="L16" t="s">
        <v>76</v>
      </c>
      <c r="N16" t="s">
        <v>1011</v>
      </c>
      <c r="O16">
        <v>0</v>
      </c>
      <c r="P16">
        <v>0</v>
      </c>
      <c r="Q16">
        <v>7</v>
      </c>
      <c r="U16" t="s">
        <v>1</v>
      </c>
      <c r="V16" t="s">
        <v>1012</v>
      </c>
      <c r="Y16">
        <v>1</v>
      </c>
      <c r="AB16" t="s">
        <v>1013</v>
      </c>
      <c r="AD16" t="s">
        <v>964</v>
      </c>
    </row>
    <row r="17" spans="1:30" x14ac:dyDescent="0.15">
      <c r="A17">
        <v>254412</v>
      </c>
      <c r="B17" t="s">
        <v>1002</v>
      </c>
      <c r="C17" t="s">
        <v>1044</v>
      </c>
      <c r="D17" t="s">
        <v>1004</v>
      </c>
      <c r="E17" t="s">
        <v>1050</v>
      </c>
      <c r="F17" t="s">
        <v>1051</v>
      </c>
      <c r="G17" t="s">
        <v>1052</v>
      </c>
      <c r="H17" t="s">
        <v>1053</v>
      </c>
      <c r="I17" t="s">
        <v>1049</v>
      </c>
      <c r="K17" t="s">
        <v>1010</v>
      </c>
      <c r="L17" t="s">
        <v>76</v>
      </c>
      <c r="N17" t="s">
        <v>1011</v>
      </c>
      <c r="O17">
        <v>0</v>
      </c>
      <c r="P17">
        <v>0</v>
      </c>
      <c r="Q17">
        <v>7</v>
      </c>
      <c r="U17" t="s">
        <v>1</v>
      </c>
      <c r="V17" t="s">
        <v>1012</v>
      </c>
      <c r="Y17">
        <v>1</v>
      </c>
      <c r="AB17" t="s">
        <v>1013</v>
      </c>
      <c r="AD17" t="s">
        <v>964</v>
      </c>
    </row>
    <row r="18" spans="1:30" x14ac:dyDescent="0.15">
      <c r="A18">
        <v>254413</v>
      </c>
      <c r="B18" t="s">
        <v>1002</v>
      </c>
      <c r="C18" t="s">
        <v>1044</v>
      </c>
      <c r="D18" t="s">
        <v>1004</v>
      </c>
      <c r="E18" t="s">
        <v>1054</v>
      </c>
      <c r="F18" t="s">
        <v>1055</v>
      </c>
      <c r="G18" t="s">
        <v>1056</v>
      </c>
      <c r="H18" t="s">
        <v>1057</v>
      </c>
      <c r="I18" t="s">
        <v>1049</v>
      </c>
      <c r="K18" t="s">
        <v>1010</v>
      </c>
      <c r="L18" t="s">
        <v>76</v>
      </c>
      <c r="N18" t="s">
        <v>1011</v>
      </c>
      <c r="O18">
        <v>0</v>
      </c>
      <c r="P18">
        <v>0</v>
      </c>
      <c r="Q18">
        <v>7</v>
      </c>
      <c r="U18" t="s">
        <v>1</v>
      </c>
      <c r="V18" t="s">
        <v>1012</v>
      </c>
      <c r="Y18">
        <v>1</v>
      </c>
      <c r="AB18" t="s">
        <v>1013</v>
      </c>
      <c r="AD18" t="s">
        <v>964</v>
      </c>
    </row>
    <row r="19" spans="1:30" x14ac:dyDescent="0.15">
      <c r="A19">
        <v>254414</v>
      </c>
      <c r="B19" t="s">
        <v>1002</v>
      </c>
      <c r="C19" t="s">
        <v>1044</v>
      </c>
      <c r="D19" t="s">
        <v>1004</v>
      </c>
      <c r="E19" t="s">
        <v>1058</v>
      </c>
      <c r="F19" t="s">
        <v>1059</v>
      </c>
      <c r="G19" t="s">
        <v>1060</v>
      </c>
      <c r="H19" t="s">
        <v>1061</v>
      </c>
      <c r="I19" t="s">
        <v>1049</v>
      </c>
      <c r="K19" t="s">
        <v>1010</v>
      </c>
      <c r="L19" t="s">
        <v>76</v>
      </c>
      <c r="N19" t="s">
        <v>1011</v>
      </c>
      <c r="O19">
        <v>0</v>
      </c>
      <c r="P19">
        <v>0</v>
      </c>
      <c r="Q19">
        <v>7</v>
      </c>
      <c r="U19" t="s">
        <v>1</v>
      </c>
      <c r="V19" t="s">
        <v>1012</v>
      </c>
      <c r="Y19">
        <v>1</v>
      </c>
      <c r="AB19" t="s">
        <v>1013</v>
      </c>
      <c r="AD19" t="s">
        <v>964</v>
      </c>
    </row>
    <row r="20" spans="1:30" x14ac:dyDescent="0.15">
      <c r="A20">
        <v>254415</v>
      </c>
      <c r="B20" t="s">
        <v>1002</v>
      </c>
      <c r="C20" t="s">
        <v>1044</v>
      </c>
      <c r="D20" t="s">
        <v>1004</v>
      </c>
      <c r="E20" t="s">
        <v>1062</v>
      </c>
      <c r="F20" t="s">
        <v>1063</v>
      </c>
      <c r="G20" t="s">
        <v>1064</v>
      </c>
      <c r="H20" t="s">
        <v>1065</v>
      </c>
      <c r="I20" t="s">
        <v>1049</v>
      </c>
      <c r="K20" t="s">
        <v>1010</v>
      </c>
      <c r="L20" t="s">
        <v>76</v>
      </c>
      <c r="N20" t="s">
        <v>1011</v>
      </c>
      <c r="O20">
        <v>0</v>
      </c>
      <c r="P20">
        <v>0</v>
      </c>
      <c r="Q20">
        <v>7</v>
      </c>
      <c r="U20" t="s">
        <v>1</v>
      </c>
      <c r="V20" t="s">
        <v>1012</v>
      </c>
      <c r="Y20">
        <v>1</v>
      </c>
      <c r="AB20" t="s">
        <v>1013</v>
      </c>
      <c r="AD20" t="s">
        <v>964</v>
      </c>
    </row>
    <row r="21" spans="1:30" x14ac:dyDescent="0.15">
      <c r="A21">
        <v>254416</v>
      </c>
      <c r="B21" t="s">
        <v>1002</v>
      </c>
      <c r="C21" t="s">
        <v>1044</v>
      </c>
      <c r="D21" t="s">
        <v>1004</v>
      </c>
      <c r="E21" t="s">
        <v>1066</v>
      </c>
      <c r="F21" t="s">
        <v>1067</v>
      </c>
      <c r="G21" t="s">
        <v>1068</v>
      </c>
      <c r="H21" t="s">
        <v>1069</v>
      </c>
      <c r="I21" t="s">
        <v>1049</v>
      </c>
      <c r="K21" t="s">
        <v>1010</v>
      </c>
      <c r="L21" t="s">
        <v>76</v>
      </c>
      <c r="N21" t="s">
        <v>1011</v>
      </c>
      <c r="O21">
        <v>0</v>
      </c>
      <c r="P21">
        <v>0</v>
      </c>
      <c r="Q21">
        <v>7</v>
      </c>
      <c r="U21" t="s">
        <v>1</v>
      </c>
      <c r="V21" t="s">
        <v>1012</v>
      </c>
      <c r="Y21">
        <v>1</v>
      </c>
      <c r="AB21" t="s">
        <v>1013</v>
      </c>
      <c r="AD21" t="s">
        <v>964</v>
      </c>
    </row>
    <row r="22" spans="1:30" x14ac:dyDescent="0.15">
      <c r="A22">
        <v>254417</v>
      </c>
      <c r="B22" t="s">
        <v>1002</v>
      </c>
      <c r="C22" t="s">
        <v>1044</v>
      </c>
      <c r="D22" t="s">
        <v>1004</v>
      </c>
      <c r="E22" t="s">
        <v>1070</v>
      </c>
      <c r="F22" t="s">
        <v>1071</v>
      </c>
      <c r="G22" t="s">
        <v>1072</v>
      </c>
      <c r="H22" t="s">
        <v>1073</v>
      </c>
      <c r="I22" t="s">
        <v>1049</v>
      </c>
      <c r="K22" t="s">
        <v>1010</v>
      </c>
      <c r="L22" t="s">
        <v>76</v>
      </c>
      <c r="N22" t="s">
        <v>1011</v>
      </c>
      <c r="O22">
        <v>0</v>
      </c>
      <c r="P22">
        <v>0</v>
      </c>
      <c r="Q22">
        <v>7</v>
      </c>
      <c r="U22" t="s">
        <v>1</v>
      </c>
      <c r="V22" t="s">
        <v>1012</v>
      </c>
      <c r="Y22">
        <v>1</v>
      </c>
      <c r="AB22" t="s">
        <v>1013</v>
      </c>
      <c r="AD22" t="s">
        <v>964</v>
      </c>
    </row>
    <row r="23" spans="1:30" x14ac:dyDescent="0.15">
      <c r="A23">
        <v>254418</v>
      </c>
      <c r="B23" t="s">
        <v>1002</v>
      </c>
      <c r="C23" t="s">
        <v>1044</v>
      </c>
      <c r="D23" t="s">
        <v>1004</v>
      </c>
      <c r="E23" t="s">
        <v>1074</v>
      </c>
      <c r="F23" t="s">
        <v>1075</v>
      </c>
      <c r="G23" t="s">
        <v>1076</v>
      </c>
      <c r="H23" t="s">
        <v>1077</v>
      </c>
      <c r="I23" t="s">
        <v>1049</v>
      </c>
      <c r="K23" t="s">
        <v>1010</v>
      </c>
      <c r="L23" t="s">
        <v>76</v>
      </c>
      <c r="N23" t="s">
        <v>1011</v>
      </c>
      <c r="O23">
        <v>0</v>
      </c>
      <c r="P23">
        <v>0</v>
      </c>
      <c r="Q23">
        <v>7</v>
      </c>
      <c r="U23" t="s">
        <v>1</v>
      </c>
      <c r="V23" t="s">
        <v>1012</v>
      </c>
      <c r="Y23">
        <v>1</v>
      </c>
      <c r="AB23" t="s">
        <v>1013</v>
      </c>
      <c r="AD23" t="s">
        <v>964</v>
      </c>
    </row>
    <row r="24" spans="1:30" x14ac:dyDescent="0.15">
      <c r="A24">
        <v>254419</v>
      </c>
      <c r="B24" t="s">
        <v>1002</v>
      </c>
      <c r="C24" t="s">
        <v>1044</v>
      </c>
      <c r="D24" t="s">
        <v>1004</v>
      </c>
      <c r="E24" t="s">
        <v>1078</v>
      </c>
      <c r="F24" t="s">
        <v>1079</v>
      </c>
      <c r="G24" t="s">
        <v>1080</v>
      </c>
      <c r="H24" t="s">
        <v>1081</v>
      </c>
      <c r="I24" t="s">
        <v>1082</v>
      </c>
      <c r="K24" t="s">
        <v>1010</v>
      </c>
      <c r="L24" t="s">
        <v>76</v>
      </c>
      <c r="N24" t="s">
        <v>1011</v>
      </c>
      <c r="O24">
        <v>0</v>
      </c>
      <c r="P24">
        <v>0</v>
      </c>
      <c r="Q24">
        <v>8</v>
      </c>
      <c r="U24" t="s">
        <v>1</v>
      </c>
      <c r="V24" t="s">
        <v>1083</v>
      </c>
      <c r="Y24">
        <v>1</v>
      </c>
      <c r="AB24" t="s">
        <v>1013</v>
      </c>
      <c r="AD24" t="s">
        <v>964</v>
      </c>
    </row>
    <row r="25" spans="1:30" x14ac:dyDescent="0.15">
      <c r="A25">
        <v>254420</v>
      </c>
      <c r="B25" t="s">
        <v>1002</v>
      </c>
      <c r="C25" t="s">
        <v>1044</v>
      </c>
      <c r="D25" t="s">
        <v>1004</v>
      </c>
      <c r="E25" t="s">
        <v>1084</v>
      </c>
      <c r="F25" t="s">
        <v>1085</v>
      </c>
      <c r="G25" t="s">
        <v>1086</v>
      </c>
      <c r="H25" t="s">
        <v>1087</v>
      </c>
      <c r="I25" t="s">
        <v>1082</v>
      </c>
      <c r="K25" t="s">
        <v>1010</v>
      </c>
      <c r="L25" t="s">
        <v>76</v>
      </c>
      <c r="N25" t="s">
        <v>1011</v>
      </c>
      <c r="O25">
        <v>0</v>
      </c>
      <c r="P25">
        <v>0</v>
      </c>
      <c r="Q25">
        <v>8</v>
      </c>
      <c r="U25" t="s">
        <v>1</v>
      </c>
      <c r="V25" t="s">
        <v>1083</v>
      </c>
      <c r="Y25">
        <v>1</v>
      </c>
      <c r="AB25" t="s">
        <v>1013</v>
      </c>
      <c r="AD25" t="s">
        <v>964</v>
      </c>
    </row>
    <row r="26" spans="1:30" x14ac:dyDescent="0.15">
      <c r="A26">
        <v>254421</v>
      </c>
      <c r="B26" t="s">
        <v>1002</v>
      </c>
      <c r="C26" t="s">
        <v>1044</v>
      </c>
      <c r="D26" t="s">
        <v>1004</v>
      </c>
      <c r="E26" t="s">
        <v>1088</v>
      </c>
      <c r="F26" t="s">
        <v>1089</v>
      </c>
      <c r="G26" t="s">
        <v>1090</v>
      </c>
      <c r="H26" t="s">
        <v>1091</v>
      </c>
      <c r="I26" t="s">
        <v>1043</v>
      </c>
      <c r="K26" t="s">
        <v>1010</v>
      </c>
      <c r="L26" t="s">
        <v>76</v>
      </c>
      <c r="N26" t="s">
        <v>1011</v>
      </c>
      <c r="O26">
        <v>0</v>
      </c>
      <c r="P26">
        <v>0</v>
      </c>
      <c r="Q26">
        <v>3</v>
      </c>
      <c r="U26" t="s">
        <v>1</v>
      </c>
      <c r="V26" t="s">
        <v>1083</v>
      </c>
      <c r="Y26">
        <v>1</v>
      </c>
      <c r="AB26" t="s">
        <v>1013</v>
      </c>
      <c r="AD26" t="s">
        <v>964</v>
      </c>
    </row>
    <row r="27" spans="1:30" x14ac:dyDescent="0.15">
      <c r="A27">
        <v>254422</v>
      </c>
      <c r="B27" t="s">
        <v>1002</v>
      </c>
      <c r="C27" t="s">
        <v>1044</v>
      </c>
      <c r="D27" t="s">
        <v>1004</v>
      </c>
      <c r="E27" t="s">
        <v>1092</v>
      </c>
      <c r="F27" t="s">
        <v>1089</v>
      </c>
      <c r="G27" t="s">
        <v>1093</v>
      </c>
      <c r="H27" t="s">
        <v>1094</v>
      </c>
      <c r="I27" t="s">
        <v>1043</v>
      </c>
      <c r="K27" t="s">
        <v>1010</v>
      </c>
      <c r="L27" t="s">
        <v>76</v>
      </c>
      <c r="N27" t="s">
        <v>1011</v>
      </c>
      <c r="O27">
        <v>0</v>
      </c>
      <c r="P27">
        <v>0</v>
      </c>
      <c r="Q27">
        <v>3</v>
      </c>
      <c r="U27" t="s">
        <v>1</v>
      </c>
      <c r="V27" t="s">
        <v>1083</v>
      </c>
      <c r="Y27">
        <v>1</v>
      </c>
      <c r="AB27" t="s">
        <v>1013</v>
      </c>
      <c r="AD27" t="s">
        <v>964</v>
      </c>
    </row>
    <row r="28" spans="1:30" x14ac:dyDescent="0.15">
      <c r="A28">
        <v>254423</v>
      </c>
      <c r="B28" t="s">
        <v>1002</v>
      </c>
      <c r="C28" t="s">
        <v>1044</v>
      </c>
      <c r="D28" t="s">
        <v>1004</v>
      </c>
      <c r="E28" t="s">
        <v>1095</v>
      </c>
      <c r="F28" t="s">
        <v>1089</v>
      </c>
      <c r="G28" t="s">
        <v>1096</v>
      </c>
      <c r="H28" t="s">
        <v>1097</v>
      </c>
      <c r="I28" t="s">
        <v>1043</v>
      </c>
      <c r="K28" t="s">
        <v>1010</v>
      </c>
      <c r="L28" t="s">
        <v>76</v>
      </c>
      <c r="N28" t="s">
        <v>1011</v>
      </c>
      <c r="O28">
        <v>0</v>
      </c>
      <c r="P28">
        <v>0</v>
      </c>
      <c r="Q28">
        <v>3</v>
      </c>
      <c r="U28" t="s">
        <v>1</v>
      </c>
      <c r="V28" t="s">
        <v>1083</v>
      </c>
      <c r="Y28">
        <v>1</v>
      </c>
      <c r="AB28" t="s">
        <v>1013</v>
      </c>
      <c r="AD28" t="s">
        <v>964</v>
      </c>
    </row>
    <row r="29" spans="1:30" x14ac:dyDescent="0.15">
      <c r="A29">
        <v>254424</v>
      </c>
      <c r="B29" t="s">
        <v>1002</v>
      </c>
      <c r="C29" t="s">
        <v>1044</v>
      </c>
      <c r="D29" t="s">
        <v>1004</v>
      </c>
      <c r="E29" t="s">
        <v>1098</v>
      </c>
      <c r="F29" t="s">
        <v>1089</v>
      </c>
      <c r="G29" t="s">
        <v>1099</v>
      </c>
      <c r="H29" t="s">
        <v>1100</v>
      </c>
      <c r="I29" t="s">
        <v>1043</v>
      </c>
      <c r="K29" t="s">
        <v>1010</v>
      </c>
      <c r="L29" t="s">
        <v>76</v>
      </c>
      <c r="N29" t="s">
        <v>1011</v>
      </c>
      <c r="O29">
        <v>0</v>
      </c>
      <c r="P29">
        <v>0</v>
      </c>
      <c r="Q29">
        <v>3</v>
      </c>
      <c r="U29" t="s">
        <v>1</v>
      </c>
      <c r="V29" t="s">
        <v>1083</v>
      </c>
      <c r="Y29">
        <v>1</v>
      </c>
      <c r="AB29" t="s">
        <v>1013</v>
      </c>
      <c r="AD29" t="s">
        <v>964</v>
      </c>
    </row>
    <row r="30" spans="1:30" x14ac:dyDescent="0.15">
      <c r="A30">
        <v>254425</v>
      </c>
      <c r="B30" t="s">
        <v>1002</v>
      </c>
      <c r="C30" t="s">
        <v>1044</v>
      </c>
      <c r="D30" t="s">
        <v>1004</v>
      </c>
      <c r="E30" t="s">
        <v>1101</v>
      </c>
      <c r="F30" t="s">
        <v>1089</v>
      </c>
      <c r="G30" t="s">
        <v>1102</v>
      </c>
      <c r="H30" t="s">
        <v>1103</v>
      </c>
      <c r="I30" t="s">
        <v>1043</v>
      </c>
      <c r="K30" t="s">
        <v>1010</v>
      </c>
      <c r="L30" t="s">
        <v>76</v>
      </c>
      <c r="N30" t="s">
        <v>1011</v>
      </c>
      <c r="O30">
        <v>0</v>
      </c>
      <c r="P30">
        <v>0</v>
      </c>
      <c r="Q30">
        <v>3</v>
      </c>
      <c r="U30" t="s">
        <v>1</v>
      </c>
      <c r="V30" t="s">
        <v>1083</v>
      </c>
      <c r="Y30">
        <v>1</v>
      </c>
      <c r="AB30" t="s">
        <v>1013</v>
      </c>
      <c r="AD30" t="s">
        <v>964</v>
      </c>
    </row>
    <row r="31" spans="1:30" x14ac:dyDescent="0.15">
      <c r="A31">
        <v>180252</v>
      </c>
      <c r="B31" t="s">
        <v>1002</v>
      </c>
      <c r="C31" t="s">
        <v>1104</v>
      </c>
      <c r="D31" t="s">
        <v>1004</v>
      </c>
      <c r="E31" t="s">
        <v>1105</v>
      </c>
      <c r="F31" t="s">
        <v>1106</v>
      </c>
      <c r="G31" t="s">
        <v>1107</v>
      </c>
      <c r="H31" t="s">
        <v>1108</v>
      </c>
      <c r="I31" t="s">
        <v>1009</v>
      </c>
      <c r="K31" t="s">
        <v>1010</v>
      </c>
      <c r="L31" t="s">
        <v>76</v>
      </c>
      <c r="N31" t="s">
        <v>1109</v>
      </c>
      <c r="O31">
        <v>0</v>
      </c>
      <c r="P31">
        <v>6</v>
      </c>
      <c r="Q31">
        <v>4</v>
      </c>
      <c r="R31" t="s">
        <v>1110</v>
      </c>
      <c r="S31" t="s">
        <v>1111</v>
      </c>
      <c r="T31" t="s">
        <v>1112</v>
      </c>
      <c r="U31" t="s">
        <v>1</v>
      </c>
      <c r="V31" t="s">
        <v>1113</v>
      </c>
      <c r="W31" t="s">
        <v>1</v>
      </c>
      <c r="X31" t="s">
        <v>1114</v>
      </c>
      <c r="Y31">
        <v>1</v>
      </c>
      <c r="AB31" t="s">
        <v>1115</v>
      </c>
      <c r="AC31" t="s">
        <v>1116</v>
      </c>
      <c r="AD31" t="s">
        <v>1023</v>
      </c>
    </row>
    <row r="32" spans="1:30" x14ac:dyDescent="0.15">
      <c r="A32">
        <v>180253</v>
      </c>
      <c r="B32" t="s">
        <v>1002</v>
      </c>
      <c r="C32" t="s">
        <v>1104</v>
      </c>
      <c r="D32" t="s">
        <v>1004</v>
      </c>
      <c r="E32" t="s">
        <v>1117</v>
      </c>
      <c r="F32" t="s">
        <v>1106</v>
      </c>
      <c r="G32" t="s">
        <v>1107</v>
      </c>
      <c r="H32" t="s">
        <v>1108</v>
      </c>
      <c r="I32" t="s">
        <v>1009</v>
      </c>
      <c r="K32" t="s">
        <v>142</v>
      </c>
      <c r="L32" t="s">
        <v>76</v>
      </c>
      <c r="N32" t="s">
        <v>1109</v>
      </c>
      <c r="O32">
        <v>0</v>
      </c>
      <c r="P32">
        <v>1</v>
      </c>
      <c r="Q32">
        <v>4</v>
      </c>
      <c r="R32" t="s">
        <v>1118</v>
      </c>
      <c r="S32" t="s">
        <v>1119</v>
      </c>
      <c r="T32" t="s">
        <v>1120</v>
      </c>
      <c r="U32" t="s">
        <v>1</v>
      </c>
      <c r="V32" t="s">
        <v>1113</v>
      </c>
      <c r="W32" t="s">
        <v>1</v>
      </c>
      <c r="X32" t="s">
        <v>1114</v>
      </c>
      <c r="Y32">
        <v>1</v>
      </c>
      <c r="AB32" t="s">
        <v>1115</v>
      </c>
      <c r="AC32" t="s">
        <v>1116</v>
      </c>
      <c r="AD32" t="s">
        <v>1023</v>
      </c>
    </row>
    <row r="33" spans="1:30" x14ac:dyDescent="0.15">
      <c r="A33">
        <v>180254</v>
      </c>
      <c r="B33" t="s">
        <v>1002</v>
      </c>
      <c r="C33" t="s">
        <v>1104</v>
      </c>
      <c r="D33" t="s">
        <v>1004</v>
      </c>
      <c r="E33" t="s">
        <v>1121</v>
      </c>
      <c r="F33" t="s">
        <v>1106</v>
      </c>
      <c r="G33" t="s">
        <v>1122</v>
      </c>
      <c r="H33" t="s">
        <v>1123</v>
      </c>
      <c r="I33" t="s">
        <v>1043</v>
      </c>
      <c r="K33" t="s">
        <v>142</v>
      </c>
      <c r="L33" t="s">
        <v>76</v>
      </c>
      <c r="N33" t="s">
        <v>1109</v>
      </c>
      <c r="O33">
        <v>0</v>
      </c>
      <c r="P33">
        <v>1</v>
      </c>
      <c r="Q33">
        <v>3</v>
      </c>
      <c r="R33" t="s">
        <v>1118</v>
      </c>
      <c r="S33" t="s">
        <v>1124</v>
      </c>
      <c r="T33" t="s">
        <v>1112</v>
      </c>
      <c r="U33" t="s">
        <v>1</v>
      </c>
      <c r="V33" t="s">
        <v>1113</v>
      </c>
      <c r="W33" t="s">
        <v>1</v>
      </c>
      <c r="X33" t="s">
        <v>1114</v>
      </c>
      <c r="Y33">
        <v>1</v>
      </c>
      <c r="AB33" t="s">
        <v>1115</v>
      </c>
      <c r="AC33" t="s">
        <v>1116</v>
      </c>
      <c r="AD33" t="s">
        <v>1023</v>
      </c>
    </row>
    <row r="34" spans="1:30" x14ac:dyDescent="0.15">
      <c r="A34">
        <v>180255</v>
      </c>
      <c r="B34" t="s">
        <v>1002</v>
      </c>
      <c r="C34" t="s">
        <v>1104</v>
      </c>
      <c r="D34" t="s">
        <v>1004</v>
      </c>
      <c r="E34" t="s">
        <v>1125</v>
      </c>
      <c r="F34" t="s">
        <v>1106</v>
      </c>
      <c r="G34" t="s">
        <v>1126</v>
      </c>
      <c r="H34" t="s">
        <v>1127</v>
      </c>
      <c r="I34" t="s">
        <v>1043</v>
      </c>
      <c r="K34" t="s">
        <v>142</v>
      </c>
      <c r="L34" t="s">
        <v>76</v>
      </c>
      <c r="N34" t="s">
        <v>1109</v>
      </c>
      <c r="O34">
        <v>0</v>
      </c>
      <c r="P34">
        <v>1</v>
      </c>
      <c r="Q34">
        <v>3</v>
      </c>
      <c r="R34" t="s">
        <v>1118</v>
      </c>
      <c r="S34" t="s">
        <v>1128</v>
      </c>
      <c r="T34" t="s">
        <v>1112</v>
      </c>
      <c r="U34" t="s">
        <v>1</v>
      </c>
      <c r="V34" t="s">
        <v>1113</v>
      </c>
      <c r="W34" t="s">
        <v>1</v>
      </c>
      <c r="X34" t="s">
        <v>1114</v>
      </c>
      <c r="Y34">
        <v>1</v>
      </c>
      <c r="AB34" t="s">
        <v>1115</v>
      </c>
      <c r="AC34" t="s">
        <v>1116</v>
      </c>
      <c r="AD34" t="s">
        <v>1023</v>
      </c>
    </row>
    <row r="35" spans="1:30" x14ac:dyDescent="0.15">
      <c r="A35">
        <v>180256</v>
      </c>
      <c r="B35" t="s">
        <v>1002</v>
      </c>
      <c r="C35" t="s">
        <v>1104</v>
      </c>
      <c r="D35" t="s">
        <v>1004</v>
      </c>
      <c r="E35" t="s">
        <v>1129</v>
      </c>
      <c r="F35" t="s">
        <v>1106</v>
      </c>
      <c r="G35" t="s">
        <v>1130</v>
      </c>
      <c r="H35" t="s">
        <v>1131</v>
      </c>
      <c r="I35" t="s">
        <v>1043</v>
      </c>
      <c r="K35" t="s">
        <v>142</v>
      </c>
      <c r="L35" t="s">
        <v>76</v>
      </c>
      <c r="N35" t="s">
        <v>1109</v>
      </c>
      <c r="O35">
        <v>0</v>
      </c>
      <c r="P35">
        <v>1</v>
      </c>
      <c r="Q35">
        <v>3</v>
      </c>
      <c r="R35" t="s">
        <v>1118</v>
      </c>
      <c r="S35" t="s">
        <v>1132</v>
      </c>
      <c r="T35" t="s">
        <v>1120</v>
      </c>
      <c r="U35" t="s">
        <v>1</v>
      </c>
      <c r="V35" t="s">
        <v>1113</v>
      </c>
      <c r="W35" t="s">
        <v>1</v>
      </c>
      <c r="X35" t="s">
        <v>1114</v>
      </c>
      <c r="Y35">
        <v>1</v>
      </c>
      <c r="AB35" t="s">
        <v>1115</v>
      </c>
      <c r="AC35" t="s">
        <v>1116</v>
      </c>
      <c r="AD35" t="s">
        <v>1023</v>
      </c>
    </row>
    <row r="36" spans="1:30" x14ac:dyDescent="0.15">
      <c r="A36">
        <v>180257</v>
      </c>
      <c r="B36" t="s">
        <v>1002</v>
      </c>
      <c r="C36" t="s">
        <v>1104</v>
      </c>
      <c r="D36" t="s">
        <v>1004</v>
      </c>
      <c r="E36" t="s">
        <v>1133</v>
      </c>
      <c r="F36" t="s">
        <v>1106</v>
      </c>
      <c r="G36" t="s">
        <v>1134</v>
      </c>
      <c r="H36" t="s">
        <v>1135</v>
      </c>
      <c r="I36" t="s">
        <v>1037</v>
      </c>
      <c r="K36" t="s">
        <v>142</v>
      </c>
      <c r="L36" t="s">
        <v>76</v>
      </c>
      <c r="N36" t="s">
        <v>1109</v>
      </c>
      <c r="O36">
        <v>0</v>
      </c>
      <c r="P36">
        <v>2</v>
      </c>
      <c r="Q36">
        <v>5</v>
      </c>
      <c r="R36" t="s">
        <v>1118</v>
      </c>
      <c r="S36" t="s">
        <v>1136</v>
      </c>
      <c r="T36" t="s">
        <v>1112</v>
      </c>
      <c r="U36" t="s">
        <v>1</v>
      </c>
      <c r="V36" t="s">
        <v>1113</v>
      </c>
      <c r="W36" t="s">
        <v>1</v>
      </c>
      <c r="X36" t="s">
        <v>1114</v>
      </c>
      <c r="Y36">
        <v>1</v>
      </c>
      <c r="AB36" t="s">
        <v>1115</v>
      </c>
      <c r="AC36" t="s">
        <v>1116</v>
      </c>
      <c r="AD36" t="s">
        <v>1023</v>
      </c>
    </row>
    <row r="37" spans="1:30" x14ac:dyDescent="0.15">
      <c r="A37">
        <v>180258</v>
      </c>
      <c r="B37" t="s">
        <v>1002</v>
      </c>
      <c r="C37" t="s">
        <v>1104</v>
      </c>
      <c r="D37" t="s">
        <v>1004</v>
      </c>
      <c r="E37" t="s">
        <v>1137</v>
      </c>
      <c r="F37" t="s">
        <v>1106</v>
      </c>
      <c r="G37" t="s">
        <v>1138</v>
      </c>
      <c r="H37" t="s">
        <v>1139</v>
      </c>
      <c r="I37" t="s">
        <v>1009</v>
      </c>
      <c r="K37" t="s">
        <v>1010</v>
      </c>
      <c r="L37" t="s">
        <v>76</v>
      </c>
      <c r="N37" t="s">
        <v>1109</v>
      </c>
      <c r="O37">
        <v>0</v>
      </c>
      <c r="P37">
        <v>5</v>
      </c>
      <c r="Q37">
        <v>4</v>
      </c>
      <c r="R37" t="s">
        <v>1110</v>
      </c>
      <c r="S37" t="s">
        <v>1111</v>
      </c>
      <c r="T37" t="s">
        <v>1112</v>
      </c>
      <c r="U37" t="s">
        <v>1</v>
      </c>
      <c r="V37" t="s">
        <v>1113</v>
      </c>
      <c r="W37" t="s">
        <v>1</v>
      </c>
      <c r="X37" t="s">
        <v>1114</v>
      </c>
      <c r="Y37">
        <v>1</v>
      </c>
      <c r="AB37" t="s">
        <v>1115</v>
      </c>
      <c r="AC37" t="s">
        <v>1116</v>
      </c>
      <c r="AD37" t="s">
        <v>1023</v>
      </c>
    </row>
    <row r="38" spans="1:30" x14ac:dyDescent="0.15">
      <c r="A38">
        <v>180259</v>
      </c>
      <c r="B38" t="s">
        <v>1002</v>
      </c>
      <c r="C38" t="s">
        <v>1104</v>
      </c>
      <c r="D38" t="s">
        <v>1004</v>
      </c>
      <c r="E38" t="s">
        <v>1140</v>
      </c>
      <c r="F38" t="s">
        <v>1106</v>
      </c>
      <c r="G38" t="s">
        <v>1141</v>
      </c>
      <c r="H38" t="s">
        <v>1139</v>
      </c>
      <c r="I38" t="s">
        <v>1009</v>
      </c>
      <c r="K38" t="s">
        <v>142</v>
      </c>
      <c r="L38" t="s">
        <v>76</v>
      </c>
      <c r="N38" t="s">
        <v>1109</v>
      </c>
      <c r="O38">
        <v>0</v>
      </c>
      <c r="P38">
        <v>1</v>
      </c>
      <c r="Q38">
        <v>4</v>
      </c>
      <c r="R38" t="s">
        <v>1118</v>
      </c>
      <c r="S38" t="s">
        <v>1142</v>
      </c>
      <c r="T38" t="s">
        <v>1143</v>
      </c>
      <c r="U38" t="s">
        <v>1</v>
      </c>
      <c r="V38" t="s">
        <v>1113</v>
      </c>
      <c r="W38" t="s">
        <v>1</v>
      </c>
      <c r="X38" t="s">
        <v>1114</v>
      </c>
      <c r="Y38">
        <v>1</v>
      </c>
      <c r="AB38" t="s">
        <v>1115</v>
      </c>
      <c r="AC38" t="s">
        <v>1116</v>
      </c>
      <c r="AD38" t="s">
        <v>1023</v>
      </c>
    </row>
    <row r="39" spans="1:30" x14ac:dyDescent="0.15">
      <c r="A39">
        <v>180260</v>
      </c>
      <c r="B39" t="s">
        <v>1002</v>
      </c>
      <c r="C39" t="s">
        <v>1104</v>
      </c>
      <c r="D39" t="s">
        <v>1004</v>
      </c>
      <c r="E39" t="s">
        <v>1144</v>
      </c>
      <c r="F39" t="s">
        <v>1106</v>
      </c>
      <c r="G39" t="s">
        <v>1145</v>
      </c>
      <c r="H39" t="s">
        <v>1146</v>
      </c>
      <c r="I39" t="s">
        <v>1043</v>
      </c>
      <c r="K39" t="s">
        <v>1010</v>
      </c>
      <c r="L39" t="s">
        <v>76</v>
      </c>
      <c r="N39" t="s">
        <v>1109</v>
      </c>
      <c r="O39">
        <v>0</v>
      </c>
      <c r="P39">
        <v>6</v>
      </c>
      <c r="Q39">
        <v>3</v>
      </c>
      <c r="R39" t="s">
        <v>1110</v>
      </c>
      <c r="S39" t="s">
        <v>1111</v>
      </c>
      <c r="T39" t="s">
        <v>1112</v>
      </c>
      <c r="U39" t="s">
        <v>1</v>
      </c>
      <c r="V39" t="s">
        <v>1113</v>
      </c>
      <c r="W39" t="s">
        <v>1</v>
      </c>
      <c r="X39" t="s">
        <v>1114</v>
      </c>
      <c r="Y39">
        <v>1</v>
      </c>
      <c r="AB39" t="s">
        <v>1115</v>
      </c>
      <c r="AC39" t="s">
        <v>1116</v>
      </c>
      <c r="AD39" t="s">
        <v>1023</v>
      </c>
    </row>
    <row r="40" spans="1:30" x14ac:dyDescent="0.15">
      <c r="A40">
        <v>180261</v>
      </c>
      <c r="B40" t="s">
        <v>1002</v>
      </c>
      <c r="C40" t="s">
        <v>1104</v>
      </c>
      <c r="D40" t="s">
        <v>1004</v>
      </c>
      <c r="E40" t="s">
        <v>1147</v>
      </c>
      <c r="F40" t="s">
        <v>1106</v>
      </c>
      <c r="G40" t="s">
        <v>1148</v>
      </c>
      <c r="H40" t="s">
        <v>1149</v>
      </c>
      <c r="I40" t="s">
        <v>1043</v>
      </c>
      <c r="K40" t="s">
        <v>1010</v>
      </c>
      <c r="L40" t="s">
        <v>76</v>
      </c>
      <c r="N40" t="s">
        <v>1109</v>
      </c>
      <c r="O40">
        <v>0</v>
      </c>
      <c r="P40">
        <v>6</v>
      </c>
      <c r="Q40">
        <v>3</v>
      </c>
      <c r="R40" t="s">
        <v>1110</v>
      </c>
      <c r="S40" t="s">
        <v>1111</v>
      </c>
      <c r="T40" t="s">
        <v>1112</v>
      </c>
      <c r="U40" t="s">
        <v>1</v>
      </c>
      <c r="V40" t="s">
        <v>1113</v>
      </c>
      <c r="W40" t="s">
        <v>1</v>
      </c>
      <c r="X40" t="s">
        <v>1114</v>
      </c>
      <c r="Y40">
        <v>1</v>
      </c>
      <c r="AB40" t="s">
        <v>1115</v>
      </c>
      <c r="AC40" t="s">
        <v>1116</v>
      </c>
      <c r="AD40" t="s">
        <v>1023</v>
      </c>
    </row>
    <row r="41" spans="1:30" x14ac:dyDescent="0.15">
      <c r="A41">
        <v>180262</v>
      </c>
      <c r="B41" t="s">
        <v>1002</v>
      </c>
      <c r="C41" t="s">
        <v>1104</v>
      </c>
      <c r="D41" t="s">
        <v>1004</v>
      </c>
      <c r="E41" t="s">
        <v>1150</v>
      </c>
      <c r="F41" t="s">
        <v>1106</v>
      </c>
      <c r="G41" t="s">
        <v>1151</v>
      </c>
      <c r="H41" t="s">
        <v>1152</v>
      </c>
      <c r="I41" t="s">
        <v>1049</v>
      </c>
      <c r="K41" t="s">
        <v>142</v>
      </c>
      <c r="L41" t="s">
        <v>76</v>
      </c>
      <c r="N41" t="s">
        <v>1109</v>
      </c>
      <c r="O41">
        <v>0</v>
      </c>
      <c r="P41">
        <v>1</v>
      </c>
      <c r="Q41">
        <v>7</v>
      </c>
      <c r="R41" t="s">
        <v>1118</v>
      </c>
      <c r="S41" t="s">
        <v>1153</v>
      </c>
      <c r="T41" t="s">
        <v>1112</v>
      </c>
      <c r="U41" t="s">
        <v>1</v>
      </c>
      <c r="V41" t="s">
        <v>1113</v>
      </c>
      <c r="W41" t="s">
        <v>1</v>
      </c>
      <c r="X41" t="s">
        <v>1114</v>
      </c>
      <c r="Y41">
        <v>1</v>
      </c>
      <c r="AB41" t="s">
        <v>1115</v>
      </c>
      <c r="AC41" t="s">
        <v>1116</v>
      </c>
      <c r="AD41" t="s">
        <v>1023</v>
      </c>
    </row>
    <row r="42" spans="1:30" x14ac:dyDescent="0.15">
      <c r="A42">
        <v>180263</v>
      </c>
      <c r="B42" t="s">
        <v>1002</v>
      </c>
      <c r="C42" t="s">
        <v>1104</v>
      </c>
      <c r="D42" t="s">
        <v>1004</v>
      </c>
      <c r="E42" t="s">
        <v>1154</v>
      </c>
      <c r="F42" t="s">
        <v>1106</v>
      </c>
      <c r="G42" t="s">
        <v>1155</v>
      </c>
      <c r="H42" t="s">
        <v>1156</v>
      </c>
      <c r="I42" t="s">
        <v>1049</v>
      </c>
      <c r="K42" t="s">
        <v>1010</v>
      </c>
      <c r="L42" t="s">
        <v>76</v>
      </c>
      <c r="N42" t="s">
        <v>1109</v>
      </c>
      <c r="O42">
        <v>0</v>
      </c>
      <c r="P42">
        <v>8</v>
      </c>
      <c r="Q42">
        <v>7</v>
      </c>
      <c r="R42" t="s">
        <v>1110</v>
      </c>
      <c r="S42" t="s">
        <v>1111</v>
      </c>
      <c r="T42" t="s">
        <v>1112</v>
      </c>
      <c r="U42" t="s">
        <v>1</v>
      </c>
      <c r="V42" t="s">
        <v>1113</v>
      </c>
      <c r="W42" t="s">
        <v>1</v>
      </c>
      <c r="X42" t="s">
        <v>1114</v>
      </c>
      <c r="Y42">
        <v>1</v>
      </c>
      <c r="AB42" t="s">
        <v>1115</v>
      </c>
      <c r="AC42" t="s">
        <v>1116</v>
      </c>
      <c r="AD42" t="s">
        <v>1023</v>
      </c>
    </row>
    <row r="43" spans="1:30" x14ac:dyDescent="0.15">
      <c r="A43">
        <v>180264</v>
      </c>
      <c r="B43" t="s">
        <v>1002</v>
      </c>
      <c r="C43" t="s">
        <v>1104</v>
      </c>
      <c r="D43" t="s">
        <v>1004</v>
      </c>
      <c r="E43" t="s">
        <v>1157</v>
      </c>
      <c r="F43" t="s">
        <v>1106</v>
      </c>
      <c r="G43" t="s">
        <v>1158</v>
      </c>
      <c r="H43" t="s">
        <v>1156</v>
      </c>
      <c r="I43" t="s">
        <v>1049</v>
      </c>
      <c r="K43" t="s">
        <v>142</v>
      </c>
      <c r="L43" t="s">
        <v>76</v>
      </c>
      <c r="N43" t="s">
        <v>1109</v>
      </c>
      <c r="O43">
        <v>0</v>
      </c>
      <c r="P43">
        <v>1</v>
      </c>
      <c r="Q43">
        <v>7</v>
      </c>
      <c r="R43" t="s">
        <v>1118</v>
      </c>
      <c r="S43" t="s">
        <v>1159</v>
      </c>
      <c r="T43" t="s">
        <v>1112</v>
      </c>
      <c r="U43" t="s">
        <v>1</v>
      </c>
      <c r="V43" t="s">
        <v>1113</v>
      </c>
      <c r="W43" t="s">
        <v>1</v>
      </c>
      <c r="X43" t="s">
        <v>1114</v>
      </c>
      <c r="Y43">
        <v>1</v>
      </c>
      <c r="AB43" t="s">
        <v>1115</v>
      </c>
      <c r="AC43" t="s">
        <v>1116</v>
      </c>
      <c r="AD43" t="s">
        <v>1023</v>
      </c>
    </row>
    <row r="44" spans="1:30" x14ac:dyDescent="0.15">
      <c r="A44">
        <v>180265</v>
      </c>
      <c r="B44" t="s">
        <v>1002</v>
      </c>
      <c r="C44" t="s">
        <v>1104</v>
      </c>
      <c r="D44" t="s">
        <v>1004</v>
      </c>
      <c r="E44" t="s">
        <v>1160</v>
      </c>
      <c r="F44" t="s">
        <v>1106</v>
      </c>
      <c r="G44" t="s">
        <v>1161</v>
      </c>
      <c r="H44" t="s">
        <v>1162</v>
      </c>
      <c r="I44" t="s">
        <v>1037</v>
      </c>
      <c r="K44" t="s">
        <v>1010</v>
      </c>
      <c r="L44" t="s">
        <v>76</v>
      </c>
      <c r="N44" t="s">
        <v>1109</v>
      </c>
      <c r="O44">
        <v>0</v>
      </c>
      <c r="P44">
        <v>6</v>
      </c>
      <c r="Q44">
        <v>5</v>
      </c>
      <c r="R44" t="s">
        <v>1110</v>
      </c>
      <c r="S44" t="s">
        <v>1111</v>
      </c>
      <c r="T44" t="s">
        <v>1112</v>
      </c>
      <c r="U44" t="s">
        <v>1</v>
      </c>
      <c r="V44" t="s">
        <v>1113</v>
      </c>
      <c r="W44" t="s">
        <v>1</v>
      </c>
      <c r="X44" t="s">
        <v>1114</v>
      </c>
      <c r="Y44">
        <v>1</v>
      </c>
      <c r="AB44" t="s">
        <v>1115</v>
      </c>
      <c r="AC44" t="s">
        <v>1116</v>
      </c>
      <c r="AD44" t="s">
        <v>1023</v>
      </c>
    </row>
    <row r="45" spans="1:30" x14ac:dyDescent="0.15">
      <c r="A45">
        <v>180266</v>
      </c>
      <c r="B45" t="s">
        <v>1002</v>
      </c>
      <c r="C45" t="s">
        <v>1104</v>
      </c>
      <c r="D45" t="s">
        <v>1004</v>
      </c>
      <c r="E45" t="s">
        <v>1163</v>
      </c>
      <c r="F45" t="s">
        <v>1106</v>
      </c>
      <c r="G45" t="s">
        <v>1164</v>
      </c>
      <c r="H45" t="s">
        <v>1165</v>
      </c>
      <c r="I45" t="s">
        <v>1037</v>
      </c>
      <c r="K45" t="s">
        <v>142</v>
      </c>
      <c r="L45" t="s">
        <v>76</v>
      </c>
      <c r="N45" t="s">
        <v>1109</v>
      </c>
      <c r="O45">
        <v>0</v>
      </c>
      <c r="P45">
        <v>2</v>
      </c>
      <c r="Q45">
        <v>5</v>
      </c>
      <c r="R45" t="s">
        <v>1166</v>
      </c>
      <c r="S45" t="s">
        <v>1167</v>
      </c>
      <c r="T45" t="s">
        <v>1112</v>
      </c>
      <c r="U45" t="s">
        <v>1</v>
      </c>
      <c r="V45" t="s">
        <v>1113</v>
      </c>
      <c r="W45" t="s">
        <v>1</v>
      </c>
      <c r="X45" t="s">
        <v>1114</v>
      </c>
      <c r="Y45">
        <v>1</v>
      </c>
      <c r="AB45" t="s">
        <v>1115</v>
      </c>
      <c r="AC45" t="s">
        <v>1116</v>
      </c>
      <c r="AD45" t="s">
        <v>1023</v>
      </c>
    </row>
    <row r="46" spans="1:30" x14ac:dyDescent="0.15">
      <c r="A46">
        <v>180267</v>
      </c>
      <c r="B46" t="s">
        <v>1002</v>
      </c>
      <c r="C46" t="s">
        <v>1104</v>
      </c>
      <c r="D46" t="s">
        <v>1004</v>
      </c>
      <c r="E46" t="s">
        <v>1168</v>
      </c>
      <c r="F46" t="s">
        <v>1106</v>
      </c>
      <c r="G46" t="s">
        <v>1169</v>
      </c>
      <c r="H46" t="s">
        <v>1170</v>
      </c>
      <c r="I46" t="s">
        <v>1037</v>
      </c>
      <c r="K46" t="s">
        <v>142</v>
      </c>
      <c r="L46" t="s">
        <v>76</v>
      </c>
      <c r="N46" t="s">
        <v>1109</v>
      </c>
      <c r="O46">
        <v>0</v>
      </c>
      <c r="P46">
        <v>1</v>
      </c>
      <c r="Q46">
        <v>5</v>
      </c>
      <c r="R46" t="s">
        <v>1118</v>
      </c>
      <c r="S46" t="s">
        <v>1171</v>
      </c>
      <c r="T46" t="s">
        <v>1112</v>
      </c>
      <c r="U46" t="s">
        <v>1</v>
      </c>
      <c r="V46" t="s">
        <v>1113</v>
      </c>
      <c r="W46" t="s">
        <v>1</v>
      </c>
      <c r="X46" t="s">
        <v>1114</v>
      </c>
      <c r="Y46">
        <v>1</v>
      </c>
      <c r="AB46" t="s">
        <v>1115</v>
      </c>
      <c r="AC46" t="s">
        <v>1116</v>
      </c>
      <c r="AD46" t="s">
        <v>1023</v>
      </c>
    </row>
    <row r="47" spans="1:30" x14ac:dyDescent="0.15">
      <c r="A47">
        <v>180268</v>
      </c>
      <c r="B47" t="s">
        <v>1002</v>
      </c>
      <c r="C47" t="s">
        <v>1104</v>
      </c>
      <c r="D47" t="s">
        <v>1004</v>
      </c>
      <c r="E47" t="s">
        <v>1172</v>
      </c>
      <c r="F47" t="s">
        <v>1106</v>
      </c>
      <c r="G47" t="s">
        <v>1173</v>
      </c>
      <c r="H47" t="s">
        <v>1174</v>
      </c>
      <c r="I47" t="s">
        <v>1037</v>
      </c>
      <c r="K47" t="s">
        <v>142</v>
      </c>
      <c r="L47" t="s">
        <v>76</v>
      </c>
      <c r="N47" t="s">
        <v>1109</v>
      </c>
      <c r="O47">
        <v>0</v>
      </c>
      <c r="P47">
        <v>1</v>
      </c>
      <c r="Q47">
        <v>5</v>
      </c>
      <c r="R47" t="s">
        <v>1118</v>
      </c>
      <c r="S47" t="s">
        <v>1175</v>
      </c>
      <c r="T47" t="s">
        <v>1112</v>
      </c>
      <c r="U47" t="s">
        <v>1</v>
      </c>
      <c r="V47" t="s">
        <v>1113</v>
      </c>
      <c r="W47" t="s">
        <v>1</v>
      </c>
      <c r="X47" t="s">
        <v>1114</v>
      </c>
      <c r="Y47">
        <v>1</v>
      </c>
      <c r="AB47" t="s">
        <v>1115</v>
      </c>
      <c r="AC47" t="s">
        <v>1116</v>
      </c>
      <c r="AD47" t="s">
        <v>1023</v>
      </c>
    </row>
    <row r="48" spans="1:30" x14ac:dyDescent="0.15">
      <c r="A48">
        <v>180269</v>
      </c>
      <c r="B48" t="s">
        <v>1002</v>
      </c>
      <c r="C48" t="s">
        <v>1104</v>
      </c>
      <c r="D48" t="s">
        <v>1004</v>
      </c>
      <c r="E48" t="s">
        <v>1176</v>
      </c>
      <c r="F48" t="s">
        <v>1106</v>
      </c>
      <c r="G48" t="s">
        <v>1177</v>
      </c>
      <c r="H48" t="s">
        <v>1178</v>
      </c>
      <c r="I48" t="s">
        <v>1037</v>
      </c>
      <c r="K48" t="s">
        <v>142</v>
      </c>
      <c r="L48" t="s">
        <v>76</v>
      </c>
      <c r="N48" t="s">
        <v>1109</v>
      </c>
      <c r="O48">
        <v>0</v>
      </c>
      <c r="P48">
        <v>2</v>
      </c>
      <c r="Q48">
        <v>5</v>
      </c>
      <c r="R48" t="s">
        <v>1118</v>
      </c>
      <c r="S48" t="s">
        <v>1179</v>
      </c>
      <c r="T48" t="s">
        <v>1112</v>
      </c>
      <c r="U48" t="s">
        <v>1</v>
      </c>
      <c r="V48" t="s">
        <v>1113</v>
      </c>
      <c r="W48" t="s">
        <v>1</v>
      </c>
      <c r="X48" t="s">
        <v>1114</v>
      </c>
      <c r="Y48">
        <v>1</v>
      </c>
      <c r="AB48" t="s">
        <v>1115</v>
      </c>
      <c r="AC48" t="s">
        <v>1116</v>
      </c>
      <c r="AD48" t="s">
        <v>1023</v>
      </c>
    </row>
    <row r="49" spans="1:30" x14ac:dyDescent="0.15">
      <c r="A49">
        <v>180270</v>
      </c>
      <c r="B49" t="s">
        <v>1002</v>
      </c>
      <c r="C49" t="s">
        <v>1104</v>
      </c>
      <c r="D49" t="s">
        <v>1004</v>
      </c>
      <c r="E49" t="s">
        <v>1180</v>
      </c>
      <c r="F49" t="s">
        <v>1106</v>
      </c>
      <c r="G49" t="s">
        <v>1181</v>
      </c>
      <c r="H49" t="s">
        <v>1182</v>
      </c>
      <c r="I49" t="s">
        <v>1037</v>
      </c>
      <c r="K49" t="s">
        <v>142</v>
      </c>
      <c r="L49" t="s">
        <v>76</v>
      </c>
      <c r="N49" t="s">
        <v>1109</v>
      </c>
      <c r="O49">
        <v>0</v>
      </c>
      <c r="P49">
        <v>1</v>
      </c>
      <c r="Q49">
        <v>5</v>
      </c>
      <c r="R49" t="s">
        <v>1118</v>
      </c>
      <c r="S49" t="s">
        <v>1183</v>
      </c>
      <c r="T49" t="s">
        <v>1112</v>
      </c>
      <c r="U49" t="s">
        <v>1</v>
      </c>
      <c r="V49" t="s">
        <v>1113</v>
      </c>
      <c r="W49" t="s">
        <v>1</v>
      </c>
      <c r="X49" t="s">
        <v>1114</v>
      </c>
      <c r="Y49">
        <v>1</v>
      </c>
      <c r="AB49" t="s">
        <v>1115</v>
      </c>
      <c r="AC49" t="s">
        <v>1116</v>
      </c>
      <c r="AD49" t="s">
        <v>1023</v>
      </c>
    </row>
    <row r="50" spans="1:30" x14ac:dyDescent="0.15">
      <c r="A50">
        <v>180271</v>
      </c>
      <c r="B50" t="s">
        <v>1002</v>
      </c>
      <c r="C50" t="s">
        <v>1104</v>
      </c>
      <c r="D50" t="s">
        <v>1004</v>
      </c>
      <c r="E50" t="s">
        <v>1184</v>
      </c>
      <c r="F50" t="s">
        <v>1106</v>
      </c>
      <c r="G50" t="s">
        <v>1185</v>
      </c>
      <c r="H50" t="s">
        <v>1186</v>
      </c>
      <c r="I50" t="s">
        <v>1037</v>
      </c>
      <c r="K50" t="s">
        <v>142</v>
      </c>
      <c r="L50" t="s">
        <v>76</v>
      </c>
      <c r="N50" t="s">
        <v>1109</v>
      </c>
      <c r="O50">
        <v>0</v>
      </c>
      <c r="P50">
        <v>1</v>
      </c>
      <c r="Q50">
        <v>5</v>
      </c>
      <c r="R50" t="s">
        <v>1118</v>
      </c>
      <c r="S50" t="s">
        <v>1187</v>
      </c>
      <c r="T50" t="s">
        <v>1112</v>
      </c>
      <c r="U50" t="s">
        <v>1</v>
      </c>
      <c r="V50" t="s">
        <v>1113</v>
      </c>
      <c r="W50" t="s">
        <v>1</v>
      </c>
      <c r="X50" t="s">
        <v>1114</v>
      </c>
      <c r="Y50">
        <v>1</v>
      </c>
      <c r="AB50" t="s">
        <v>1115</v>
      </c>
      <c r="AC50" t="s">
        <v>1116</v>
      </c>
      <c r="AD50" t="s">
        <v>1023</v>
      </c>
    </row>
    <row r="51" spans="1:30" x14ac:dyDescent="0.15">
      <c r="A51">
        <v>180272</v>
      </c>
      <c r="B51" t="s">
        <v>1002</v>
      </c>
      <c r="C51" t="s">
        <v>1104</v>
      </c>
      <c r="D51" t="s">
        <v>1004</v>
      </c>
      <c r="E51" t="s">
        <v>1188</v>
      </c>
      <c r="F51" t="s">
        <v>1106</v>
      </c>
      <c r="G51" t="s">
        <v>1189</v>
      </c>
      <c r="H51" t="s">
        <v>1190</v>
      </c>
      <c r="I51" t="s">
        <v>1037</v>
      </c>
      <c r="K51" t="s">
        <v>142</v>
      </c>
      <c r="L51" t="s">
        <v>76</v>
      </c>
      <c r="N51" t="s">
        <v>1109</v>
      </c>
      <c r="O51">
        <v>0</v>
      </c>
      <c r="P51">
        <v>1</v>
      </c>
      <c r="Q51">
        <v>5</v>
      </c>
      <c r="R51" t="s">
        <v>1118</v>
      </c>
      <c r="S51" t="s">
        <v>1191</v>
      </c>
      <c r="T51" t="s">
        <v>1112</v>
      </c>
      <c r="U51" t="s">
        <v>1</v>
      </c>
      <c r="V51" t="s">
        <v>1113</v>
      </c>
      <c r="W51" t="s">
        <v>1</v>
      </c>
      <c r="X51" t="s">
        <v>1114</v>
      </c>
      <c r="Y51">
        <v>1</v>
      </c>
      <c r="AB51" t="s">
        <v>1115</v>
      </c>
      <c r="AC51" t="s">
        <v>1116</v>
      </c>
      <c r="AD51" t="s">
        <v>1023</v>
      </c>
    </row>
    <row r="52" spans="1:30" x14ac:dyDescent="0.15">
      <c r="A52">
        <v>180273</v>
      </c>
      <c r="B52" t="s">
        <v>1002</v>
      </c>
      <c r="C52" t="s">
        <v>1104</v>
      </c>
      <c r="D52" t="s">
        <v>1004</v>
      </c>
      <c r="E52" t="s">
        <v>1192</v>
      </c>
      <c r="F52" t="s">
        <v>1106</v>
      </c>
      <c r="G52" t="s">
        <v>1193</v>
      </c>
      <c r="H52" t="s">
        <v>1194</v>
      </c>
      <c r="I52" t="s">
        <v>1037</v>
      </c>
      <c r="K52" t="s">
        <v>142</v>
      </c>
      <c r="L52" t="s">
        <v>76</v>
      </c>
      <c r="N52" t="s">
        <v>1109</v>
      </c>
      <c r="O52">
        <v>0</v>
      </c>
      <c r="P52">
        <v>1</v>
      </c>
      <c r="Q52">
        <v>5</v>
      </c>
      <c r="R52" t="s">
        <v>1118</v>
      </c>
      <c r="S52" t="s">
        <v>1195</v>
      </c>
      <c r="T52" t="s">
        <v>1112</v>
      </c>
      <c r="U52" t="s">
        <v>1</v>
      </c>
      <c r="V52" t="s">
        <v>1113</v>
      </c>
      <c r="W52" t="s">
        <v>1</v>
      </c>
      <c r="X52" t="s">
        <v>1114</v>
      </c>
      <c r="Y52">
        <v>1</v>
      </c>
      <c r="AB52" t="s">
        <v>1115</v>
      </c>
      <c r="AC52" t="s">
        <v>1116</v>
      </c>
      <c r="AD52" t="s">
        <v>1023</v>
      </c>
    </row>
    <row r="53" spans="1:30" x14ac:dyDescent="0.15">
      <c r="A53">
        <v>180274</v>
      </c>
      <c r="B53" t="s">
        <v>1002</v>
      </c>
      <c r="C53" t="s">
        <v>1104</v>
      </c>
      <c r="D53" t="s">
        <v>1004</v>
      </c>
      <c r="E53" t="s">
        <v>1196</v>
      </c>
      <c r="F53" t="s">
        <v>1106</v>
      </c>
      <c r="G53" t="s">
        <v>1197</v>
      </c>
      <c r="H53" t="s">
        <v>1198</v>
      </c>
      <c r="I53" t="s">
        <v>1037</v>
      </c>
      <c r="K53" t="s">
        <v>142</v>
      </c>
      <c r="L53" t="s">
        <v>76</v>
      </c>
      <c r="N53" t="s">
        <v>1109</v>
      </c>
      <c r="O53">
        <v>0</v>
      </c>
      <c r="P53">
        <v>2</v>
      </c>
      <c r="Q53">
        <v>5</v>
      </c>
      <c r="R53" t="s">
        <v>1118</v>
      </c>
      <c r="S53" t="s">
        <v>1199</v>
      </c>
      <c r="T53" t="s">
        <v>1120</v>
      </c>
      <c r="U53" t="s">
        <v>1</v>
      </c>
      <c r="V53" t="s">
        <v>1113</v>
      </c>
      <c r="W53" t="s">
        <v>1</v>
      </c>
      <c r="X53" t="s">
        <v>1114</v>
      </c>
      <c r="Y53">
        <v>1</v>
      </c>
      <c r="AB53" t="s">
        <v>1115</v>
      </c>
      <c r="AC53" t="s">
        <v>1116</v>
      </c>
      <c r="AD53" t="s">
        <v>1023</v>
      </c>
    </row>
    <row r="54" spans="1:30" x14ac:dyDescent="0.15">
      <c r="A54">
        <v>180275</v>
      </c>
      <c r="B54" t="s">
        <v>1002</v>
      </c>
      <c r="C54" t="s">
        <v>1104</v>
      </c>
      <c r="D54" t="s">
        <v>1004</v>
      </c>
      <c r="E54" t="s">
        <v>1200</v>
      </c>
      <c r="F54" t="s">
        <v>1106</v>
      </c>
      <c r="G54" t="s">
        <v>1201</v>
      </c>
      <c r="H54" t="s">
        <v>1202</v>
      </c>
      <c r="I54" t="s">
        <v>1037</v>
      </c>
      <c r="K54" t="s">
        <v>142</v>
      </c>
      <c r="L54" t="s">
        <v>76</v>
      </c>
      <c r="N54" t="s">
        <v>1109</v>
      </c>
      <c r="O54">
        <v>0</v>
      </c>
      <c r="P54">
        <v>3</v>
      </c>
      <c r="Q54">
        <v>5</v>
      </c>
      <c r="R54" t="s">
        <v>1118</v>
      </c>
      <c r="S54" t="s">
        <v>1203</v>
      </c>
      <c r="T54" t="s">
        <v>1112</v>
      </c>
      <c r="U54" t="s">
        <v>1</v>
      </c>
      <c r="V54" t="s">
        <v>1113</v>
      </c>
      <c r="W54" t="s">
        <v>1</v>
      </c>
      <c r="X54" t="s">
        <v>1114</v>
      </c>
      <c r="Y54">
        <v>1</v>
      </c>
      <c r="AB54" t="s">
        <v>1115</v>
      </c>
      <c r="AC54" t="s">
        <v>1116</v>
      </c>
      <c r="AD54" t="s">
        <v>1023</v>
      </c>
    </row>
    <row r="55" spans="1:30" x14ac:dyDescent="0.15">
      <c r="A55">
        <v>180276</v>
      </c>
      <c r="B55" t="s">
        <v>1002</v>
      </c>
      <c r="C55" t="s">
        <v>1104</v>
      </c>
      <c r="D55" t="s">
        <v>1004</v>
      </c>
      <c r="E55" t="s">
        <v>1204</v>
      </c>
      <c r="F55" t="s">
        <v>1106</v>
      </c>
      <c r="G55" t="s">
        <v>1205</v>
      </c>
      <c r="H55" t="s">
        <v>1206</v>
      </c>
      <c r="I55" t="s">
        <v>1037</v>
      </c>
      <c r="K55" t="s">
        <v>142</v>
      </c>
      <c r="L55" t="s">
        <v>76</v>
      </c>
      <c r="N55" t="s">
        <v>1109</v>
      </c>
      <c r="O55">
        <v>1</v>
      </c>
      <c r="P55">
        <v>2</v>
      </c>
      <c r="Q55">
        <v>5</v>
      </c>
      <c r="R55" t="s">
        <v>1118</v>
      </c>
      <c r="S55" t="s">
        <v>1207</v>
      </c>
      <c r="T55" t="s">
        <v>1112</v>
      </c>
      <c r="U55" t="s">
        <v>1</v>
      </c>
      <c r="V55" t="s">
        <v>1113</v>
      </c>
      <c r="W55" t="s">
        <v>1</v>
      </c>
      <c r="X55" t="s">
        <v>1114</v>
      </c>
      <c r="Y55">
        <v>1</v>
      </c>
      <c r="AB55" t="s">
        <v>1115</v>
      </c>
      <c r="AC55" t="s">
        <v>1116</v>
      </c>
      <c r="AD55" t="s">
        <v>1023</v>
      </c>
    </row>
    <row r="56" spans="1:30" x14ac:dyDescent="0.15">
      <c r="A56">
        <v>180277</v>
      </c>
      <c r="B56" t="s">
        <v>1002</v>
      </c>
      <c r="C56" t="s">
        <v>1104</v>
      </c>
      <c r="D56" t="s">
        <v>1004</v>
      </c>
      <c r="E56" t="s">
        <v>1208</v>
      </c>
      <c r="F56" t="s">
        <v>1106</v>
      </c>
      <c r="G56" t="s">
        <v>1209</v>
      </c>
      <c r="H56" t="s">
        <v>1210</v>
      </c>
      <c r="I56" t="s">
        <v>1037</v>
      </c>
      <c r="K56" t="s">
        <v>144</v>
      </c>
      <c r="L56" t="s">
        <v>77</v>
      </c>
      <c r="N56" t="s">
        <v>1109</v>
      </c>
      <c r="O56">
        <v>0</v>
      </c>
      <c r="P56">
        <v>1</v>
      </c>
      <c r="Q56">
        <v>5</v>
      </c>
      <c r="R56" t="s">
        <v>1118</v>
      </c>
      <c r="S56" t="s">
        <v>1211</v>
      </c>
      <c r="T56" t="s">
        <v>1120</v>
      </c>
      <c r="U56" t="s">
        <v>1</v>
      </c>
      <c r="V56" t="s">
        <v>1113</v>
      </c>
      <c r="W56" t="s">
        <v>1</v>
      </c>
      <c r="X56" t="s">
        <v>1114</v>
      </c>
      <c r="Y56">
        <v>1</v>
      </c>
      <c r="AB56" t="s">
        <v>1115</v>
      </c>
      <c r="AC56" t="s">
        <v>1116</v>
      </c>
      <c r="AD56" t="s">
        <v>1023</v>
      </c>
    </row>
    <row r="57" spans="1:30" x14ac:dyDescent="0.15">
      <c r="A57">
        <v>180278</v>
      </c>
      <c r="B57" t="s">
        <v>1002</v>
      </c>
      <c r="C57" t="s">
        <v>1104</v>
      </c>
      <c r="D57" t="s">
        <v>1004</v>
      </c>
      <c r="E57" t="s">
        <v>1212</v>
      </c>
      <c r="F57" t="s">
        <v>1106</v>
      </c>
      <c r="G57" t="s">
        <v>1213</v>
      </c>
      <c r="H57" t="s">
        <v>1214</v>
      </c>
      <c r="I57" t="s">
        <v>1037</v>
      </c>
      <c r="K57" t="s">
        <v>144</v>
      </c>
      <c r="L57" t="s">
        <v>77</v>
      </c>
      <c r="N57" t="s">
        <v>1109</v>
      </c>
      <c r="O57">
        <v>0</v>
      </c>
      <c r="P57">
        <v>2</v>
      </c>
      <c r="Q57">
        <v>5</v>
      </c>
      <c r="R57" t="s">
        <v>1118</v>
      </c>
      <c r="S57" t="s">
        <v>1215</v>
      </c>
      <c r="T57" t="s">
        <v>1112</v>
      </c>
      <c r="U57" t="s">
        <v>1</v>
      </c>
      <c r="V57" t="s">
        <v>1113</v>
      </c>
      <c r="W57" t="s">
        <v>1</v>
      </c>
      <c r="X57" t="s">
        <v>1114</v>
      </c>
      <c r="Y57">
        <v>2</v>
      </c>
      <c r="AA57" t="s">
        <v>1216</v>
      </c>
      <c r="AB57" t="s">
        <v>1115</v>
      </c>
      <c r="AC57" t="s">
        <v>1116</v>
      </c>
      <c r="AD57" t="s">
        <v>1023</v>
      </c>
    </row>
    <row r="58" spans="1:30" x14ac:dyDescent="0.15">
      <c r="A58">
        <v>180279</v>
      </c>
      <c r="B58" t="s">
        <v>1002</v>
      </c>
      <c r="C58" t="s">
        <v>1104</v>
      </c>
      <c r="D58" t="s">
        <v>1004</v>
      </c>
      <c r="E58" t="s">
        <v>1217</v>
      </c>
      <c r="F58" t="s">
        <v>1106</v>
      </c>
      <c r="G58" t="s">
        <v>1218</v>
      </c>
      <c r="H58" t="s">
        <v>1219</v>
      </c>
      <c r="I58" t="s">
        <v>1037</v>
      </c>
      <c r="K58" t="s">
        <v>1220</v>
      </c>
      <c r="L58" t="s">
        <v>76</v>
      </c>
      <c r="N58" t="s">
        <v>1011</v>
      </c>
      <c r="O58">
        <v>5</v>
      </c>
      <c r="P58">
        <v>2</v>
      </c>
      <c r="Q58">
        <v>5</v>
      </c>
      <c r="R58" t="s">
        <v>1</v>
      </c>
      <c r="S58" t="s">
        <v>1221</v>
      </c>
      <c r="T58" t="s">
        <v>1120</v>
      </c>
      <c r="U58" t="s">
        <v>1</v>
      </c>
      <c r="V58" t="s">
        <v>1113</v>
      </c>
      <c r="W58" t="s">
        <v>1</v>
      </c>
      <c r="X58" t="s">
        <v>1114</v>
      </c>
      <c r="Y58">
        <v>3</v>
      </c>
      <c r="AA58" t="s">
        <v>1216</v>
      </c>
      <c r="AB58" t="s">
        <v>1115</v>
      </c>
      <c r="AC58" t="s">
        <v>1116</v>
      </c>
      <c r="AD58" t="s">
        <v>1023</v>
      </c>
    </row>
    <row r="59" spans="1:30" x14ac:dyDescent="0.15">
      <c r="A59">
        <v>180280</v>
      </c>
      <c r="B59" t="s">
        <v>1002</v>
      </c>
      <c r="C59" t="s">
        <v>1104</v>
      </c>
      <c r="D59" t="s">
        <v>1004</v>
      </c>
      <c r="E59" t="s">
        <v>1222</v>
      </c>
      <c r="F59" t="s">
        <v>1106</v>
      </c>
      <c r="G59" t="s">
        <v>1223</v>
      </c>
      <c r="H59" t="s">
        <v>1224</v>
      </c>
      <c r="I59" t="s">
        <v>1037</v>
      </c>
      <c r="K59" t="s">
        <v>144</v>
      </c>
      <c r="L59" t="s">
        <v>77</v>
      </c>
      <c r="N59" t="s">
        <v>1109</v>
      </c>
      <c r="O59">
        <v>0</v>
      </c>
      <c r="P59">
        <v>2</v>
      </c>
      <c r="Q59">
        <v>5</v>
      </c>
      <c r="R59" t="s">
        <v>1</v>
      </c>
      <c r="S59" t="s">
        <v>1225</v>
      </c>
      <c r="T59" t="s">
        <v>1143</v>
      </c>
      <c r="U59" t="s">
        <v>1</v>
      </c>
      <c r="V59" t="s">
        <v>1113</v>
      </c>
      <c r="W59" t="s">
        <v>1</v>
      </c>
      <c r="X59" t="s">
        <v>1114</v>
      </c>
      <c r="Y59">
        <v>2</v>
      </c>
      <c r="AB59" t="s">
        <v>1115</v>
      </c>
      <c r="AC59" t="s">
        <v>1116</v>
      </c>
      <c r="AD59" t="s">
        <v>1023</v>
      </c>
    </row>
    <row r="60" spans="1:30" x14ac:dyDescent="0.15">
      <c r="A60">
        <v>180281</v>
      </c>
      <c r="B60" t="s">
        <v>1002</v>
      </c>
      <c r="C60" t="s">
        <v>1104</v>
      </c>
      <c r="D60" t="s">
        <v>1004</v>
      </c>
      <c r="E60" t="s">
        <v>1226</v>
      </c>
      <c r="F60" t="s">
        <v>1227</v>
      </c>
      <c r="G60" t="s">
        <v>1228</v>
      </c>
      <c r="H60" t="s">
        <v>1229</v>
      </c>
      <c r="I60" t="s">
        <v>1009</v>
      </c>
      <c r="K60" t="s">
        <v>144</v>
      </c>
      <c r="L60" t="s">
        <v>77</v>
      </c>
      <c r="N60" t="s">
        <v>1109</v>
      </c>
      <c r="O60">
        <v>0</v>
      </c>
      <c r="P60">
        <v>2</v>
      </c>
      <c r="Q60">
        <v>4</v>
      </c>
      <c r="R60" t="s">
        <v>1</v>
      </c>
      <c r="S60" t="s">
        <v>1230</v>
      </c>
      <c r="T60" t="s">
        <v>1112</v>
      </c>
      <c r="U60" t="s">
        <v>1</v>
      </c>
      <c r="V60" t="s">
        <v>1113</v>
      </c>
      <c r="W60" t="s">
        <v>1</v>
      </c>
      <c r="X60" t="s">
        <v>1114</v>
      </c>
      <c r="Y60">
        <v>2</v>
      </c>
      <c r="AA60" t="s">
        <v>1216</v>
      </c>
      <c r="AB60" t="s">
        <v>1115</v>
      </c>
      <c r="AC60" t="s">
        <v>1116</v>
      </c>
      <c r="AD60" t="s">
        <v>1023</v>
      </c>
    </row>
    <row r="61" spans="1:30" x14ac:dyDescent="0.15">
      <c r="A61">
        <v>180282</v>
      </c>
      <c r="B61" t="s">
        <v>1002</v>
      </c>
      <c r="C61" t="s">
        <v>1104</v>
      </c>
      <c r="D61" t="s">
        <v>1004</v>
      </c>
      <c r="E61" t="s">
        <v>1231</v>
      </c>
      <c r="F61" t="s">
        <v>1106</v>
      </c>
      <c r="G61" t="s">
        <v>1232</v>
      </c>
      <c r="H61" t="s">
        <v>1233</v>
      </c>
      <c r="I61" t="s">
        <v>1009</v>
      </c>
      <c r="K61" t="s">
        <v>144</v>
      </c>
      <c r="L61" t="s">
        <v>77</v>
      </c>
      <c r="N61" t="s">
        <v>1109</v>
      </c>
      <c r="O61">
        <v>0</v>
      </c>
      <c r="P61">
        <v>3</v>
      </c>
      <c r="Q61">
        <v>4</v>
      </c>
      <c r="R61" t="s">
        <v>1</v>
      </c>
      <c r="S61" t="s">
        <v>1234</v>
      </c>
      <c r="T61" t="s">
        <v>1112</v>
      </c>
      <c r="U61" t="s">
        <v>1</v>
      </c>
      <c r="V61" t="s">
        <v>1113</v>
      </c>
      <c r="W61" t="s">
        <v>1</v>
      </c>
      <c r="X61" t="s">
        <v>1114</v>
      </c>
      <c r="Y61">
        <v>2</v>
      </c>
      <c r="AA61" t="s">
        <v>1216</v>
      </c>
      <c r="AB61" t="s">
        <v>1115</v>
      </c>
      <c r="AC61" t="s">
        <v>1116</v>
      </c>
      <c r="AD61" t="s">
        <v>1023</v>
      </c>
    </row>
    <row r="62" spans="1:30" x14ac:dyDescent="0.15">
      <c r="A62">
        <v>180283</v>
      </c>
      <c r="B62" t="s">
        <v>1002</v>
      </c>
      <c r="C62" t="s">
        <v>1104</v>
      </c>
      <c r="D62" t="s">
        <v>1004</v>
      </c>
      <c r="E62" t="s">
        <v>1235</v>
      </c>
      <c r="F62" t="s">
        <v>1106</v>
      </c>
      <c r="G62" t="s">
        <v>1236</v>
      </c>
      <c r="H62" t="s">
        <v>1237</v>
      </c>
      <c r="I62" t="s">
        <v>1037</v>
      </c>
      <c r="K62" t="s">
        <v>144</v>
      </c>
      <c r="L62" t="s">
        <v>1238</v>
      </c>
      <c r="N62" t="s">
        <v>1109</v>
      </c>
      <c r="O62">
        <v>0</v>
      </c>
      <c r="P62">
        <v>0</v>
      </c>
      <c r="Q62">
        <v>5</v>
      </c>
      <c r="U62" t="s">
        <v>1</v>
      </c>
      <c r="V62" t="s">
        <v>1113</v>
      </c>
      <c r="W62" t="s">
        <v>1</v>
      </c>
      <c r="X62" t="s">
        <v>1114</v>
      </c>
      <c r="Y62">
        <v>2</v>
      </c>
      <c r="AA62" t="s">
        <v>1216</v>
      </c>
      <c r="AB62" t="s">
        <v>1115</v>
      </c>
      <c r="AC62" t="s">
        <v>1116</v>
      </c>
      <c r="AD62" t="s">
        <v>1023</v>
      </c>
    </row>
    <row r="63" spans="1:30" x14ac:dyDescent="0.15">
      <c r="A63">
        <v>180284</v>
      </c>
      <c r="B63" t="s">
        <v>1002</v>
      </c>
      <c r="C63" t="s">
        <v>1104</v>
      </c>
      <c r="D63" t="s">
        <v>1004</v>
      </c>
      <c r="E63" t="s">
        <v>1239</v>
      </c>
      <c r="F63" t="s">
        <v>1106</v>
      </c>
      <c r="G63" t="s">
        <v>1240</v>
      </c>
      <c r="H63" t="s">
        <v>1241</v>
      </c>
      <c r="I63" t="s">
        <v>1043</v>
      </c>
      <c r="K63" t="s">
        <v>142</v>
      </c>
      <c r="L63" t="s">
        <v>76</v>
      </c>
      <c r="N63" t="s">
        <v>1109</v>
      </c>
      <c r="O63">
        <v>0</v>
      </c>
      <c r="P63">
        <v>2</v>
      </c>
      <c r="Q63">
        <v>3</v>
      </c>
      <c r="R63" t="s">
        <v>1118</v>
      </c>
      <c r="S63" t="s">
        <v>1242</v>
      </c>
      <c r="T63" t="s">
        <v>1112</v>
      </c>
      <c r="U63" t="s">
        <v>1</v>
      </c>
      <c r="V63" t="s">
        <v>1243</v>
      </c>
      <c r="W63" t="s">
        <v>1</v>
      </c>
      <c r="X63" t="s">
        <v>1114</v>
      </c>
      <c r="Y63">
        <v>2</v>
      </c>
      <c r="AB63" t="s">
        <v>1115</v>
      </c>
      <c r="AC63" t="s">
        <v>1116</v>
      </c>
      <c r="AD63" t="s">
        <v>1023</v>
      </c>
    </row>
    <row r="64" spans="1:30" x14ac:dyDescent="0.15">
      <c r="A64">
        <v>207775</v>
      </c>
      <c r="B64" t="s">
        <v>1002</v>
      </c>
      <c r="C64" t="s">
        <v>1104</v>
      </c>
      <c r="D64" t="s">
        <v>1004</v>
      </c>
      <c r="E64" t="s">
        <v>1244</v>
      </c>
      <c r="F64" t="s">
        <v>1106</v>
      </c>
      <c r="G64" t="s">
        <v>1245</v>
      </c>
      <c r="H64" t="s">
        <v>1246</v>
      </c>
      <c r="I64" t="s">
        <v>1037</v>
      </c>
      <c r="K64" t="s">
        <v>1010</v>
      </c>
      <c r="L64" t="s">
        <v>76</v>
      </c>
      <c r="N64" t="s">
        <v>1109</v>
      </c>
      <c r="O64">
        <v>0</v>
      </c>
      <c r="P64">
        <v>5</v>
      </c>
      <c r="Q64">
        <v>5</v>
      </c>
      <c r="R64" t="s">
        <v>1166</v>
      </c>
      <c r="S64" t="s">
        <v>1247</v>
      </c>
      <c r="T64" t="s">
        <v>1112</v>
      </c>
      <c r="U64" t="s">
        <v>1</v>
      </c>
      <c r="V64" t="s">
        <v>1248</v>
      </c>
      <c r="W64" t="s">
        <v>1</v>
      </c>
      <c r="X64" t="s">
        <v>1114</v>
      </c>
      <c r="Y64">
        <v>2</v>
      </c>
      <c r="AB64" t="s">
        <v>1216</v>
      </c>
      <c r="AC64" t="s">
        <v>1116</v>
      </c>
      <c r="AD64" t="s">
        <v>1023</v>
      </c>
    </row>
    <row r="65" spans="1:30" x14ac:dyDescent="0.15">
      <c r="A65">
        <v>207776</v>
      </c>
      <c r="B65" t="s">
        <v>1002</v>
      </c>
      <c r="C65" t="s">
        <v>1104</v>
      </c>
      <c r="D65" t="s">
        <v>1004</v>
      </c>
      <c r="E65" t="s">
        <v>1249</v>
      </c>
      <c r="F65" t="s">
        <v>1106</v>
      </c>
      <c r="G65" t="s">
        <v>1250</v>
      </c>
      <c r="H65" t="s">
        <v>1251</v>
      </c>
      <c r="I65" t="s">
        <v>1037</v>
      </c>
      <c r="K65" t="s">
        <v>142</v>
      </c>
      <c r="L65" t="s">
        <v>76</v>
      </c>
      <c r="N65" t="s">
        <v>1109</v>
      </c>
      <c r="O65">
        <v>1</v>
      </c>
      <c r="P65">
        <v>2</v>
      </c>
      <c r="Q65">
        <v>5</v>
      </c>
      <c r="R65" t="s">
        <v>1</v>
      </c>
      <c r="S65" t="s">
        <v>1252</v>
      </c>
      <c r="T65" t="s">
        <v>1112</v>
      </c>
      <c r="U65" t="s">
        <v>1</v>
      </c>
      <c r="V65" t="s">
        <v>1248</v>
      </c>
      <c r="W65" t="s">
        <v>1</v>
      </c>
      <c r="X65" t="s">
        <v>1114</v>
      </c>
      <c r="Y65">
        <v>2</v>
      </c>
      <c r="AB65" t="s">
        <v>1216</v>
      </c>
      <c r="AC65" t="s">
        <v>1116</v>
      </c>
      <c r="AD65" t="s">
        <v>1023</v>
      </c>
    </row>
    <row r="66" spans="1:30" x14ac:dyDescent="0.15">
      <c r="A66">
        <v>207777</v>
      </c>
      <c r="B66" t="s">
        <v>1002</v>
      </c>
      <c r="C66" t="s">
        <v>1104</v>
      </c>
      <c r="D66" t="s">
        <v>1004</v>
      </c>
      <c r="E66" t="s">
        <v>1253</v>
      </c>
      <c r="F66" t="s">
        <v>1106</v>
      </c>
      <c r="G66" t="s">
        <v>1254</v>
      </c>
      <c r="H66" t="s">
        <v>1255</v>
      </c>
      <c r="I66" t="s">
        <v>1043</v>
      </c>
      <c r="K66" t="s">
        <v>142</v>
      </c>
      <c r="L66" t="s">
        <v>76</v>
      </c>
      <c r="N66" t="s">
        <v>1109</v>
      </c>
      <c r="O66">
        <v>0</v>
      </c>
      <c r="P66">
        <v>2</v>
      </c>
      <c r="Q66">
        <v>3</v>
      </c>
      <c r="R66" t="s">
        <v>1</v>
      </c>
      <c r="S66" t="s">
        <v>1256</v>
      </c>
      <c r="T66" t="s">
        <v>1112</v>
      </c>
      <c r="U66" t="s">
        <v>1</v>
      </c>
      <c r="V66" t="s">
        <v>1248</v>
      </c>
      <c r="W66" t="s">
        <v>1</v>
      </c>
      <c r="X66" t="s">
        <v>1114</v>
      </c>
      <c r="Y66">
        <v>1</v>
      </c>
      <c r="AB66" t="s">
        <v>1216</v>
      </c>
      <c r="AC66" t="s">
        <v>1116</v>
      </c>
      <c r="AD66" t="s">
        <v>1023</v>
      </c>
    </row>
    <row r="67" spans="1:30" x14ac:dyDescent="0.15">
      <c r="A67">
        <v>207778</v>
      </c>
      <c r="B67" t="s">
        <v>1002</v>
      </c>
      <c r="C67" t="s">
        <v>1104</v>
      </c>
      <c r="D67" t="s">
        <v>1004</v>
      </c>
      <c r="E67" t="s">
        <v>1257</v>
      </c>
      <c r="F67" t="s">
        <v>1106</v>
      </c>
      <c r="G67" t="s">
        <v>1258</v>
      </c>
      <c r="H67" t="s">
        <v>1259</v>
      </c>
      <c r="I67" t="s">
        <v>1043</v>
      </c>
      <c r="K67" t="s">
        <v>142</v>
      </c>
      <c r="L67" t="s">
        <v>76</v>
      </c>
      <c r="N67" t="s">
        <v>1109</v>
      </c>
      <c r="O67">
        <v>1</v>
      </c>
      <c r="P67">
        <v>3</v>
      </c>
      <c r="Q67">
        <v>3</v>
      </c>
      <c r="R67" t="s">
        <v>1166</v>
      </c>
      <c r="S67" t="s">
        <v>1260</v>
      </c>
      <c r="T67" t="s">
        <v>1112</v>
      </c>
      <c r="U67" t="s">
        <v>1</v>
      </c>
      <c r="V67" t="s">
        <v>1248</v>
      </c>
      <c r="W67" t="s">
        <v>1</v>
      </c>
      <c r="X67" t="s">
        <v>1114</v>
      </c>
      <c r="Y67">
        <v>2</v>
      </c>
      <c r="AA67" t="s">
        <v>1261</v>
      </c>
      <c r="AB67" t="s">
        <v>1216</v>
      </c>
      <c r="AC67" t="s">
        <v>1116</v>
      </c>
      <c r="AD67" t="s">
        <v>1023</v>
      </c>
    </row>
    <row r="68" spans="1:30" x14ac:dyDescent="0.15">
      <c r="A68">
        <v>207779</v>
      </c>
      <c r="B68" t="s">
        <v>1002</v>
      </c>
      <c r="C68" t="s">
        <v>1104</v>
      </c>
      <c r="D68" t="s">
        <v>1004</v>
      </c>
      <c r="E68" t="s">
        <v>1262</v>
      </c>
      <c r="F68" t="s">
        <v>1106</v>
      </c>
      <c r="G68" t="s">
        <v>1263</v>
      </c>
      <c r="H68" t="s">
        <v>1264</v>
      </c>
      <c r="I68" t="s">
        <v>1043</v>
      </c>
      <c r="K68" t="s">
        <v>142</v>
      </c>
      <c r="L68" t="s">
        <v>76</v>
      </c>
      <c r="N68" t="s">
        <v>1109</v>
      </c>
      <c r="O68">
        <v>0</v>
      </c>
      <c r="P68">
        <v>3</v>
      </c>
      <c r="Q68">
        <v>3</v>
      </c>
      <c r="R68" t="s">
        <v>1</v>
      </c>
      <c r="S68" t="s">
        <v>1265</v>
      </c>
      <c r="T68" t="s">
        <v>1120</v>
      </c>
      <c r="U68" t="s">
        <v>1</v>
      </c>
      <c r="V68" t="s">
        <v>1248</v>
      </c>
      <c r="W68" t="s">
        <v>1</v>
      </c>
      <c r="X68" t="s">
        <v>1114</v>
      </c>
      <c r="Y68">
        <v>2</v>
      </c>
      <c r="AB68" t="s">
        <v>1216</v>
      </c>
      <c r="AC68" t="s">
        <v>1116</v>
      </c>
      <c r="AD68" t="s">
        <v>1023</v>
      </c>
    </row>
    <row r="69" spans="1:30" x14ac:dyDescent="0.15">
      <c r="A69">
        <v>207780</v>
      </c>
      <c r="B69" t="s">
        <v>1002</v>
      </c>
      <c r="C69" t="s">
        <v>1104</v>
      </c>
      <c r="D69" t="s">
        <v>1004</v>
      </c>
      <c r="E69" t="s">
        <v>1266</v>
      </c>
      <c r="F69" t="s">
        <v>1106</v>
      </c>
      <c r="G69" t="s">
        <v>1267</v>
      </c>
      <c r="H69" t="s">
        <v>1268</v>
      </c>
      <c r="I69" t="s">
        <v>1043</v>
      </c>
      <c r="K69" t="s">
        <v>142</v>
      </c>
      <c r="L69" t="s">
        <v>76</v>
      </c>
      <c r="N69" t="s">
        <v>1109</v>
      </c>
      <c r="O69">
        <v>0</v>
      </c>
      <c r="P69">
        <v>3</v>
      </c>
      <c r="Q69">
        <v>3</v>
      </c>
      <c r="R69" t="s">
        <v>1166</v>
      </c>
      <c r="S69" t="s">
        <v>1269</v>
      </c>
      <c r="T69" t="s">
        <v>1112</v>
      </c>
      <c r="U69" t="s">
        <v>1</v>
      </c>
      <c r="V69" t="s">
        <v>1248</v>
      </c>
      <c r="W69" t="s">
        <v>1</v>
      </c>
      <c r="X69" t="s">
        <v>1114</v>
      </c>
      <c r="Y69">
        <v>1</v>
      </c>
      <c r="AB69" t="s">
        <v>1216</v>
      </c>
      <c r="AC69" t="s">
        <v>1116</v>
      </c>
      <c r="AD69" t="s">
        <v>1023</v>
      </c>
    </row>
    <row r="70" spans="1:30" x14ac:dyDescent="0.15">
      <c r="A70">
        <v>207781</v>
      </c>
      <c r="B70" t="s">
        <v>1002</v>
      </c>
      <c r="C70" t="s">
        <v>1104</v>
      </c>
      <c r="D70" t="s">
        <v>1004</v>
      </c>
      <c r="E70" t="s">
        <v>1270</v>
      </c>
      <c r="F70" t="s">
        <v>1106</v>
      </c>
      <c r="G70" t="s">
        <v>1271</v>
      </c>
      <c r="H70" t="s">
        <v>1272</v>
      </c>
      <c r="I70" t="s">
        <v>1043</v>
      </c>
      <c r="K70" t="s">
        <v>142</v>
      </c>
      <c r="L70" t="s">
        <v>76</v>
      </c>
      <c r="N70" t="s">
        <v>1109</v>
      </c>
      <c r="O70">
        <v>1</v>
      </c>
      <c r="P70">
        <v>3</v>
      </c>
      <c r="Q70">
        <v>3</v>
      </c>
      <c r="R70" t="s">
        <v>1166</v>
      </c>
      <c r="S70" t="s">
        <v>1273</v>
      </c>
      <c r="T70" t="s">
        <v>1112</v>
      </c>
      <c r="U70" t="s">
        <v>1</v>
      </c>
      <c r="V70" t="s">
        <v>1248</v>
      </c>
      <c r="W70" t="s">
        <v>1</v>
      </c>
      <c r="X70" t="s">
        <v>1114</v>
      </c>
      <c r="Y70">
        <v>1</v>
      </c>
      <c r="AB70" t="s">
        <v>1216</v>
      </c>
      <c r="AC70" t="s">
        <v>1116</v>
      </c>
      <c r="AD70" t="s">
        <v>1023</v>
      </c>
    </row>
    <row r="71" spans="1:30" x14ac:dyDescent="0.15">
      <c r="A71">
        <v>207782</v>
      </c>
      <c r="B71" t="s">
        <v>1002</v>
      </c>
      <c r="C71" t="s">
        <v>1104</v>
      </c>
      <c r="D71" t="s">
        <v>1004</v>
      </c>
      <c r="E71" t="s">
        <v>1274</v>
      </c>
      <c r="F71" t="s">
        <v>1106</v>
      </c>
      <c r="G71" t="s">
        <v>1275</v>
      </c>
      <c r="H71" t="s">
        <v>1276</v>
      </c>
      <c r="I71" t="s">
        <v>1009</v>
      </c>
      <c r="K71" t="s">
        <v>142</v>
      </c>
      <c r="L71" t="s">
        <v>76</v>
      </c>
      <c r="N71" t="s">
        <v>1109</v>
      </c>
      <c r="O71">
        <v>2</v>
      </c>
      <c r="P71">
        <v>3</v>
      </c>
      <c r="Q71">
        <v>4</v>
      </c>
      <c r="R71" t="s">
        <v>1166</v>
      </c>
      <c r="S71" t="s">
        <v>1277</v>
      </c>
      <c r="T71" t="s">
        <v>1112</v>
      </c>
      <c r="U71" t="s">
        <v>1</v>
      </c>
      <c r="V71" t="s">
        <v>1248</v>
      </c>
      <c r="W71" t="s">
        <v>1</v>
      </c>
      <c r="X71" t="s">
        <v>1114</v>
      </c>
      <c r="Y71">
        <v>2</v>
      </c>
      <c r="AB71" t="s">
        <v>1216</v>
      </c>
      <c r="AC71" t="s">
        <v>1116</v>
      </c>
      <c r="AD71" t="s">
        <v>1023</v>
      </c>
    </row>
    <row r="72" spans="1:30" x14ac:dyDescent="0.15">
      <c r="A72">
        <v>207783</v>
      </c>
      <c r="B72" t="s">
        <v>1002</v>
      </c>
      <c r="C72" t="s">
        <v>1104</v>
      </c>
      <c r="D72" t="s">
        <v>1004</v>
      </c>
      <c r="E72" t="s">
        <v>1278</v>
      </c>
      <c r="F72" t="s">
        <v>1106</v>
      </c>
      <c r="G72" t="s">
        <v>1279</v>
      </c>
      <c r="H72" t="s">
        <v>1280</v>
      </c>
      <c r="I72" t="s">
        <v>1009</v>
      </c>
      <c r="K72" t="s">
        <v>142</v>
      </c>
      <c r="L72" t="s">
        <v>76</v>
      </c>
      <c r="N72" t="s">
        <v>1109</v>
      </c>
      <c r="O72">
        <v>1</v>
      </c>
      <c r="P72">
        <v>3</v>
      </c>
      <c r="Q72">
        <v>4</v>
      </c>
      <c r="R72" t="s">
        <v>1166</v>
      </c>
      <c r="S72" t="s">
        <v>1281</v>
      </c>
      <c r="T72" t="s">
        <v>1112</v>
      </c>
      <c r="U72" t="s">
        <v>1</v>
      </c>
      <c r="V72" t="s">
        <v>1248</v>
      </c>
      <c r="W72" t="s">
        <v>1</v>
      </c>
      <c r="X72" t="s">
        <v>1114</v>
      </c>
      <c r="Y72">
        <v>3</v>
      </c>
      <c r="AB72" t="s">
        <v>1216</v>
      </c>
      <c r="AC72" t="s">
        <v>1116</v>
      </c>
      <c r="AD72" t="s">
        <v>1023</v>
      </c>
    </row>
    <row r="73" spans="1:30" x14ac:dyDescent="0.15">
      <c r="A73">
        <v>207784</v>
      </c>
      <c r="B73" t="s">
        <v>1002</v>
      </c>
      <c r="C73" t="s">
        <v>1104</v>
      </c>
      <c r="D73" t="s">
        <v>1004</v>
      </c>
      <c r="E73" t="s">
        <v>1282</v>
      </c>
      <c r="F73" t="s">
        <v>1106</v>
      </c>
      <c r="G73" t="s">
        <v>1283</v>
      </c>
      <c r="H73" t="s">
        <v>1284</v>
      </c>
      <c r="I73" t="s">
        <v>1009</v>
      </c>
      <c r="K73" t="s">
        <v>142</v>
      </c>
      <c r="L73" t="s">
        <v>76</v>
      </c>
      <c r="N73" t="s">
        <v>1109</v>
      </c>
      <c r="O73">
        <v>0</v>
      </c>
      <c r="P73">
        <v>3</v>
      </c>
      <c r="Q73">
        <v>4</v>
      </c>
      <c r="R73" t="s">
        <v>1166</v>
      </c>
      <c r="S73" t="s">
        <v>1285</v>
      </c>
      <c r="T73" t="s">
        <v>1112</v>
      </c>
      <c r="U73" t="s">
        <v>1</v>
      </c>
      <c r="V73" t="s">
        <v>1248</v>
      </c>
      <c r="W73" t="s">
        <v>1</v>
      </c>
      <c r="X73" t="s">
        <v>1114</v>
      </c>
      <c r="Y73">
        <v>4</v>
      </c>
      <c r="AB73" t="s">
        <v>1216</v>
      </c>
      <c r="AC73" t="s">
        <v>1116</v>
      </c>
      <c r="AD73" t="s">
        <v>1023</v>
      </c>
    </row>
    <row r="74" spans="1:30" x14ac:dyDescent="0.15">
      <c r="A74">
        <v>207785</v>
      </c>
      <c r="B74" t="s">
        <v>1002</v>
      </c>
      <c r="C74" t="s">
        <v>1104</v>
      </c>
      <c r="D74" t="s">
        <v>1004</v>
      </c>
      <c r="E74" t="s">
        <v>1286</v>
      </c>
      <c r="F74" t="s">
        <v>1106</v>
      </c>
      <c r="G74" t="s">
        <v>1287</v>
      </c>
      <c r="H74" t="s">
        <v>1288</v>
      </c>
      <c r="I74" t="s">
        <v>1049</v>
      </c>
      <c r="K74" t="s">
        <v>142</v>
      </c>
      <c r="L74" t="s">
        <v>76</v>
      </c>
      <c r="N74" t="s">
        <v>1109</v>
      </c>
      <c r="O74">
        <v>0</v>
      </c>
      <c r="P74">
        <v>1</v>
      </c>
      <c r="Q74">
        <v>7</v>
      </c>
      <c r="R74" t="s">
        <v>1</v>
      </c>
      <c r="S74" t="s">
        <v>1289</v>
      </c>
      <c r="T74" t="s">
        <v>1112</v>
      </c>
      <c r="U74" t="s">
        <v>1</v>
      </c>
      <c r="V74" t="s">
        <v>1248</v>
      </c>
      <c r="W74" t="s">
        <v>1</v>
      </c>
      <c r="X74" t="s">
        <v>1114</v>
      </c>
      <c r="Y74">
        <v>3</v>
      </c>
      <c r="AB74" t="s">
        <v>1216</v>
      </c>
      <c r="AC74" t="s">
        <v>1116</v>
      </c>
      <c r="AD74" t="s">
        <v>1023</v>
      </c>
    </row>
    <row r="75" spans="1:30" x14ac:dyDescent="0.15">
      <c r="A75">
        <v>207786</v>
      </c>
      <c r="B75" t="s">
        <v>1002</v>
      </c>
      <c r="C75" t="s">
        <v>1104</v>
      </c>
      <c r="D75" t="s">
        <v>1004</v>
      </c>
      <c r="E75" t="s">
        <v>1290</v>
      </c>
      <c r="F75" t="s">
        <v>1106</v>
      </c>
      <c r="G75" t="s">
        <v>1291</v>
      </c>
      <c r="H75" t="s">
        <v>1292</v>
      </c>
      <c r="I75" t="s">
        <v>1293</v>
      </c>
      <c r="K75" t="s">
        <v>142</v>
      </c>
      <c r="L75" t="s">
        <v>76</v>
      </c>
      <c r="N75" t="s">
        <v>1109</v>
      </c>
      <c r="O75">
        <v>0</v>
      </c>
      <c r="P75">
        <v>2</v>
      </c>
      <c r="Q75">
        <v>6</v>
      </c>
      <c r="R75" t="s">
        <v>1</v>
      </c>
      <c r="S75" t="s">
        <v>1294</v>
      </c>
      <c r="T75" t="s">
        <v>1112</v>
      </c>
      <c r="U75" t="s">
        <v>1</v>
      </c>
      <c r="V75" t="s">
        <v>1248</v>
      </c>
      <c r="W75" t="s">
        <v>1</v>
      </c>
      <c r="X75" t="s">
        <v>1114</v>
      </c>
      <c r="Y75">
        <v>3</v>
      </c>
      <c r="AB75" t="s">
        <v>1216</v>
      </c>
      <c r="AC75" t="s">
        <v>1116</v>
      </c>
      <c r="AD75" t="s">
        <v>1023</v>
      </c>
    </row>
    <row r="76" spans="1:30" x14ac:dyDescent="0.15">
      <c r="A76">
        <v>207787</v>
      </c>
      <c r="B76" t="s">
        <v>1002</v>
      </c>
      <c r="C76" t="s">
        <v>1104</v>
      </c>
      <c r="D76" t="s">
        <v>1004</v>
      </c>
      <c r="E76" t="s">
        <v>1295</v>
      </c>
      <c r="F76" t="s">
        <v>1106</v>
      </c>
      <c r="G76" t="s">
        <v>1296</v>
      </c>
      <c r="H76" t="s">
        <v>1214</v>
      </c>
      <c r="I76" t="s">
        <v>1037</v>
      </c>
      <c r="K76" t="s">
        <v>144</v>
      </c>
      <c r="L76" t="s">
        <v>77</v>
      </c>
      <c r="N76" t="s">
        <v>1109</v>
      </c>
      <c r="O76">
        <v>0</v>
      </c>
      <c r="P76">
        <v>2</v>
      </c>
      <c r="Q76">
        <v>5</v>
      </c>
      <c r="R76" t="s">
        <v>1297</v>
      </c>
      <c r="S76" t="s">
        <v>1298</v>
      </c>
      <c r="T76" t="s">
        <v>1112</v>
      </c>
      <c r="U76" t="s">
        <v>1</v>
      </c>
      <c r="V76" t="s">
        <v>1248</v>
      </c>
      <c r="W76" t="s">
        <v>1</v>
      </c>
      <c r="X76" t="s">
        <v>1114</v>
      </c>
      <c r="Y76">
        <v>1</v>
      </c>
      <c r="AB76" t="s">
        <v>1216</v>
      </c>
      <c r="AC76" t="s">
        <v>1116</v>
      </c>
      <c r="AD76" t="s">
        <v>1023</v>
      </c>
    </row>
    <row r="77" spans="1:30" x14ac:dyDescent="0.15">
      <c r="A77">
        <v>207788</v>
      </c>
      <c r="B77" t="s">
        <v>1002</v>
      </c>
      <c r="C77" t="s">
        <v>1104</v>
      </c>
      <c r="D77" t="s">
        <v>1004</v>
      </c>
      <c r="E77" t="s">
        <v>1299</v>
      </c>
      <c r="F77" t="s">
        <v>1106</v>
      </c>
      <c r="G77" t="s">
        <v>1300</v>
      </c>
      <c r="H77" t="s">
        <v>1214</v>
      </c>
      <c r="I77" t="s">
        <v>1037</v>
      </c>
      <c r="K77" t="s">
        <v>144</v>
      </c>
      <c r="L77" t="s">
        <v>77</v>
      </c>
      <c r="N77" t="s">
        <v>1109</v>
      </c>
      <c r="O77">
        <v>0</v>
      </c>
      <c r="P77">
        <v>1</v>
      </c>
      <c r="Q77">
        <v>5</v>
      </c>
      <c r="R77" t="s">
        <v>1</v>
      </c>
      <c r="S77" t="s">
        <v>1301</v>
      </c>
      <c r="T77" t="s">
        <v>1143</v>
      </c>
      <c r="U77" t="s">
        <v>1</v>
      </c>
      <c r="V77" t="s">
        <v>1248</v>
      </c>
      <c r="W77" t="s">
        <v>1</v>
      </c>
      <c r="X77" t="s">
        <v>1114</v>
      </c>
      <c r="Y77">
        <v>1</v>
      </c>
      <c r="AB77" t="s">
        <v>1216</v>
      </c>
      <c r="AC77" t="s">
        <v>1116</v>
      </c>
      <c r="AD77" t="s">
        <v>1023</v>
      </c>
    </row>
    <row r="78" spans="1:30" x14ac:dyDescent="0.15">
      <c r="A78">
        <v>207789</v>
      </c>
      <c r="B78" t="s">
        <v>1002</v>
      </c>
      <c r="C78" t="s">
        <v>1104</v>
      </c>
      <c r="D78" t="s">
        <v>1004</v>
      </c>
      <c r="E78" t="s">
        <v>1302</v>
      </c>
      <c r="F78" t="s">
        <v>1106</v>
      </c>
      <c r="G78" t="s">
        <v>1303</v>
      </c>
      <c r="H78" t="s">
        <v>1214</v>
      </c>
      <c r="I78" t="s">
        <v>1037</v>
      </c>
      <c r="K78" t="s">
        <v>144</v>
      </c>
      <c r="L78" t="s">
        <v>77</v>
      </c>
      <c r="N78" t="s">
        <v>1109</v>
      </c>
      <c r="O78">
        <v>1</v>
      </c>
      <c r="P78">
        <v>2</v>
      </c>
      <c r="Q78">
        <v>5</v>
      </c>
      <c r="R78" t="s">
        <v>1</v>
      </c>
      <c r="S78" t="s">
        <v>1304</v>
      </c>
      <c r="T78" t="s">
        <v>1143</v>
      </c>
      <c r="U78" t="s">
        <v>1</v>
      </c>
      <c r="V78" t="s">
        <v>1248</v>
      </c>
      <c r="W78" t="s">
        <v>1</v>
      </c>
      <c r="X78" t="s">
        <v>1114</v>
      </c>
      <c r="Y78">
        <v>1</v>
      </c>
      <c r="AB78" t="s">
        <v>1216</v>
      </c>
      <c r="AC78" t="s">
        <v>1116</v>
      </c>
      <c r="AD78" t="s">
        <v>1023</v>
      </c>
    </row>
    <row r="79" spans="1:30" x14ac:dyDescent="0.15">
      <c r="A79">
        <v>249397</v>
      </c>
      <c r="B79" t="s">
        <v>1002</v>
      </c>
      <c r="C79" t="s">
        <v>1305</v>
      </c>
      <c r="D79" t="s">
        <v>1004</v>
      </c>
      <c r="E79" t="s">
        <v>1306</v>
      </c>
      <c r="F79" t="s">
        <v>1307</v>
      </c>
      <c r="G79" t="s">
        <v>1308</v>
      </c>
      <c r="H79" t="s">
        <v>1309</v>
      </c>
      <c r="I79" t="s">
        <v>1293</v>
      </c>
      <c r="K79" t="s">
        <v>144</v>
      </c>
      <c r="L79" t="s">
        <v>76</v>
      </c>
      <c r="N79" t="s">
        <v>1109</v>
      </c>
      <c r="O79">
        <v>0</v>
      </c>
      <c r="P79">
        <v>2</v>
      </c>
      <c r="Q79">
        <v>6</v>
      </c>
      <c r="R79" t="s">
        <v>1310</v>
      </c>
      <c r="S79" t="s">
        <v>1311</v>
      </c>
      <c r="T79" t="s">
        <v>1112</v>
      </c>
      <c r="U79" t="s">
        <v>1</v>
      </c>
      <c r="V79" t="s">
        <v>1312</v>
      </c>
      <c r="W79" t="s">
        <v>1310</v>
      </c>
      <c r="X79" t="s">
        <v>1313</v>
      </c>
      <c r="Y79">
        <v>1</v>
      </c>
      <c r="AB79" t="s">
        <v>1013</v>
      </c>
      <c r="AD79" t="s">
        <v>964</v>
      </c>
    </row>
    <row r="80" spans="1:30" x14ac:dyDescent="0.15">
      <c r="A80">
        <v>249398</v>
      </c>
      <c r="B80" t="s">
        <v>1002</v>
      </c>
      <c r="C80" t="s">
        <v>1305</v>
      </c>
      <c r="D80" t="s">
        <v>1004</v>
      </c>
      <c r="E80" t="s">
        <v>1314</v>
      </c>
      <c r="F80" t="s">
        <v>1315</v>
      </c>
      <c r="G80" t="s">
        <v>1316</v>
      </c>
      <c r="H80" t="s">
        <v>1317</v>
      </c>
      <c r="I80" t="s">
        <v>1043</v>
      </c>
      <c r="K80" t="s">
        <v>144</v>
      </c>
      <c r="L80" t="s">
        <v>76</v>
      </c>
      <c r="N80" t="s">
        <v>1109</v>
      </c>
      <c r="O80">
        <v>2</v>
      </c>
      <c r="P80">
        <v>2</v>
      </c>
      <c r="Q80">
        <v>3</v>
      </c>
      <c r="R80" t="s">
        <v>1310</v>
      </c>
      <c r="S80" t="s">
        <v>1318</v>
      </c>
      <c r="T80" t="s">
        <v>1112</v>
      </c>
      <c r="U80" t="s">
        <v>1</v>
      </c>
      <c r="V80" t="s">
        <v>1312</v>
      </c>
      <c r="W80" t="s">
        <v>1310</v>
      </c>
      <c r="X80" t="s">
        <v>1313</v>
      </c>
      <c r="Y80">
        <v>1</v>
      </c>
      <c r="AB80" t="s">
        <v>1013</v>
      </c>
      <c r="AD80" t="s">
        <v>964</v>
      </c>
    </row>
    <row r="81" spans="1:33" x14ac:dyDescent="0.15">
      <c r="A81">
        <v>249399</v>
      </c>
      <c r="B81" t="s">
        <v>1002</v>
      </c>
      <c r="C81" t="s">
        <v>1305</v>
      </c>
      <c r="D81" t="s">
        <v>1004</v>
      </c>
      <c r="E81" t="s">
        <v>1319</v>
      </c>
      <c r="F81" t="s">
        <v>1320</v>
      </c>
      <c r="G81" t="s">
        <v>1321</v>
      </c>
      <c r="H81" t="s">
        <v>1322</v>
      </c>
      <c r="I81" t="s">
        <v>1037</v>
      </c>
      <c r="K81" t="s">
        <v>144</v>
      </c>
      <c r="L81" t="s">
        <v>76</v>
      </c>
      <c r="N81" t="s">
        <v>1109</v>
      </c>
      <c r="O81">
        <v>0</v>
      </c>
      <c r="P81">
        <v>2</v>
      </c>
      <c r="Q81">
        <v>5</v>
      </c>
      <c r="R81" t="s">
        <v>1310</v>
      </c>
      <c r="S81" t="s">
        <v>1323</v>
      </c>
      <c r="T81" t="s">
        <v>1112</v>
      </c>
      <c r="U81" t="s">
        <v>1</v>
      </c>
      <c r="V81" t="s">
        <v>1312</v>
      </c>
      <c r="W81" t="s">
        <v>1310</v>
      </c>
      <c r="X81" t="s">
        <v>1324</v>
      </c>
      <c r="Y81">
        <v>2</v>
      </c>
      <c r="AB81" t="s">
        <v>1013</v>
      </c>
      <c r="AD81" t="s">
        <v>964</v>
      </c>
    </row>
    <row r="82" spans="1:33" x14ac:dyDescent="0.15">
      <c r="A82">
        <v>249400</v>
      </c>
      <c r="B82" t="s">
        <v>1002</v>
      </c>
      <c r="C82" t="s">
        <v>1305</v>
      </c>
      <c r="D82" t="s">
        <v>1004</v>
      </c>
      <c r="E82" t="s">
        <v>1325</v>
      </c>
      <c r="F82" t="s">
        <v>1320</v>
      </c>
      <c r="G82" t="s">
        <v>1326</v>
      </c>
      <c r="H82" t="s">
        <v>1327</v>
      </c>
      <c r="I82" t="s">
        <v>1037</v>
      </c>
      <c r="K82" t="s">
        <v>144</v>
      </c>
      <c r="L82" t="s">
        <v>76</v>
      </c>
      <c r="N82" t="s">
        <v>1109</v>
      </c>
      <c r="O82">
        <v>0</v>
      </c>
      <c r="P82">
        <v>2</v>
      </c>
      <c r="Q82">
        <v>5</v>
      </c>
      <c r="R82" t="s">
        <v>1310</v>
      </c>
      <c r="S82" t="s">
        <v>1328</v>
      </c>
      <c r="T82" t="s">
        <v>1112</v>
      </c>
      <c r="U82" t="s">
        <v>1</v>
      </c>
      <c r="V82" t="s">
        <v>1312</v>
      </c>
      <c r="W82" t="s">
        <v>1310</v>
      </c>
      <c r="X82" t="s">
        <v>1329</v>
      </c>
      <c r="Y82">
        <v>2</v>
      </c>
      <c r="AB82" t="s">
        <v>1013</v>
      </c>
      <c r="AD82" t="s">
        <v>964</v>
      </c>
    </row>
    <row r="83" spans="1:33" x14ac:dyDescent="0.15">
      <c r="A83">
        <v>249401</v>
      </c>
      <c r="B83" t="s">
        <v>1002</v>
      </c>
      <c r="C83" t="s">
        <v>1305</v>
      </c>
      <c r="D83" t="s">
        <v>1004</v>
      </c>
      <c r="E83" t="s">
        <v>1330</v>
      </c>
      <c r="F83" t="s">
        <v>1320</v>
      </c>
      <c r="G83" t="s">
        <v>1331</v>
      </c>
      <c r="H83" t="s">
        <v>1332</v>
      </c>
      <c r="I83" t="s">
        <v>1037</v>
      </c>
      <c r="K83" t="s">
        <v>144</v>
      </c>
      <c r="L83" t="s">
        <v>76</v>
      </c>
      <c r="N83" t="s">
        <v>1109</v>
      </c>
      <c r="O83">
        <v>0</v>
      </c>
      <c r="P83">
        <v>2</v>
      </c>
      <c r="Q83">
        <v>5</v>
      </c>
      <c r="R83" t="s">
        <v>1310</v>
      </c>
      <c r="S83" t="s">
        <v>1333</v>
      </c>
      <c r="T83" t="s">
        <v>1112</v>
      </c>
      <c r="U83" t="s">
        <v>1</v>
      </c>
      <c r="V83" t="s">
        <v>1312</v>
      </c>
      <c r="W83" t="s">
        <v>1310</v>
      </c>
      <c r="X83" t="s">
        <v>1313</v>
      </c>
      <c r="Y83">
        <v>1</v>
      </c>
      <c r="AB83" t="s">
        <v>1013</v>
      </c>
      <c r="AD83" t="s">
        <v>964</v>
      </c>
    </row>
    <row r="84" spans="1:33" x14ac:dyDescent="0.15">
      <c r="A84">
        <v>249402</v>
      </c>
      <c r="B84" t="s">
        <v>1002</v>
      </c>
      <c r="C84" t="s">
        <v>1305</v>
      </c>
      <c r="D84" t="s">
        <v>1004</v>
      </c>
      <c r="E84" t="s">
        <v>1334</v>
      </c>
      <c r="F84" t="s">
        <v>1320</v>
      </c>
      <c r="G84" t="s">
        <v>1335</v>
      </c>
      <c r="H84" t="s">
        <v>1336</v>
      </c>
      <c r="I84" t="s">
        <v>1037</v>
      </c>
      <c r="K84" t="s">
        <v>144</v>
      </c>
      <c r="L84" t="s">
        <v>76</v>
      </c>
      <c r="N84" t="s">
        <v>1109</v>
      </c>
      <c r="O84">
        <v>0</v>
      </c>
      <c r="P84">
        <v>2</v>
      </c>
      <c r="Q84">
        <v>5</v>
      </c>
      <c r="R84" t="s">
        <v>1310</v>
      </c>
      <c r="S84" t="s">
        <v>1337</v>
      </c>
      <c r="T84" t="s">
        <v>1112</v>
      </c>
      <c r="U84" t="s">
        <v>1</v>
      </c>
      <c r="V84" t="s">
        <v>1312</v>
      </c>
      <c r="W84" t="s">
        <v>1310</v>
      </c>
      <c r="X84" t="s">
        <v>1313</v>
      </c>
      <c r="Y84">
        <v>1</v>
      </c>
      <c r="AB84" t="s">
        <v>1013</v>
      </c>
      <c r="AD84" t="s">
        <v>964</v>
      </c>
    </row>
    <row r="85" spans="1:33" x14ac:dyDescent="0.15">
      <c r="A85">
        <v>249468</v>
      </c>
      <c r="B85" t="s">
        <v>1002</v>
      </c>
      <c r="C85" t="s">
        <v>1305</v>
      </c>
      <c r="D85" t="s">
        <v>1004</v>
      </c>
      <c r="E85" t="s">
        <v>1338</v>
      </c>
      <c r="F85" t="s">
        <v>1320</v>
      </c>
      <c r="G85" t="s">
        <v>1339</v>
      </c>
      <c r="H85" t="s">
        <v>1340</v>
      </c>
      <c r="I85" t="s">
        <v>1009</v>
      </c>
      <c r="K85" t="s">
        <v>144</v>
      </c>
      <c r="L85" t="s">
        <v>77</v>
      </c>
      <c r="N85" t="s">
        <v>1109</v>
      </c>
      <c r="O85">
        <v>0</v>
      </c>
      <c r="P85">
        <v>2</v>
      </c>
      <c r="Q85">
        <v>4</v>
      </c>
      <c r="R85" t="s">
        <v>1310</v>
      </c>
      <c r="S85" t="s">
        <v>1341</v>
      </c>
      <c r="T85" t="s">
        <v>1112</v>
      </c>
      <c r="U85" t="s">
        <v>1</v>
      </c>
      <c r="V85" t="s">
        <v>1342</v>
      </c>
      <c r="W85" t="s">
        <v>1310</v>
      </c>
      <c r="X85" t="s">
        <v>1313</v>
      </c>
      <c r="Y85">
        <v>1</v>
      </c>
      <c r="AB85" t="s">
        <v>1013</v>
      </c>
      <c r="AD85" t="s">
        <v>1023</v>
      </c>
    </row>
    <row r="86" spans="1:33" x14ac:dyDescent="0.15">
      <c r="A86">
        <v>249469</v>
      </c>
      <c r="B86" t="s">
        <v>1002</v>
      </c>
      <c r="C86" t="s">
        <v>1305</v>
      </c>
      <c r="D86" t="s">
        <v>1004</v>
      </c>
      <c r="E86" t="s">
        <v>1343</v>
      </c>
      <c r="F86" t="s">
        <v>1320</v>
      </c>
      <c r="G86" t="s">
        <v>1344</v>
      </c>
      <c r="H86" t="s">
        <v>1345</v>
      </c>
      <c r="I86" t="s">
        <v>1009</v>
      </c>
      <c r="K86" t="s">
        <v>144</v>
      </c>
      <c r="L86" t="s">
        <v>77</v>
      </c>
      <c r="N86" t="s">
        <v>1109</v>
      </c>
      <c r="O86">
        <v>0</v>
      </c>
      <c r="P86">
        <v>2</v>
      </c>
      <c r="Q86">
        <v>4</v>
      </c>
      <c r="R86" t="s">
        <v>1310</v>
      </c>
      <c r="S86" t="s">
        <v>1346</v>
      </c>
      <c r="T86" t="s">
        <v>1112</v>
      </c>
      <c r="U86" t="s">
        <v>1</v>
      </c>
      <c r="V86" t="s">
        <v>1342</v>
      </c>
      <c r="W86" t="s">
        <v>1310</v>
      </c>
      <c r="X86" t="s">
        <v>1313</v>
      </c>
      <c r="Y86">
        <v>1</v>
      </c>
      <c r="AB86" t="s">
        <v>1013</v>
      </c>
      <c r="AD86" t="s">
        <v>1023</v>
      </c>
    </row>
    <row r="87" spans="1:33" x14ac:dyDescent="0.15">
      <c r="A87">
        <v>249470</v>
      </c>
      <c r="B87" t="s">
        <v>1002</v>
      </c>
      <c r="C87" t="s">
        <v>1305</v>
      </c>
      <c r="D87" t="s">
        <v>1004</v>
      </c>
      <c r="E87" t="s">
        <v>1347</v>
      </c>
      <c r="F87" t="s">
        <v>1320</v>
      </c>
      <c r="G87" t="s">
        <v>1348</v>
      </c>
      <c r="H87" t="s">
        <v>1349</v>
      </c>
      <c r="I87" t="s">
        <v>1009</v>
      </c>
      <c r="K87" t="s">
        <v>144</v>
      </c>
      <c r="L87" t="s">
        <v>77</v>
      </c>
      <c r="N87" t="s">
        <v>1109</v>
      </c>
      <c r="O87">
        <v>0</v>
      </c>
      <c r="P87">
        <v>2</v>
      </c>
      <c r="Q87">
        <v>4</v>
      </c>
      <c r="R87" t="s">
        <v>1310</v>
      </c>
      <c r="S87" t="s">
        <v>1350</v>
      </c>
      <c r="T87" t="s">
        <v>1112</v>
      </c>
      <c r="U87" t="s">
        <v>1</v>
      </c>
      <c r="V87" t="s">
        <v>1342</v>
      </c>
      <c r="W87" t="s">
        <v>1310</v>
      </c>
      <c r="X87" t="s">
        <v>1313</v>
      </c>
      <c r="Y87">
        <v>1</v>
      </c>
      <c r="AB87" t="s">
        <v>1013</v>
      </c>
      <c r="AD87" t="s">
        <v>1023</v>
      </c>
    </row>
    <row r="88" spans="1:33" x14ac:dyDescent="0.15">
      <c r="A88">
        <v>249471</v>
      </c>
      <c r="B88" t="s">
        <v>1002</v>
      </c>
      <c r="C88" t="s">
        <v>1305</v>
      </c>
      <c r="D88" t="s">
        <v>1004</v>
      </c>
      <c r="E88" t="s">
        <v>1351</v>
      </c>
      <c r="F88" t="s">
        <v>1320</v>
      </c>
      <c r="G88" t="s">
        <v>1352</v>
      </c>
      <c r="H88" t="s">
        <v>1353</v>
      </c>
      <c r="I88" t="s">
        <v>1009</v>
      </c>
      <c r="K88" t="s">
        <v>144</v>
      </c>
      <c r="L88" t="s">
        <v>77</v>
      </c>
      <c r="N88" t="s">
        <v>1109</v>
      </c>
      <c r="O88">
        <v>0</v>
      </c>
      <c r="P88">
        <v>1</v>
      </c>
      <c r="Q88">
        <v>4</v>
      </c>
      <c r="R88" t="s">
        <v>1310</v>
      </c>
      <c r="S88" t="s">
        <v>1354</v>
      </c>
      <c r="T88" t="s">
        <v>1112</v>
      </c>
      <c r="U88" t="s">
        <v>1</v>
      </c>
      <c r="V88" t="s">
        <v>1342</v>
      </c>
      <c r="W88" t="s">
        <v>1310</v>
      </c>
      <c r="X88" t="s">
        <v>1355</v>
      </c>
      <c r="Y88">
        <v>3</v>
      </c>
      <c r="AB88" t="s">
        <v>1013</v>
      </c>
      <c r="AD88" t="s">
        <v>1023</v>
      </c>
    </row>
    <row r="89" spans="1:33" x14ac:dyDescent="0.15">
      <c r="A89">
        <v>249472</v>
      </c>
      <c r="B89" t="s">
        <v>1002</v>
      </c>
      <c r="C89" t="s">
        <v>1305</v>
      </c>
      <c r="D89" t="s">
        <v>1004</v>
      </c>
      <c r="E89" t="s">
        <v>1356</v>
      </c>
      <c r="F89" t="s">
        <v>1320</v>
      </c>
      <c r="G89" t="s">
        <v>1357</v>
      </c>
      <c r="H89" t="s">
        <v>1358</v>
      </c>
      <c r="I89" t="s">
        <v>1009</v>
      </c>
      <c r="K89" t="s">
        <v>144</v>
      </c>
      <c r="L89" t="s">
        <v>77</v>
      </c>
      <c r="N89" t="s">
        <v>1109</v>
      </c>
      <c r="O89">
        <v>0</v>
      </c>
      <c r="P89">
        <v>2</v>
      </c>
      <c r="Q89">
        <v>4</v>
      </c>
      <c r="R89" t="s">
        <v>1310</v>
      </c>
      <c r="S89" t="s">
        <v>1359</v>
      </c>
      <c r="T89" t="s">
        <v>1112</v>
      </c>
      <c r="U89" t="s">
        <v>1</v>
      </c>
      <c r="V89" t="s">
        <v>1342</v>
      </c>
      <c r="W89" t="s">
        <v>1310</v>
      </c>
      <c r="X89" t="s">
        <v>1313</v>
      </c>
      <c r="Y89">
        <v>1</v>
      </c>
      <c r="AB89" t="s">
        <v>1013</v>
      </c>
      <c r="AD89" t="s">
        <v>1023</v>
      </c>
    </row>
    <row r="90" spans="1:33" x14ac:dyDescent="0.15">
      <c r="A90">
        <v>249473</v>
      </c>
      <c r="B90" t="s">
        <v>1002</v>
      </c>
      <c r="C90" t="s">
        <v>1305</v>
      </c>
      <c r="D90" t="s">
        <v>1004</v>
      </c>
      <c r="E90" t="s">
        <v>1360</v>
      </c>
      <c r="F90" t="s">
        <v>1320</v>
      </c>
      <c r="G90" t="s">
        <v>1361</v>
      </c>
      <c r="H90" t="s">
        <v>1362</v>
      </c>
      <c r="I90" t="s">
        <v>1009</v>
      </c>
      <c r="K90" t="s">
        <v>144</v>
      </c>
      <c r="L90" t="s">
        <v>77</v>
      </c>
      <c r="N90" t="s">
        <v>1109</v>
      </c>
      <c r="O90">
        <v>0</v>
      </c>
      <c r="P90">
        <v>2</v>
      </c>
      <c r="Q90">
        <v>4</v>
      </c>
      <c r="R90" t="s">
        <v>1310</v>
      </c>
      <c r="S90" t="s">
        <v>1363</v>
      </c>
      <c r="T90" t="s">
        <v>1112</v>
      </c>
      <c r="U90" t="s">
        <v>1</v>
      </c>
      <c r="V90" t="s">
        <v>1342</v>
      </c>
      <c r="W90" t="s">
        <v>1310</v>
      </c>
      <c r="X90" t="s">
        <v>1313</v>
      </c>
      <c r="Y90">
        <v>1</v>
      </c>
      <c r="AB90" t="s">
        <v>1013</v>
      </c>
      <c r="AD90" t="s">
        <v>1023</v>
      </c>
    </row>
    <row r="91" spans="1:33" x14ac:dyDescent="0.15">
      <c r="A91">
        <v>249474</v>
      </c>
      <c r="B91" t="s">
        <v>1002</v>
      </c>
      <c r="C91" t="s">
        <v>1305</v>
      </c>
      <c r="D91" t="s">
        <v>1004</v>
      </c>
      <c r="E91" t="s">
        <v>1364</v>
      </c>
      <c r="F91" t="s">
        <v>1320</v>
      </c>
      <c r="G91" t="s">
        <v>1365</v>
      </c>
      <c r="H91" t="s">
        <v>1366</v>
      </c>
      <c r="I91" t="s">
        <v>1009</v>
      </c>
      <c r="K91" t="s">
        <v>144</v>
      </c>
      <c r="L91" t="s">
        <v>77</v>
      </c>
      <c r="N91" t="s">
        <v>1109</v>
      </c>
      <c r="O91">
        <v>0</v>
      </c>
      <c r="P91">
        <v>2</v>
      </c>
      <c r="Q91">
        <v>4</v>
      </c>
      <c r="R91" t="s">
        <v>1310</v>
      </c>
      <c r="S91" t="s">
        <v>1367</v>
      </c>
      <c r="T91" t="s">
        <v>1112</v>
      </c>
      <c r="U91" t="s">
        <v>1</v>
      </c>
      <c r="V91" t="s">
        <v>1342</v>
      </c>
      <c r="W91" t="s">
        <v>1310</v>
      </c>
      <c r="X91" t="s">
        <v>1313</v>
      </c>
      <c r="Y91">
        <v>1</v>
      </c>
      <c r="AB91" t="s">
        <v>1013</v>
      </c>
      <c r="AD91" t="s">
        <v>1023</v>
      </c>
    </row>
    <row r="92" spans="1:33" x14ac:dyDescent="0.15">
      <c r="A92">
        <v>249475</v>
      </c>
      <c r="B92" t="s">
        <v>1002</v>
      </c>
      <c r="C92" t="s">
        <v>1305</v>
      </c>
      <c r="D92" t="s">
        <v>1004</v>
      </c>
      <c r="E92" t="s">
        <v>1368</v>
      </c>
      <c r="F92" t="s">
        <v>1320</v>
      </c>
      <c r="G92" t="s">
        <v>1369</v>
      </c>
      <c r="H92" t="s">
        <v>1370</v>
      </c>
      <c r="I92" t="s">
        <v>1009</v>
      </c>
      <c r="K92" t="s">
        <v>144</v>
      </c>
      <c r="L92" t="s">
        <v>77</v>
      </c>
      <c r="N92" t="s">
        <v>1109</v>
      </c>
      <c r="O92">
        <v>0</v>
      </c>
      <c r="P92">
        <v>2</v>
      </c>
      <c r="Q92">
        <v>4</v>
      </c>
      <c r="R92" t="s">
        <v>1310</v>
      </c>
      <c r="S92" t="s">
        <v>1371</v>
      </c>
      <c r="T92" t="s">
        <v>1112</v>
      </c>
      <c r="U92" t="s">
        <v>1</v>
      </c>
      <c r="V92" t="s">
        <v>1342</v>
      </c>
      <c r="W92" t="s">
        <v>1310</v>
      </c>
      <c r="X92" t="s">
        <v>1313</v>
      </c>
      <c r="Y92">
        <v>1</v>
      </c>
      <c r="AB92" t="s">
        <v>1013</v>
      </c>
      <c r="AD92" t="s">
        <v>1023</v>
      </c>
    </row>
    <row r="93" spans="1:33" x14ac:dyDescent="0.15">
      <c r="A93">
        <v>249476</v>
      </c>
      <c r="B93" t="s">
        <v>1002</v>
      </c>
      <c r="C93" t="s">
        <v>1305</v>
      </c>
      <c r="D93" t="s">
        <v>1004</v>
      </c>
      <c r="E93" t="s">
        <v>1372</v>
      </c>
      <c r="F93" t="s">
        <v>1373</v>
      </c>
      <c r="G93" t="s">
        <v>1374</v>
      </c>
      <c r="H93" t="s">
        <v>1375</v>
      </c>
      <c r="I93" t="s">
        <v>1043</v>
      </c>
      <c r="K93" t="s">
        <v>142</v>
      </c>
      <c r="L93" t="s">
        <v>76</v>
      </c>
      <c r="N93" t="s">
        <v>1109</v>
      </c>
      <c r="O93">
        <v>0</v>
      </c>
      <c r="P93">
        <v>2</v>
      </c>
      <c r="Q93">
        <v>3</v>
      </c>
      <c r="R93" t="s">
        <v>1310</v>
      </c>
      <c r="S93" t="s">
        <v>1376</v>
      </c>
      <c r="T93" t="s">
        <v>1112</v>
      </c>
      <c r="U93" t="s">
        <v>1</v>
      </c>
      <c r="V93" t="s">
        <v>1342</v>
      </c>
      <c r="W93" t="s">
        <v>1310</v>
      </c>
      <c r="X93" t="s">
        <v>1313</v>
      </c>
      <c r="Y93">
        <v>1</v>
      </c>
      <c r="AB93" t="s">
        <v>1013</v>
      </c>
      <c r="AD93" t="s">
        <v>964</v>
      </c>
    </row>
    <row r="94" spans="1:33" x14ac:dyDescent="0.15">
      <c r="A94">
        <v>41114</v>
      </c>
      <c r="B94" t="s">
        <v>1002</v>
      </c>
      <c r="C94" t="s">
        <v>1377</v>
      </c>
      <c r="D94" t="s">
        <v>1004</v>
      </c>
      <c r="E94" t="s">
        <v>1378</v>
      </c>
      <c r="F94" t="s">
        <v>1379</v>
      </c>
      <c r="G94" t="s">
        <v>1380</v>
      </c>
      <c r="H94" t="s">
        <v>1381</v>
      </c>
      <c r="I94" t="s">
        <v>1382</v>
      </c>
      <c r="K94" t="s">
        <v>142</v>
      </c>
      <c r="L94" t="s">
        <v>76</v>
      </c>
      <c r="N94" t="s">
        <v>1109</v>
      </c>
      <c r="O94">
        <v>2</v>
      </c>
      <c r="P94">
        <v>1</v>
      </c>
      <c r="Q94">
        <v>3</v>
      </c>
      <c r="R94" t="s">
        <v>1383</v>
      </c>
      <c r="S94" t="s">
        <v>1384</v>
      </c>
      <c r="T94" t="s">
        <v>1120</v>
      </c>
      <c r="U94" t="s">
        <v>1297</v>
      </c>
      <c r="V94" t="s">
        <v>1385</v>
      </c>
      <c r="W94" t="s">
        <v>1110</v>
      </c>
      <c r="X94" t="s">
        <v>1386</v>
      </c>
      <c r="Y94">
        <v>1</v>
      </c>
      <c r="AC94" t="s">
        <v>1116</v>
      </c>
      <c r="AD94" t="s">
        <v>1023</v>
      </c>
      <c r="AF94" t="s">
        <v>1387</v>
      </c>
      <c r="AG94" t="s">
        <v>1388</v>
      </c>
    </row>
    <row r="95" spans="1:33" x14ac:dyDescent="0.15">
      <c r="A95">
        <v>249477</v>
      </c>
      <c r="B95" t="s">
        <v>1002</v>
      </c>
      <c r="C95" t="s">
        <v>1377</v>
      </c>
      <c r="D95" t="s">
        <v>1004</v>
      </c>
      <c r="E95" t="s">
        <v>1389</v>
      </c>
      <c r="F95" t="s">
        <v>1320</v>
      </c>
      <c r="G95" t="s">
        <v>1390</v>
      </c>
      <c r="H95" t="s">
        <v>1391</v>
      </c>
      <c r="I95" t="s">
        <v>1009</v>
      </c>
      <c r="K95" t="s">
        <v>142</v>
      </c>
      <c r="L95" t="s">
        <v>76</v>
      </c>
      <c r="N95" t="s">
        <v>1109</v>
      </c>
      <c r="O95">
        <v>0</v>
      </c>
      <c r="P95">
        <v>2</v>
      </c>
      <c r="Q95">
        <v>4</v>
      </c>
      <c r="R95" t="s">
        <v>1310</v>
      </c>
      <c r="S95" t="s">
        <v>1392</v>
      </c>
      <c r="T95" t="s">
        <v>1112</v>
      </c>
      <c r="U95" t="s">
        <v>1</v>
      </c>
      <c r="V95" t="s">
        <v>1342</v>
      </c>
      <c r="W95" t="s">
        <v>1310</v>
      </c>
      <c r="X95" t="s">
        <v>1313</v>
      </c>
      <c r="Y95">
        <v>1</v>
      </c>
      <c r="AB95" t="s">
        <v>1013</v>
      </c>
      <c r="AD95" t="s">
        <v>964</v>
      </c>
    </row>
    <row r="96" spans="1:33" x14ac:dyDescent="0.15">
      <c r="A96">
        <v>249478</v>
      </c>
      <c r="B96" t="s">
        <v>1002</v>
      </c>
      <c r="C96" t="s">
        <v>1377</v>
      </c>
      <c r="D96" t="s">
        <v>1004</v>
      </c>
      <c r="E96" t="s">
        <v>1393</v>
      </c>
      <c r="F96" t="s">
        <v>1394</v>
      </c>
      <c r="G96" t="s">
        <v>1395</v>
      </c>
      <c r="H96" t="s">
        <v>1396</v>
      </c>
      <c r="I96" t="s">
        <v>1037</v>
      </c>
      <c r="K96" t="s">
        <v>142</v>
      </c>
      <c r="L96" t="s">
        <v>76</v>
      </c>
      <c r="N96" t="s">
        <v>1109</v>
      </c>
      <c r="O96">
        <v>0</v>
      </c>
      <c r="P96">
        <v>2</v>
      </c>
      <c r="Q96">
        <v>5</v>
      </c>
      <c r="R96" t="s">
        <v>1310</v>
      </c>
      <c r="S96" t="s">
        <v>1397</v>
      </c>
      <c r="T96" t="s">
        <v>1112</v>
      </c>
      <c r="U96" t="s">
        <v>1</v>
      </c>
      <c r="V96" t="s">
        <v>1342</v>
      </c>
      <c r="W96" t="s">
        <v>1310</v>
      </c>
      <c r="X96" t="s">
        <v>1313</v>
      </c>
      <c r="Y96">
        <v>1</v>
      </c>
      <c r="AB96" t="s">
        <v>1013</v>
      </c>
      <c r="AD96" t="s">
        <v>964</v>
      </c>
    </row>
    <row r="97" spans="1:30" x14ac:dyDescent="0.15">
      <c r="A97">
        <v>249479</v>
      </c>
      <c r="B97" t="s">
        <v>1002</v>
      </c>
      <c r="C97" t="s">
        <v>1377</v>
      </c>
      <c r="D97" t="s">
        <v>1004</v>
      </c>
      <c r="E97" t="s">
        <v>1398</v>
      </c>
      <c r="F97" t="s">
        <v>1394</v>
      </c>
      <c r="G97" t="s">
        <v>1399</v>
      </c>
      <c r="H97" t="s">
        <v>1400</v>
      </c>
      <c r="I97" t="s">
        <v>1009</v>
      </c>
      <c r="K97" t="s">
        <v>142</v>
      </c>
      <c r="L97" t="s">
        <v>76</v>
      </c>
      <c r="N97" t="s">
        <v>1109</v>
      </c>
      <c r="O97">
        <v>0</v>
      </c>
      <c r="P97">
        <v>2</v>
      </c>
      <c r="Q97">
        <v>4</v>
      </c>
      <c r="R97" t="s">
        <v>1310</v>
      </c>
      <c r="S97" t="s">
        <v>1401</v>
      </c>
      <c r="T97" t="s">
        <v>1112</v>
      </c>
      <c r="U97" t="s">
        <v>1</v>
      </c>
      <c r="V97" t="s">
        <v>1342</v>
      </c>
      <c r="W97" t="s">
        <v>1310</v>
      </c>
      <c r="X97" t="s">
        <v>1313</v>
      </c>
      <c r="Y97">
        <v>1</v>
      </c>
      <c r="AB97" t="s">
        <v>1013</v>
      </c>
      <c r="AD97" t="s">
        <v>964</v>
      </c>
    </row>
    <row r="98" spans="1:30" x14ac:dyDescent="0.15">
      <c r="A98">
        <v>249480</v>
      </c>
      <c r="B98" t="s">
        <v>1002</v>
      </c>
      <c r="C98" t="s">
        <v>1377</v>
      </c>
      <c r="D98" t="s">
        <v>1004</v>
      </c>
      <c r="E98" t="s">
        <v>1402</v>
      </c>
      <c r="F98" t="s">
        <v>1394</v>
      </c>
      <c r="G98" t="s">
        <v>1403</v>
      </c>
      <c r="H98" t="s">
        <v>1404</v>
      </c>
      <c r="I98" t="s">
        <v>1043</v>
      </c>
      <c r="K98" t="s">
        <v>144</v>
      </c>
      <c r="L98" t="s">
        <v>77</v>
      </c>
      <c r="N98" t="s">
        <v>1109</v>
      </c>
      <c r="O98">
        <v>0</v>
      </c>
      <c r="P98">
        <v>2</v>
      </c>
      <c r="Q98">
        <v>3</v>
      </c>
      <c r="R98" t="s">
        <v>1310</v>
      </c>
      <c r="S98" t="s">
        <v>1405</v>
      </c>
      <c r="T98" t="s">
        <v>1112</v>
      </c>
      <c r="U98" t="s">
        <v>1</v>
      </c>
      <c r="V98" t="s">
        <v>1342</v>
      </c>
      <c r="W98" t="s">
        <v>1310</v>
      </c>
      <c r="X98" t="s">
        <v>1313</v>
      </c>
      <c r="Y98">
        <v>1</v>
      </c>
      <c r="AB98" t="s">
        <v>1013</v>
      </c>
      <c r="AD98" t="s">
        <v>1023</v>
      </c>
    </row>
    <row r="99" spans="1:30" x14ac:dyDescent="0.15">
      <c r="A99">
        <v>249481</v>
      </c>
      <c r="B99" t="s">
        <v>1002</v>
      </c>
      <c r="C99" t="s">
        <v>1377</v>
      </c>
      <c r="D99" t="s">
        <v>1004</v>
      </c>
      <c r="E99" t="s">
        <v>1406</v>
      </c>
      <c r="F99" t="s">
        <v>1407</v>
      </c>
      <c r="G99" t="s">
        <v>1408</v>
      </c>
      <c r="H99" t="s">
        <v>1409</v>
      </c>
      <c r="I99" t="s">
        <v>1410</v>
      </c>
      <c r="K99" t="s">
        <v>142</v>
      </c>
      <c r="L99" t="s">
        <v>76</v>
      </c>
      <c r="N99" t="s">
        <v>1109</v>
      </c>
      <c r="O99">
        <v>1</v>
      </c>
      <c r="P99">
        <v>2</v>
      </c>
      <c r="Q99">
        <v>4</v>
      </c>
      <c r="R99" t="s">
        <v>1310</v>
      </c>
      <c r="S99" t="s">
        <v>1411</v>
      </c>
      <c r="T99" t="s">
        <v>1120</v>
      </c>
      <c r="U99" t="s">
        <v>1</v>
      </c>
      <c r="V99" t="s">
        <v>1342</v>
      </c>
      <c r="W99" t="s">
        <v>1310</v>
      </c>
      <c r="X99" t="s">
        <v>1313</v>
      </c>
      <c r="Y99">
        <v>1</v>
      </c>
      <c r="AB99" t="s">
        <v>1013</v>
      </c>
      <c r="AD99" t="s">
        <v>964</v>
      </c>
    </row>
    <row r="100" spans="1:30" x14ac:dyDescent="0.15">
      <c r="A100">
        <v>249482</v>
      </c>
      <c r="B100" t="s">
        <v>1002</v>
      </c>
      <c r="C100" t="s">
        <v>1377</v>
      </c>
      <c r="D100" t="s">
        <v>1004</v>
      </c>
      <c r="E100" t="s">
        <v>1412</v>
      </c>
      <c r="F100" t="s">
        <v>1407</v>
      </c>
      <c r="G100" t="s">
        <v>1413</v>
      </c>
      <c r="H100" t="s">
        <v>1414</v>
      </c>
      <c r="I100" t="s">
        <v>1009</v>
      </c>
      <c r="K100" t="s">
        <v>142</v>
      </c>
      <c r="L100" t="s">
        <v>76</v>
      </c>
      <c r="N100" t="s">
        <v>1109</v>
      </c>
      <c r="O100">
        <v>0</v>
      </c>
      <c r="P100">
        <v>2</v>
      </c>
      <c r="Q100">
        <v>4</v>
      </c>
      <c r="R100" t="s">
        <v>1310</v>
      </c>
      <c r="S100" t="s">
        <v>1415</v>
      </c>
      <c r="T100" t="s">
        <v>1112</v>
      </c>
      <c r="U100" t="s">
        <v>1</v>
      </c>
      <c r="V100" t="s">
        <v>1342</v>
      </c>
      <c r="W100" t="s">
        <v>1310</v>
      </c>
      <c r="X100" t="s">
        <v>1416</v>
      </c>
      <c r="Y100">
        <v>3</v>
      </c>
      <c r="AB100" t="s">
        <v>1013</v>
      </c>
      <c r="AD100" t="s">
        <v>964</v>
      </c>
    </row>
    <row r="101" spans="1:30" x14ac:dyDescent="0.15">
      <c r="A101">
        <v>254426</v>
      </c>
      <c r="B101" t="s">
        <v>1002</v>
      </c>
      <c r="C101" t="s">
        <v>1417</v>
      </c>
      <c r="D101" t="s">
        <v>1004</v>
      </c>
      <c r="E101" t="s">
        <v>1418</v>
      </c>
      <c r="F101" t="s">
        <v>1320</v>
      </c>
      <c r="G101" t="s">
        <v>1419</v>
      </c>
      <c r="H101" t="s">
        <v>1420</v>
      </c>
      <c r="I101" t="s">
        <v>1043</v>
      </c>
      <c r="K101" t="s">
        <v>144</v>
      </c>
      <c r="L101" t="s">
        <v>77</v>
      </c>
      <c r="N101" t="s">
        <v>1011</v>
      </c>
      <c r="O101">
        <v>0</v>
      </c>
      <c r="P101">
        <v>0</v>
      </c>
      <c r="Q101">
        <v>3</v>
      </c>
      <c r="U101" t="s">
        <v>1</v>
      </c>
      <c r="V101" t="s">
        <v>1083</v>
      </c>
      <c r="Y101">
        <v>1</v>
      </c>
      <c r="AB101" t="s">
        <v>1013</v>
      </c>
      <c r="AD101" t="s">
        <v>1023</v>
      </c>
    </row>
    <row r="102" spans="1:30" x14ac:dyDescent="0.15">
      <c r="A102">
        <v>254427</v>
      </c>
      <c r="B102" t="s">
        <v>1002</v>
      </c>
      <c r="C102" t="s">
        <v>1417</v>
      </c>
      <c r="D102" t="s">
        <v>1004</v>
      </c>
      <c r="E102" t="s">
        <v>1421</v>
      </c>
      <c r="F102" t="s">
        <v>1320</v>
      </c>
      <c r="G102" t="s">
        <v>1422</v>
      </c>
      <c r="H102" t="s">
        <v>1423</v>
      </c>
      <c r="I102" t="s">
        <v>1009</v>
      </c>
      <c r="K102" t="s">
        <v>144</v>
      </c>
      <c r="L102" t="s">
        <v>1424</v>
      </c>
      <c r="N102" t="s">
        <v>1011</v>
      </c>
      <c r="O102">
        <v>0</v>
      </c>
      <c r="P102">
        <v>0</v>
      </c>
      <c r="Q102">
        <v>4</v>
      </c>
      <c r="U102" t="s">
        <v>1</v>
      </c>
      <c r="V102" t="s">
        <v>1083</v>
      </c>
      <c r="Y102">
        <v>1</v>
      </c>
      <c r="AB102" t="s">
        <v>1013</v>
      </c>
      <c r="AD102" t="s">
        <v>1023</v>
      </c>
    </row>
    <row r="103" spans="1:30" x14ac:dyDescent="0.15">
      <c r="A103">
        <v>254428</v>
      </c>
      <c r="B103" t="s">
        <v>1002</v>
      </c>
      <c r="C103" t="s">
        <v>1417</v>
      </c>
      <c r="D103" t="s">
        <v>1004</v>
      </c>
      <c r="E103" t="s">
        <v>1425</v>
      </c>
      <c r="F103" t="s">
        <v>1426</v>
      </c>
      <c r="G103" t="s">
        <v>1427</v>
      </c>
      <c r="H103" t="s">
        <v>1428</v>
      </c>
      <c r="I103" t="s">
        <v>1009</v>
      </c>
      <c r="K103" t="s">
        <v>144</v>
      </c>
      <c r="L103" t="s">
        <v>1424</v>
      </c>
      <c r="N103" t="s">
        <v>1011</v>
      </c>
      <c r="O103">
        <v>0</v>
      </c>
      <c r="P103">
        <v>0</v>
      </c>
      <c r="Q103">
        <v>4</v>
      </c>
      <c r="U103" t="s">
        <v>1</v>
      </c>
      <c r="V103" t="s">
        <v>1083</v>
      </c>
      <c r="Y103">
        <v>1</v>
      </c>
      <c r="AB103" t="s">
        <v>1013</v>
      </c>
      <c r="AD103" t="s">
        <v>1023</v>
      </c>
    </row>
    <row r="104" spans="1:30" x14ac:dyDescent="0.15">
      <c r="A104">
        <v>254429</v>
      </c>
      <c r="B104" t="s">
        <v>1002</v>
      </c>
      <c r="C104" t="s">
        <v>1417</v>
      </c>
      <c r="D104" t="s">
        <v>1004</v>
      </c>
      <c r="E104" t="s">
        <v>1429</v>
      </c>
      <c r="F104" t="s">
        <v>1426</v>
      </c>
      <c r="G104" t="s">
        <v>1430</v>
      </c>
      <c r="H104" t="s">
        <v>1431</v>
      </c>
      <c r="I104" t="s">
        <v>1009</v>
      </c>
      <c r="K104" t="s">
        <v>144</v>
      </c>
      <c r="L104" t="s">
        <v>1424</v>
      </c>
      <c r="N104" t="s">
        <v>1011</v>
      </c>
      <c r="O104">
        <v>0</v>
      </c>
      <c r="P104">
        <v>0</v>
      </c>
      <c r="Q104">
        <v>4</v>
      </c>
      <c r="U104" t="s">
        <v>1</v>
      </c>
      <c r="V104" t="s">
        <v>1083</v>
      </c>
      <c r="Y104">
        <v>1</v>
      </c>
      <c r="AB104" t="s">
        <v>1013</v>
      </c>
      <c r="AD104" t="s">
        <v>1023</v>
      </c>
    </row>
    <row r="105" spans="1:30" x14ac:dyDescent="0.15">
      <c r="A105">
        <v>254430</v>
      </c>
      <c r="B105" t="s">
        <v>1002</v>
      </c>
      <c r="C105" t="s">
        <v>1417</v>
      </c>
      <c r="D105" t="s">
        <v>1004</v>
      </c>
      <c r="E105" t="s">
        <v>1432</v>
      </c>
      <c r="F105" t="s">
        <v>1426</v>
      </c>
      <c r="G105" t="s">
        <v>1433</v>
      </c>
      <c r="H105" t="s">
        <v>1431</v>
      </c>
      <c r="I105" t="s">
        <v>1009</v>
      </c>
      <c r="K105" t="s">
        <v>144</v>
      </c>
      <c r="L105" t="s">
        <v>1424</v>
      </c>
      <c r="N105" t="s">
        <v>1011</v>
      </c>
      <c r="O105">
        <v>0</v>
      </c>
      <c r="P105">
        <v>0</v>
      </c>
      <c r="Q105">
        <v>4</v>
      </c>
      <c r="U105" t="s">
        <v>1</v>
      </c>
      <c r="V105" t="s">
        <v>1083</v>
      </c>
      <c r="Y105">
        <v>1</v>
      </c>
      <c r="AB105" t="s">
        <v>1013</v>
      </c>
      <c r="AD105" t="s">
        <v>1023</v>
      </c>
    </row>
    <row r="106" spans="1:30" x14ac:dyDescent="0.15">
      <c r="A106">
        <v>254431</v>
      </c>
      <c r="B106" t="s">
        <v>1002</v>
      </c>
      <c r="C106" t="s">
        <v>1417</v>
      </c>
      <c r="D106" t="s">
        <v>1004</v>
      </c>
      <c r="E106" t="s">
        <v>1434</v>
      </c>
      <c r="F106" t="s">
        <v>1426</v>
      </c>
      <c r="G106" t="s">
        <v>1435</v>
      </c>
      <c r="H106" t="s">
        <v>1436</v>
      </c>
      <c r="I106" t="s">
        <v>1009</v>
      </c>
      <c r="K106" t="s">
        <v>144</v>
      </c>
      <c r="L106" t="s">
        <v>1424</v>
      </c>
      <c r="N106" t="s">
        <v>1011</v>
      </c>
      <c r="O106">
        <v>0</v>
      </c>
      <c r="P106">
        <v>0</v>
      </c>
      <c r="Q106">
        <v>4</v>
      </c>
      <c r="U106" t="s">
        <v>1</v>
      </c>
      <c r="V106" t="s">
        <v>1083</v>
      </c>
      <c r="Y106">
        <v>1</v>
      </c>
      <c r="AB106" t="s">
        <v>1013</v>
      </c>
      <c r="AD106" t="s">
        <v>1023</v>
      </c>
    </row>
    <row r="107" spans="1:30" x14ac:dyDescent="0.15">
      <c r="A107">
        <v>254432</v>
      </c>
      <c r="B107" t="s">
        <v>1002</v>
      </c>
      <c r="C107" t="s">
        <v>1417</v>
      </c>
      <c r="D107" t="s">
        <v>1004</v>
      </c>
      <c r="E107" t="s">
        <v>1437</v>
      </c>
      <c r="F107" t="s">
        <v>1426</v>
      </c>
      <c r="G107" t="s">
        <v>1438</v>
      </c>
      <c r="H107" t="s">
        <v>1439</v>
      </c>
      <c r="I107" t="s">
        <v>1009</v>
      </c>
      <c r="K107" t="s">
        <v>144</v>
      </c>
      <c r="L107" t="s">
        <v>1424</v>
      </c>
      <c r="N107" t="s">
        <v>1011</v>
      </c>
      <c r="O107">
        <v>0</v>
      </c>
      <c r="P107">
        <v>0</v>
      </c>
      <c r="Q107">
        <v>4</v>
      </c>
      <c r="U107" t="s">
        <v>1</v>
      </c>
      <c r="V107" t="s">
        <v>1083</v>
      </c>
      <c r="Y107">
        <v>1</v>
      </c>
      <c r="AB107" t="s">
        <v>1013</v>
      </c>
      <c r="AD107" t="s">
        <v>1023</v>
      </c>
    </row>
    <row r="108" spans="1:30" x14ac:dyDescent="0.15">
      <c r="A108">
        <v>254433</v>
      </c>
      <c r="B108" t="s">
        <v>1002</v>
      </c>
      <c r="C108" t="s">
        <v>1417</v>
      </c>
      <c r="D108" t="s">
        <v>1004</v>
      </c>
      <c r="E108" t="s">
        <v>1440</v>
      </c>
      <c r="F108" t="s">
        <v>1426</v>
      </c>
      <c r="G108" t="s">
        <v>1441</v>
      </c>
      <c r="H108" t="s">
        <v>1442</v>
      </c>
      <c r="I108" t="s">
        <v>1009</v>
      </c>
      <c r="K108" t="s">
        <v>144</v>
      </c>
      <c r="L108" t="s">
        <v>1424</v>
      </c>
      <c r="N108" t="s">
        <v>1011</v>
      </c>
      <c r="O108">
        <v>0</v>
      </c>
      <c r="P108">
        <v>0</v>
      </c>
      <c r="Q108">
        <v>4</v>
      </c>
      <c r="U108" t="s">
        <v>1</v>
      </c>
      <c r="V108" t="s">
        <v>1083</v>
      </c>
      <c r="Y108">
        <v>1</v>
      </c>
      <c r="AB108" t="s">
        <v>1013</v>
      </c>
      <c r="AD108" t="s">
        <v>1023</v>
      </c>
    </row>
    <row r="109" spans="1:30" x14ac:dyDescent="0.15">
      <c r="A109">
        <v>254434</v>
      </c>
      <c r="B109" t="s">
        <v>1002</v>
      </c>
      <c r="C109" t="s">
        <v>1417</v>
      </c>
      <c r="D109" t="s">
        <v>1004</v>
      </c>
      <c r="E109" t="s">
        <v>1443</v>
      </c>
      <c r="F109" t="s">
        <v>1426</v>
      </c>
      <c r="G109" t="s">
        <v>1444</v>
      </c>
      <c r="H109" t="s">
        <v>1445</v>
      </c>
      <c r="I109" t="s">
        <v>1009</v>
      </c>
      <c r="K109" t="s">
        <v>144</v>
      </c>
      <c r="L109" t="s">
        <v>1424</v>
      </c>
      <c r="N109" t="s">
        <v>1011</v>
      </c>
      <c r="O109">
        <v>0</v>
      </c>
      <c r="P109">
        <v>0</v>
      </c>
      <c r="Q109">
        <v>4</v>
      </c>
      <c r="U109" t="s">
        <v>1</v>
      </c>
      <c r="V109" t="s">
        <v>1083</v>
      </c>
      <c r="Y109">
        <v>1</v>
      </c>
      <c r="AB109" t="s">
        <v>1013</v>
      </c>
      <c r="AD109" t="s">
        <v>1023</v>
      </c>
    </row>
    <row r="110" spans="1:30" x14ac:dyDescent="0.15">
      <c r="A110">
        <v>254435</v>
      </c>
      <c r="B110" t="s">
        <v>1002</v>
      </c>
      <c r="C110" t="s">
        <v>1417</v>
      </c>
      <c r="D110" t="s">
        <v>1004</v>
      </c>
      <c r="E110" t="s">
        <v>1446</v>
      </c>
      <c r="F110" t="s">
        <v>1426</v>
      </c>
      <c r="G110" t="s">
        <v>1447</v>
      </c>
      <c r="H110" t="s">
        <v>1448</v>
      </c>
      <c r="I110" t="s">
        <v>1043</v>
      </c>
      <c r="K110" t="s">
        <v>144</v>
      </c>
      <c r="L110" t="s">
        <v>1424</v>
      </c>
      <c r="N110" t="s">
        <v>1011</v>
      </c>
      <c r="O110">
        <v>0</v>
      </c>
      <c r="P110">
        <v>0</v>
      </c>
      <c r="Q110">
        <v>3</v>
      </c>
      <c r="U110" t="s">
        <v>1</v>
      </c>
      <c r="V110" t="s">
        <v>1083</v>
      </c>
      <c r="Y110">
        <v>1</v>
      </c>
      <c r="AB110" t="s">
        <v>1013</v>
      </c>
      <c r="AD110" t="s">
        <v>1023</v>
      </c>
    </row>
    <row r="111" spans="1:30" x14ac:dyDescent="0.15">
      <c r="A111">
        <v>254436</v>
      </c>
      <c r="B111" t="s">
        <v>1002</v>
      </c>
      <c r="C111" t="s">
        <v>1417</v>
      </c>
      <c r="D111" t="s">
        <v>1004</v>
      </c>
      <c r="E111" t="s">
        <v>1449</v>
      </c>
      <c r="F111" t="s">
        <v>1450</v>
      </c>
      <c r="G111" t="s">
        <v>1451</v>
      </c>
      <c r="H111" t="s">
        <v>1452</v>
      </c>
      <c r="I111" t="s">
        <v>1043</v>
      </c>
      <c r="K111" t="s">
        <v>144</v>
      </c>
      <c r="L111" t="s">
        <v>1424</v>
      </c>
      <c r="N111" t="s">
        <v>1011</v>
      </c>
      <c r="O111">
        <v>0</v>
      </c>
      <c r="P111">
        <v>0</v>
      </c>
      <c r="Q111">
        <v>3</v>
      </c>
      <c r="U111" t="s">
        <v>1</v>
      </c>
      <c r="V111" t="s">
        <v>1083</v>
      </c>
      <c r="Y111">
        <v>1</v>
      </c>
      <c r="AB111" t="s">
        <v>1013</v>
      </c>
      <c r="AD111" t="s">
        <v>1023</v>
      </c>
    </row>
    <row r="112" spans="1:30" x14ac:dyDescent="0.15">
      <c r="A112">
        <v>254437</v>
      </c>
      <c r="B112" t="s">
        <v>1002</v>
      </c>
      <c r="C112" t="s">
        <v>1417</v>
      </c>
      <c r="D112" t="s">
        <v>1004</v>
      </c>
      <c r="E112" t="s">
        <v>1453</v>
      </c>
      <c r="F112" t="s">
        <v>1450</v>
      </c>
      <c r="G112" t="s">
        <v>1454</v>
      </c>
      <c r="H112" t="s">
        <v>1452</v>
      </c>
      <c r="I112" t="s">
        <v>1043</v>
      </c>
      <c r="K112" t="s">
        <v>144</v>
      </c>
      <c r="L112" t="s">
        <v>1424</v>
      </c>
      <c r="N112" t="s">
        <v>1011</v>
      </c>
      <c r="O112">
        <v>0</v>
      </c>
      <c r="P112">
        <v>0</v>
      </c>
      <c r="Q112">
        <v>3</v>
      </c>
      <c r="U112" t="s">
        <v>1</v>
      </c>
      <c r="V112" t="s">
        <v>1083</v>
      </c>
      <c r="Y112">
        <v>1</v>
      </c>
      <c r="AB112" t="s">
        <v>1013</v>
      </c>
      <c r="AD112" t="s">
        <v>1023</v>
      </c>
    </row>
    <row r="113" spans="1:30" x14ac:dyDescent="0.15">
      <c r="A113">
        <v>254438</v>
      </c>
      <c r="B113" t="s">
        <v>1002</v>
      </c>
      <c r="C113" t="s">
        <v>1417</v>
      </c>
      <c r="D113" t="s">
        <v>1004</v>
      </c>
      <c r="E113" t="s">
        <v>1455</v>
      </c>
      <c r="F113" t="s">
        <v>1450</v>
      </c>
      <c r="G113" t="s">
        <v>1456</v>
      </c>
      <c r="H113" t="s">
        <v>1452</v>
      </c>
      <c r="I113" t="s">
        <v>1043</v>
      </c>
      <c r="K113" t="s">
        <v>144</v>
      </c>
      <c r="L113" t="s">
        <v>1424</v>
      </c>
      <c r="N113" t="s">
        <v>1011</v>
      </c>
      <c r="O113">
        <v>0</v>
      </c>
      <c r="P113">
        <v>0</v>
      </c>
      <c r="Q113">
        <v>3</v>
      </c>
      <c r="U113" t="s">
        <v>1</v>
      </c>
      <c r="V113" t="s">
        <v>1083</v>
      </c>
      <c r="Y113">
        <v>1</v>
      </c>
      <c r="AB113" t="s">
        <v>1013</v>
      </c>
      <c r="AD113" t="s">
        <v>1023</v>
      </c>
    </row>
    <row r="114" spans="1:30" x14ac:dyDescent="0.15">
      <c r="A114">
        <v>254439</v>
      </c>
      <c r="B114" t="s">
        <v>1002</v>
      </c>
      <c r="C114" t="s">
        <v>1417</v>
      </c>
      <c r="D114" t="s">
        <v>1004</v>
      </c>
      <c r="E114" t="s">
        <v>1457</v>
      </c>
      <c r="F114" t="s">
        <v>1320</v>
      </c>
      <c r="G114" t="s">
        <v>1458</v>
      </c>
      <c r="H114" t="s">
        <v>1459</v>
      </c>
      <c r="I114" t="s">
        <v>1037</v>
      </c>
      <c r="K114" t="s">
        <v>144</v>
      </c>
      <c r="L114" t="s">
        <v>1238</v>
      </c>
      <c r="N114" t="s">
        <v>1011</v>
      </c>
      <c r="O114">
        <v>0</v>
      </c>
      <c r="P114">
        <v>0</v>
      </c>
      <c r="Q114">
        <v>5</v>
      </c>
      <c r="U114" t="s">
        <v>1</v>
      </c>
      <c r="V114" t="s">
        <v>1083</v>
      </c>
      <c r="Y114">
        <v>1</v>
      </c>
      <c r="AB114" t="s">
        <v>1013</v>
      </c>
      <c r="AD114" t="s">
        <v>1023</v>
      </c>
    </row>
    <row r="115" spans="1:30" x14ac:dyDescent="0.15">
      <c r="A115">
        <v>254440</v>
      </c>
      <c r="B115" t="s">
        <v>1002</v>
      </c>
      <c r="C115" t="s">
        <v>1417</v>
      </c>
      <c r="D115" t="s">
        <v>1004</v>
      </c>
      <c r="E115" t="s">
        <v>1460</v>
      </c>
      <c r="F115" t="s">
        <v>1320</v>
      </c>
      <c r="G115" t="s">
        <v>1461</v>
      </c>
      <c r="H115" t="s">
        <v>1459</v>
      </c>
      <c r="I115" t="s">
        <v>1037</v>
      </c>
      <c r="K115" t="s">
        <v>144</v>
      </c>
      <c r="L115" t="s">
        <v>1238</v>
      </c>
      <c r="N115" t="s">
        <v>1011</v>
      </c>
      <c r="O115">
        <v>0</v>
      </c>
      <c r="P115">
        <v>0</v>
      </c>
      <c r="Q115">
        <v>5</v>
      </c>
      <c r="U115" t="s">
        <v>1</v>
      </c>
      <c r="V115" t="s">
        <v>1083</v>
      </c>
      <c r="Y115">
        <v>1</v>
      </c>
      <c r="AB115" t="s">
        <v>1013</v>
      </c>
      <c r="AD115" t="s">
        <v>1023</v>
      </c>
    </row>
    <row r="116" spans="1:30" x14ac:dyDescent="0.15">
      <c r="A116">
        <v>254441</v>
      </c>
      <c r="B116" t="s">
        <v>1002</v>
      </c>
      <c r="C116" t="s">
        <v>1417</v>
      </c>
      <c r="D116" t="s">
        <v>1004</v>
      </c>
      <c r="E116" t="s">
        <v>1462</v>
      </c>
      <c r="F116" t="s">
        <v>1320</v>
      </c>
      <c r="G116" t="s">
        <v>1463</v>
      </c>
      <c r="H116" t="s">
        <v>1464</v>
      </c>
      <c r="I116" t="s">
        <v>1049</v>
      </c>
      <c r="K116" t="s">
        <v>144</v>
      </c>
      <c r="L116" t="s">
        <v>1238</v>
      </c>
      <c r="N116" t="s">
        <v>1011</v>
      </c>
      <c r="O116">
        <v>0</v>
      </c>
      <c r="P116">
        <v>0</v>
      </c>
      <c r="Q116">
        <v>7</v>
      </c>
      <c r="U116" t="s">
        <v>1</v>
      </c>
      <c r="V116" t="s">
        <v>1083</v>
      </c>
      <c r="Y116">
        <v>1</v>
      </c>
      <c r="AB116" t="s">
        <v>1013</v>
      </c>
      <c r="AD116" t="s">
        <v>1023</v>
      </c>
    </row>
    <row r="117" spans="1:30" x14ac:dyDescent="0.15">
      <c r="A117">
        <v>254442</v>
      </c>
      <c r="B117" t="s">
        <v>1002</v>
      </c>
      <c r="C117" t="s">
        <v>1417</v>
      </c>
      <c r="D117" t="s">
        <v>1004</v>
      </c>
      <c r="E117" t="s">
        <v>1465</v>
      </c>
      <c r="F117" t="s">
        <v>1320</v>
      </c>
      <c r="G117" t="s">
        <v>1466</v>
      </c>
      <c r="H117" t="s">
        <v>1459</v>
      </c>
      <c r="I117" t="s">
        <v>1037</v>
      </c>
      <c r="K117" t="s">
        <v>144</v>
      </c>
      <c r="L117" t="s">
        <v>1238</v>
      </c>
      <c r="N117" t="s">
        <v>1011</v>
      </c>
      <c r="O117">
        <v>0</v>
      </c>
      <c r="P117">
        <v>0</v>
      </c>
      <c r="Q117">
        <v>5</v>
      </c>
      <c r="U117" t="s">
        <v>1</v>
      </c>
      <c r="V117" t="s">
        <v>1083</v>
      </c>
      <c r="Y117">
        <v>1</v>
      </c>
      <c r="AB117" t="s">
        <v>1013</v>
      </c>
      <c r="AD117" t="s">
        <v>1023</v>
      </c>
    </row>
    <row r="118" spans="1:30" x14ac:dyDescent="0.15">
      <c r="A118">
        <v>254443</v>
      </c>
      <c r="B118" t="s">
        <v>1002</v>
      </c>
      <c r="C118" t="s">
        <v>1417</v>
      </c>
      <c r="D118" t="s">
        <v>1004</v>
      </c>
      <c r="E118" t="s">
        <v>1467</v>
      </c>
      <c r="F118" t="s">
        <v>1320</v>
      </c>
      <c r="G118" t="s">
        <v>1468</v>
      </c>
      <c r="H118" t="s">
        <v>1469</v>
      </c>
      <c r="I118" t="s">
        <v>1043</v>
      </c>
      <c r="K118" t="s">
        <v>144</v>
      </c>
      <c r="L118" t="s">
        <v>1238</v>
      </c>
      <c r="N118" t="s">
        <v>1011</v>
      </c>
      <c r="O118">
        <v>0</v>
      </c>
      <c r="P118">
        <v>0</v>
      </c>
      <c r="Q118">
        <v>3</v>
      </c>
      <c r="U118" t="s">
        <v>1</v>
      </c>
      <c r="V118" t="s">
        <v>1083</v>
      </c>
      <c r="Y118">
        <v>1</v>
      </c>
      <c r="AB118" t="s">
        <v>1013</v>
      </c>
      <c r="AD118" t="s">
        <v>1023</v>
      </c>
    </row>
    <row r="119" spans="1:30" x14ac:dyDescent="0.15">
      <c r="A119">
        <v>254444</v>
      </c>
      <c r="B119" t="s">
        <v>1002</v>
      </c>
      <c r="C119" t="s">
        <v>1417</v>
      </c>
      <c r="D119" t="s">
        <v>1004</v>
      </c>
      <c r="E119" t="s">
        <v>1470</v>
      </c>
      <c r="F119" t="s">
        <v>1471</v>
      </c>
      <c r="G119" t="s">
        <v>1472</v>
      </c>
      <c r="H119" t="s">
        <v>1473</v>
      </c>
      <c r="I119" t="s">
        <v>1293</v>
      </c>
      <c r="K119" t="s">
        <v>144</v>
      </c>
      <c r="L119" t="s">
        <v>1238</v>
      </c>
      <c r="N119" t="s">
        <v>1011</v>
      </c>
      <c r="O119">
        <v>0</v>
      </c>
      <c r="P119">
        <v>0</v>
      </c>
      <c r="Q119">
        <v>6</v>
      </c>
      <c r="U119" t="s">
        <v>1</v>
      </c>
      <c r="V119" t="s">
        <v>1083</v>
      </c>
      <c r="Y119">
        <v>1</v>
      </c>
      <c r="AB119" t="s">
        <v>1013</v>
      </c>
      <c r="AD119" t="s">
        <v>1023</v>
      </c>
    </row>
    <row r="120" spans="1:30" x14ac:dyDescent="0.15">
      <c r="A120">
        <v>254445</v>
      </c>
      <c r="B120" t="s">
        <v>1002</v>
      </c>
      <c r="C120" t="s">
        <v>1417</v>
      </c>
      <c r="D120" t="s">
        <v>1004</v>
      </c>
      <c r="E120" t="s">
        <v>1474</v>
      </c>
      <c r="F120" t="s">
        <v>1475</v>
      </c>
      <c r="G120" t="s">
        <v>1472</v>
      </c>
      <c r="H120" t="s">
        <v>1473</v>
      </c>
      <c r="I120" t="s">
        <v>1293</v>
      </c>
      <c r="K120" t="s">
        <v>144</v>
      </c>
      <c r="L120" t="s">
        <v>1238</v>
      </c>
      <c r="N120" t="s">
        <v>1011</v>
      </c>
      <c r="O120">
        <v>0</v>
      </c>
      <c r="P120">
        <v>0</v>
      </c>
      <c r="Q120">
        <v>6</v>
      </c>
      <c r="U120" t="s">
        <v>1</v>
      </c>
      <c r="V120" t="s">
        <v>1083</v>
      </c>
      <c r="Y120">
        <v>1</v>
      </c>
      <c r="AB120" t="s">
        <v>1013</v>
      </c>
      <c r="AD120" t="s">
        <v>1023</v>
      </c>
    </row>
    <row r="121" spans="1:30" x14ac:dyDescent="0.15">
      <c r="A121">
        <v>238708</v>
      </c>
      <c r="B121" t="s">
        <v>1002</v>
      </c>
      <c r="C121" t="s">
        <v>1476</v>
      </c>
      <c r="D121" t="s">
        <v>1004</v>
      </c>
      <c r="E121" t="s">
        <v>1477</v>
      </c>
      <c r="F121" t="s">
        <v>1478</v>
      </c>
      <c r="G121" t="s">
        <v>1479</v>
      </c>
      <c r="H121" t="s">
        <v>1480</v>
      </c>
      <c r="I121" t="s">
        <v>1009</v>
      </c>
      <c r="K121" t="s">
        <v>142</v>
      </c>
      <c r="L121" t="s">
        <v>76</v>
      </c>
      <c r="N121" t="s">
        <v>1109</v>
      </c>
      <c r="O121">
        <v>0</v>
      </c>
      <c r="P121">
        <v>1</v>
      </c>
      <c r="Q121">
        <v>4</v>
      </c>
      <c r="R121" t="s">
        <v>1118</v>
      </c>
      <c r="S121" t="s">
        <v>1481</v>
      </c>
      <c r="T121" t="s">
        <v>1112</v>
      </c>
      <c r="U121" t="s">
        <v>1118</v>
      </c>
      <c r="V121" t="s">
        <v>1482</v>
      </c>
      <c r="W121" t="s">
        <v>1118</v>
      </c>
      <c r="X121" t="s">
        <v>1483</v>
      </c>
      <c r="Y121">
        <v>1</v>
      </c>
      <c r="AD121" t="s">
        <v>964</v>
      </c>
    </row>
    <row r="122" spans="1:30" x14ac:dyDescent="0.15">
      <c r="A122">
        <v>249403</v>
      </c>
      <c r="B122" t="s">
        <v>1002</v>
      </c>
      <c r="C122" t="s">
        <v>1476</v>
      </c>
      <c r="D122" t="s">
        <v>1004</v>
      </c>
      <c r="E122" t="s">
        <v>1484</v>
      </c>
      <c r="F122" t="s">
        <v>1320</v>
      </c>
      <c r="G122" t="s">
        <v>1485</v>
      </c>
      <c r="H122" t="s">
        <v>1486</v>
      </c>
      <c r="I122" t="s">
        <v>1009</v>
      </c>
      <c r="K122" t="s">
        <v>144</v>
      </c>
      <c r="L122" t="s">
        <v>77</v>
      </c>
      <c r="N122" t="s">
        <v>1109</v>
      </c>
      <c r="O122">
        <v>1</v>
      </c>
      <c r="P122">
        <v>2</v>
      </c>
      <c r="Q122">
        <v>4</v>
      </c>
      <c r="R122" t="s">
        <v>1310</v>
      </c>
      <c r="S122" t="s">
        <v>1487</v>
      </c>
      <c r="T122" t="s">
        <v>1112</v>
      </c>
      <c r="U122" t="s">
        <v>1</v>
      </c>
      <c r="V122" t="s">
        <v>1312</v>
      </c>
      <c r="W122" t="s">
        <v>1310</v>
      </c>
      <c r="X122" t="s">
        <v>1313</v>
      </c>
      <c r="Y122">
        <v>1</v>
      </c>
      <c r="AB122" t="s">
        <v>1013</v>
      </c>
      <c r="AD122" t="s">
        <v>1023</v>
      </c>
    </row>
    <row r="123" spans="1:30" x14ac:dyDescent="0.15">
      <c r="A123">
        <v>249404</v>
      </c>
      <c r="B123" t="s">
        <v>1002</v>
      </c>
      <c r="C123" t="s">
        <v>1476</v>
      </c>
      <c r="D123" t="s">
        <v>1004</v>
      </c>
      <c r="E123" t="s">
        <v>1488</v>
      </c>
      <c r="F123" t="s">
        <v>1320</v>
      </c>
      <c r="G123" t="s">
        <v>1489</v>
      </c>
      <c r="H123" t="s">
        <v>1490</v>
      </c>
      <c r="I123" t="s">
        <v>1009</v>
      </c>
      <c r="K123" t="s">
        <v>144</v>
      </c>
      <c r="L123" t="s">
        <v>77</v>
      </c>
      <c r="N123" t="s">
        <v>1109</v>
      </c>
      <c r="O123">
        <v>0</v>
      </c>
      <c r="P123">
        <v>2</v>
      </c>
      <c r="Q123">
        <v>4</v>
      </c>
      <c r="R123" t="s">
        <v>1310</v>
      </c>
      <c r="S123" t="s">
        <v>1491</v>
      </c>
      <c r="T123" t="s">
        <v>1112</v>
      </c>
      <c r="U123" t="s">
        <v>1</v>
      </c>
      <c r="V123" t="s">
        <v>1312</v>
      </c>
      <c r="W123" t="s">
        <v>1310</v>
      </c>
      <c r="X123" t="s">
        <v>1313</v>
      </c>
      <c r="Y123">
        <v>1</v>
      </c>
      <c r="AB123" t="s">
        <v>1013</v>
      </c>
      <c r="AD123" t="s">
        <v>1023</v>
      </c>
    </row>
    <row r="124" spans="1:30" x14ac:dyDescent="0.15">
      <c r="A124">
        <v>249405</v>
      </c>
      <c r="B124" t="s">
        <v>1002</v>
      </c>
      <c r="C124" t="s">
        <v>1476</v>
      </c>
      <c r="D124" t="s">
        <v>1004</v>
      </c>
      <c r="E124" t="s">
        <v>1492</v>
      </c>
      <c r="F124" t="s">
        <v>1320</v>
      </c>
      <c r="G124" t="s">
        <v>1493</v>
      </c>
      <c r="H124" t="s">
        <v>1494</v>
      </c>
      <c r="I124" t="s">
        <v>1009</v>
      </c>
      <c r="K124" t="s">
        <v>144</v>
      </c>
      <c r="L124" t="s">
        <v>77</v>
      </c>
      <c r="N124" t="s">
        <v>1109</v>
      </c>
      <c r="O124">
        <v>0</v>
      </c>
      <c r="P124">
        <v>2</v>
      </c>
      <c r="Q124">
        <v>4</v>
      </c>
      <c r="R124" t="s">
        <v>1310</v>
      </c>
      <c r="S124" t="s">
        <v>1495</v>
      </c>
      <c r="T124" t="s">
        <v>1112</v>
      </c>
      <c r="U124" t="s">
        <v>1</v>
      </c>
      <c r="V124" t="s">
        <v>1312</v>
      </c>
      <c r="W124" t="s">
        <v>1310</v>
      </c>
      <c r="X124" t="s">
        <v>1313</v>
      </c>
      <c r="Y124">
        <v>1</v>
      </c>
      <c r="AB124" t="s">
        <v>1013</v>
      </c>
      <c r="AD124" t="s">
        <v>1023</v>
      </c>
    </row>
    <row r="125" spans="1:30" x14ac:dyDescent="0.15">
      <c r="A125">
        <v>249406</v>
      </c>
      <c r="B125" t="s">
        <v>1002</v>
      </c>
      <c r="C125" t="s">
        <v>1476</v>
      </c>
      <c r="D125" t="s">
        <v>1004</v>
      </c>
      <c r="E125" t="s">
        <v>1496</v>
      </c>
      <c r="F125" t="s">
        <v>1320</v>
      </c>
      <c r="G125" t="s">
        <v>1497</v>
      </c>
      <c r="H125" t="s">
        <v>1498</v>
      </c>
      <c r="I125" t="s">
        <v>1043</v>
      </c>
      <c r="K125" t="s">
        <v>142</v>
      </c>
      <c r="L125" t="s">
        <v>76</v>
      </c>
      <c r="N125" t="s">
        <v>1109</v>
      </c>
      <c r="O125">
        <v>0</v>
      </c>
      <c r="P125">
        <v>1</v>
      </c>
      <c r="Q125">
        <v>3</v>
      </c>
      <c r="R125" t="s">
        <v>1310</v>
      </c>
      <c r="S125" t="s">
        <v>1499</v>
      </c>
      <c r="T125" t="s">
        <v>1112</v>
      </c>
      <c r="U125" t="s">
        <v>1</v>
      </c>
      <c r="V125" t="s">
        <v>1312</v>
      </c>
      <c r="W125" t="s">
        <v>1310</v>
      </c>
      <c r="X125" t="s">
        <v>1313</v>
      </c>
      <c r="Y125">
        <v>1</v>
      </c>
      <c r="AB125" t="s">
        <v>1013</v>
      </c>
      <c r="AC125" t="s">
        <v>1500</v>
      </c>
      <c r="AD125" t="s">
        <v>964</v>
      </c>
    </row>
    <row r="126" spans="1:30" x14ac:dyDescent="0.15">
      <c r="A126">
        <v>249407</v>
      </c>
      <c r="B126" t="s">
        <v>1002</v>
      </c>
      <c r="C126" t="s">
        <v>1476</v>
      </c>
      <c r="D126" t="s">
        <v>1004</v>
      </c>
      <c r="E126" t="s">
        <v>1501</v>
      </c>
      <c r="F126" t="s">
        <v>1320</v>
      </c>
      <c r="G126" t="s">
        <v>1497</v>
      </c>
      <c r="H126" t="s">
        <v>1502</v>
      </c>
      <c r="I126" t="s">
        <v>1043</v>
      </c>
      <c r="K126" t="s">
        <v>142</v>
      </c>
      <c r="L126" t="s">
        <v>76</v>
      </c>
      <c r="N126" t="s">
        <v>1109</v>
      </c>
      <c r="O126">
        <v>0</v>
      </c>
      <c r="P126">
        <v>2</v>
      </c>
      <c r="Q126">
        <v>3</v>
      </c>
      <c r="R126" t="s">
        <v>1310</v>
      </c>
      <c r="S126" t="s">
        <v>1503</v>
      </c>
      <c r="T126" t="s">
        <v>1112</v>
      </c>
      <c r="U126" t="s">
        <v>1</v>
      </c>
      <c r="V126" t="s">
        <v>1312</v>
      </c>
      <c r="W126" t="s">
        <v>1310</v>
      </c>
      <c r="X126" t="s">
        <v>1504</v>
      </c>
      <c r="Y126">
        <v>2</v>
      </c>
      <c r="AB126" t="s">
        <v>1013</v>
      </c>
      <c r="AC126" t="s">
        <v>1505</v>
      </c>
      <c r="AD126" t="s">
        <v>964</v>
      </c>
    </row>
    <row r="127" spans="1:30" x14ac:dyDescent="0.15">
      <c r="A127">
        <v>254219</v>
      </c>
      <c r="B127" t="s">
        <v>1002</v>
      </c>
      <c r="C127" t="s">
        <v>1506</v>
      </c>
      <c r="D127" t="s">
        <v>1004</v>
      </c>
      <c r="E127" t="s">
        <v>1507</v>
      </c>
      <c r="F127" t="s">
        <v>1508</v>
      </c>
      <c r="G127" t="s">
        <v>1509</v>
      </c>
      <c r="H127" t="s">
        <v>1510</v>
      </c>
      <c r="I127" t="s">
        <v>1037</v>
      </c>
      <c r="K127" t="s">
        <v>1010</v>
      </c>
      <c r="L127" t="s">
        <v>76</v>
      </c>
      <c r="N127" t="s">
        <v>1011</v>
      </c>
      <c r="O127">
        <v>0</v>
      </c>
      <c r="P127">
        <v>0</v>
      </c>
      <c r="Q127">
        <v>5</v>
      </c>
      <c r="U127" t="s">
        <v>1</v>
      </c>
      <c r="V127" t="s">
        <v>1511</v>
      </c>
      <c r="Y127">
        <v>1</v>
      </c>
      <c r="AB127" t="s">
        <v>1013</v>
      </c>
      <c r="AD127" t="s">
        <v>964</v>
      </c>
    </row>
    <row r="128" spans="1:30" x14ac:dyDescent="0.15">
      <c r="A128">
        <v>254220</v>
      </c>
      <c r="B128" t="s">
        <v>1002</v>
      </c>
      <c r="C128" t="s">
        <v>1506</v>
      </c>
      <c r="D128" t="s">
        <v>1004</v>
      </c>
      <c r="E128" t="s">
        <v>1512</v>
      </c>
      <c r="F128" t="s">
        <v>1508</v>
      </c>
      <c r="G128" t="s">
        <v>1513</v>
      </c>
      <c r="H128" t="s">
        <v>1514</v>
      </c>
      <c r="I128" t="s">
        <v>1049</v>
      </c>
      <c r="K128" t="s">
        <v>1010</v>
      </c>
      <c r="L128" t="s">
        <v>76</v>
      </c>
      <c r="N128" t="s">
        <v>1011</v>
      </c>
      <c r="O128">
        <v>0</v>
      </c>
      <c r="P128">
        <v>0</v>
      </c>
      <c r="Q128">
        <v>7</v>
      </c>
      <c r="U128" t="s">
        <v>1</v>
      </c>
      <c r="V128" t="s">
        <v>1511</v>
      </c>
      <c r="Y128">
        <v>1</v>
      </c>
      <c r="AB128" t="s">
        <v>1013</v>
      </c>
      <c r="AD128" t="s">
        <v>964</v>
      </c>
    </row>
    <row r="129" spans="1:30" x14ac:dyDescent="0.15">
      <c r="A129">
        <v>254221</v>
      </c>
      <c r="B129" t="s">
        <v>1002</v>
      </c>
      <c r="C129" t="s">
        <v>1506</v>
      </c>
      <c r="D129" t="s">
        <v>1004</v>
      </c>
      <c r="E129" t="s">
        <v>1515</v>
      </c>
      <c r="F129" t="s">
        <v>1508</v>
      </c>
      <c r="G129" t="s">
        <v>1516</v>
      </c>
      <c r="H129" t="s">
        <v>1517</v>
      </c>
      <c r="I129" t="s">
        <v>1518</v>
      </c>
      <c r="K129" t="s">
        <v>1010</v>
      </c>
      <c r="L129" t="s">
        <v>76</v>
      </c>
      <c r="N129" t="s">
        <v>1011</v>
      </c>
      <c r="O129">
        <v>0</v>
      </c>
      <c r="P129">
        <v>0</v>
      </c>
      <c r="Q129">
        <v>13</v>
      </c>
      <c r="U129" t="s">
        <v>1</v>
      </c>
      <c r="V129" t="s">
        <v>1511</v>
      </c>
      <c r="Y129">
        <v>1</v>
      </c>
      <c r="AB129" t="s">
        <v>1013</v>
      </c>
      <c r="AD129" t="s">
        <v>964</v>
      </c>
    </row>
    <row r="130" spans="1:30" x14ac:dyDescent="0.15">
      <c r="A130">
        <v>254222</v>
      </c>
      <c r="B130" t="s">
        <v>1002</v>
      </c>
      <c r="C130" t="s">
        <v>1506</v>
      </c>
      <c r="D130" t="s">
        <v>1004</v>
      </c>
      <c r="E130" t="s">
        <v>1519</v>
      </c>
      <c r="F130" t="s">
        <v>1508</v>
      </c>
      <c r="G130" t="s">
        <v>1520</v>
      </c>
      <c r="H130" t="s">
        <v>1521</v>
      </c>
      <c r="I130" t="s">
        <v>1522</v>
      </c>
      <c r="K130" t="s">
        <v>1010</v>
      </c>
      <c r="L130" t="s">
        <v>76</v>
      </c>
      <c r="N130" t="s">
        <v>1011</v>
      </c>
      <c r="O130">
        <v>0</v>
      </c>
      <c r="P130">
        <v>0</v>
      </c>
      <c r="Q130">
        <v>14</v>
      </c>
      <c r="U130" t="s">
        <v>1</v>
      </c>
      <c r="V130" t="s">
        <v>1511</v>
      </c>
      <c r="Y130">
        <v>1</v>
      </c>
      <c r="AB130" t="s">
        <v>1013</v>
      </c>
      <c r="AD130" t="s">
        <v>964</v>
      </c>
    </row>
    <row r="131" spans="1:30" x14ac:dyDescent="0.15">
      <c r="A131">
        <v>254223</v>
      </c>
      <c r="B131" t="s">
        <v>1002</v>
      </c>
      <c r="C131" t="s">
        <v>1506</v>
      </c>
      <c r="D131" t="s">
        <v>1004</v>
      </c>
      <c r="E131" t="s">
        <v>1523</v>
      </c>
      <c r="F131" t="s">
        <v>1508</v>
      </c>
      <c r="G131" t="s">
        <v>1524</v>
      </c>
      <c r="H131" t="s">
        <v>1525</v>
      </c>
      <c r="I131" t="s">
        <v>1526</v>
      </c>
      <c r="K131" t="s">
        <v>1010</v>
      </c>
      <c r="L131" t="s">
        <v>76</v>
      </c>
      <c r="N131" t="s">
        <v>1011</v>
      </c>
      <c r="O131">
        <v>0</v>
      </c>
      <c r="P131">
        <v>0</v>
      </c>
      <c r="Q131">
        <v>11</v>
      </c>
      <c r="U131" t="s">
        <v>1</v>
      </c>
      <c r="V131" t="s">
        <v>1511</v>
      </c>
      <c r="Y131">
        <v>1</v>
      </c>
      <c r="AB131" t="s">
        <v>1013</v>
      </c>
      <c r="AD131" t="s">
        <v>964</v>
      </c>
    </row>
    <row r="132" spans="1:30" x14ac:dyDescent="0.15">
      <c r="A132">
        <v>254224</v>
      </c>
      <c r="B132" t="s">
        <v>1002</v>
      </c>
      <c r="C132" t="s">
        <v>1506</v>
      </c>
      <c r="D132" t="s">
        <v>1004</v>
      </c>
      <c r="E132" t="s">
        <v>1527</v>
      </c>
      <c r="F132" t="s">
        <v>1508</v>
      </c>
      <c r="G132" t="s">
        <v>1528</v>
      </c>
      <c r="H132" t="s">
        <v>1529</v>
      </c>
      <c r="I132" t="s">
        <v>1530</v>
      </c>
      <c r="K132" t="s">
        <v>1010</v>
      </c>
      <c r="L132" t="s">
        <v>76</v>
      </c>
      <c r="N132" t="s">
        <v>1011</v>
      </c>
      <c r="O132">
        <v>0</v>
      </c>
      <c r="P132">
        <v>0</v>
      </c>
      <c r="Q132">
        <v>12</v>
      </c>
      <c r="U132" t="s">
        <v>1</v>
      </c>
      <c r="V132" t="s">
        <v>1511</v>
      </c>
      <c r="Y132">
        <v>1</v>
      </c>
      <c r="AB132" t="s">
        <v>1013</v>
      </c>
      <c r="AD132" t="s">
        <v>964</v>
      </c>
    </row>
    <row r="133" spans="1:30" x14ac:dyDescent="0.15">
      <c r="A133">
        <v>254225</v>
      </c>
      <c r="B133" t="s">
        <v>1002</v>
      </c>
      <c r="C133" t="s">
        <v>1506</v>
      </c>
      <c r="D133" t="s">
        <v>1004</v>
      </c>
      <c r="E133" t="s">
        <v>1531</v>
      </c>
      <c r="F133" t="s">
        <v>1508</v>
      </c>
      <c r="G133" t="s">
        <v>1532</v>
      </c>
      <c r="H133" t="s">
        <v>1529</v>
      </c>
      <c r="I133" t="s">
        <v>1530</v>
      </c>
      <c r="K133" t="s">
        <v>1010</v>
      </c>
      <c r="L133" t="s">
        <v>76</v>
      </c>
      <c r="N133" t="s">
        <v>1011</v>
      </c>
      <c r="O133">
        <v>0</v>
      </c>
      <c r="P133">
        <v>0</v>
      </c>
      <c r="Q133">
        <v>12</v>
      </c>
      <c r="U133" t="s">
        <v>1</v>
      </c>
      <c r="V133" t="s">
        <v>1511</v>
      </c>
      <c r="Y133">
        <v>1</v>
      </c>
      <c r="AB133" t="s">
        <v>1013</v>
      </c>
      <c r="AD133" t="s">
        <v>964</v>
      </c>
    </row>
    <row r="134" spans="1:30" x14ac:dyDescent="0.15">
      <c r="A134">
        <v>254226</v>
      </c>
      <c r="B134" t="s">
        <v>1002</v>
      </c>
      <c r="C134" t="s">
        <v>1506</v>
      </c>
      <c r="D134" t="s">
        <v>1004</v>
      </c>
      <c r="E134" t="s">
        <v>1533</v>
      </c>
      <c r="F134" t="s">
        <v>1508</v>
      </c>
      <c r="G134" t="s">
        <v>1534</v>
      </c>
      <c r="H134" t="s">
        <v>1529</v>
      </c>
      <c r="I134" t="s">
        <v>1530</v>
      </c>
      <c r="K134" t="s">
        <v>1010</v>
      </c>
      <c r="L134" t="s">
        <v>76</v>
      </c>
      <c r="N134" t="s">
        <v>1011</v>
      </c>
      <c r="O134">
        <v>0</v>
      </c>
      <c r="P134">
        <v>0</v>
      </c>
      <c r="Q134">
        <v>12</v>
      </c>
      <c r="U134" t="s">
        <v>1</v>
      </c>
      <c r="V134" t="s">
        <v>1511</v>
      </c>
      <c r="Y134">
        <v>1</v>
      </c>
      <c r="AB134" t="s">
        <v>1013</v>
      </c>
      <c r="AD134" t="s">
        <v>964</v>
      </c>
    </row>
    <row r="135" spans="1:30" x14ac:dyDescent="0.15">
      <c r="A135">
        <v>254227</v>
      </c>
      <c r="B135" t="s">
        <v>1002</v>
      </c>
      <c r="C135" t="s">
        <v>1506</v>
      </c>
      <c r="D135" t="s">
        <v>1004</v>
      </c>
      <c r="E135" t="s">
        <v>1535</v>
      </c>
      <c r="F135" t="s">
        <v>1508</v>
      </c>
      <c r="G135" t="s">
        <v>1536</v>
      </c>
      <c r="H135" t="s">
        <v>1537</v>
      </c>
      <c r="I135" t="s">
        <v>1538</v>
      </c>
      <c r="K135" t="s">
        <v>1010</v>
      </c>
      <c r="L135" t="s">
        <v>76</v>
      </c>
      <c r="N135" t="s">
        <v>1011</v>
      </c>
      <c r="O135">
        <v>0</v>
      </c>
      <c r="P135">
        <v>0</v>
      </c>
      <c r="Q135">
        <v>10</v>
      </c>
      <c r="U135" t="s">
        <v>1</v>
      </c>
      <c r="V135" t="s">
        <v>1511</v>
      </c>
      <c r="Y135">
        <v>1</v>
      </c>
      <c r="AB135" t="s">
        <v>1013</v>
      </c>
      <c r="AD135" t="s">
        <v>964</v>
      </c>
    </row>
    <row r="136" spans="1:30" x14ac:dyDescent="0.15">
      <c r="A136">
        <v>254228</v>
      </c>
      <c r="B136" t="s">
        <v>1002</v>
      </c>
      <c r="C136" t="s">
        <v>1506</v>
      </c>
      <c r="D136" t="s">
        <v>1004</v>
      </c>
      <c r="E136" t="s">
        <v>1539</v>
      </c>
      <c r="F136" t="s">
        <v>1508</v>
      </c>
      <c r="G136" t="s">
        <v>1540</v>
      </c>
      <c r="H136" t="s">
        <v>1529</v>
      </c>
      <c r="I136" t="s">
        <v>1530</v>
      </c>
      <c r="K136" t="s">
        <v>1010</v>
      </c>
      <c r="L136" t="s">
        <v>76</v>
      </c>
      <c r="N136" t="s">
        <v>1011</v>
      </c>
      <c r="O136">
        <v>0</v>
      </c>
      <c r="P136">
        <v>0</v>
      </c>
      <c r="Q136">
        <v>12</v>
      </c>
      <c r="U136" t="s">
        <v>1</v>
      </c>
      <c r="V136" t="s">
        <v>1511</v>
      </c>
      <c r="Y136">
        <v>1</v>
      </c>
      <c r="AB136" t="s">
        <v>1013</v>
      </c>
      <c r="AD136" t="s">
        <v>964</v>
      </c>
    </row>
    <row r="137" spans="1:30" x14ac:dyDescent="0.15">
      <c r="A137">
        <v>254229</v>
      </c>
      <c r="B137" t="s">
        <v>1002</v>
      </c>
      <c r="C137" t="s">
        <v>1506</v>
      </c>
      <c r="D137" t="s">
        <v>1004</v>
      </c>
      <c r="E137" t="s">
        <v>1541</v>
      </c>
      <c r="F137" t="s">
        <v>1508</v>
      </c>
      <c r="G137" t="s">
        <v>1542</v>
      </c>
      <c r="H137" t="s">
        <v>1543</v>
      </c>
      <c r="I137" t="s">
        <v>1544</v>
      </c>
      <c r="K137" t="s">
        <v>1010</v>
      </c>
      <c r="L137" t="s">
        <v>76</v>
      </c>
      <c r="N137" t="s">
        <v>1011</v>
      </c>
      <c r="O137">
        <v>0</v>
      </c>
      <c r="P137">
        <v>0</v>
      </c>
      <c r="Q137">
        <v>16</v>
      </c>
      <c r="U137" t="s">
        <v>1</v>
      </c>
      <c r="V137" t="s">
        <v>1511</v>
      </c>
      <c r="Y137">
        <v>1</v>
      </c>
      <c r="AB137" t="s">
        <v>1013</v>
      </c>
      <c r="AD137" t="s">
        <v>964</v>
      </c>
    </row>
    <row r="138" spans="1:30" x14ac:dyDescent="0.15">
      <c r="A138">
        <v>254230</v>
      </c>
      <c r="B138" t="s">
        <v>1002</v>
      </c>
      <c r="C138" t="s">
        <v>1506</v>
      </c>
      <c r="D138" t="s">
        <v>1004</v>
      </c>
      <c r="E138" t="s">
        <v>1545</v>
      </c>
      <c r="F138" t="s">
        <v>1508</v>
      </c>
      <c r="G138" t="s">
        <v>1546</v>
      </c>
      <c r="H138" t="s">
        <v>1543</v>
      </c>
      <c r="I138" t="s">
        <v>1544</v>
      </c>
      <c r="K138" t="s">
        <v>1010</v>
      </c>
      <c r="L138" t="s">
        <v>76</v>
      </c>
      <c r="N138" t="s">
        <v>1011</v>
      </c>
      <c r="O138">
        <v>0</v>
      </c>
      <c r="P138">
        <v>0</v>
      </c>
      <c r="Q138">
        <v>16</v>
      </c>
      <c r="U138" t="s">
        <v>1</v>
      </c>
      <c r="V138" t="s">
        <v>1511</v>
      </c>
      <c r="Y138">
        <v>1</v>
      </c>
      <c r="AB138" t="s">
        <v>1013</v>
      </c>
      <c r="AD138" t="s">
        <v>964</v>
      </c>
    </row>
    <row r="139" spans="1:30" x14ac:dyDescent="0.15">
      <c r="A139">
        <v>254231</v>
      </c>
      <c r="B139" t="s">
        <v>1002</v>
      </c>
      <c r="C139" t="s">
        <v>1506</v>
      </c>
      <c r="D139" t="s">
        <v>1004</v>
      </c>
      <c r="E139" t="s">
        <v>1547</v>
      </c>
      <c r="F139" t="s">
        <v>1508</v>
      </c>
      <c r="G139" t="s">
        <v>1548</v>
      </c>
      <c r="H139" t="s">
        <v>1514</v>
      </c>
      <c r="I139" t="s">
        <v>1049</v>
      </c>
      <c r="K139" t="s">
        <v>1010</v>
      </c>
      <c r="L139" t="s">
        <v>76</v>
      </c>
      <c r="N139" t="s">
        <v>1011</v>
      </c>
      <c r="O139">
        <v>0</v>
      </c>
      <c r="P139">
        <v>0</v>
      </c>
      <c r="Q139">
        <v>7</v>
      </c>
      <c r="U139" t="s">
        <v>1</v>
      </c>
      <c r="V139" t="s">
        <v>1511</v>
      </c>
      <c r="Y139">
        <v>1</v>
      </c>
      <c r="AB139" t="s">
        <v>1013</v>
      </c>
      <c r="AD139" t="s">
        <v>964</v>
      </c>
    </row>
    <row r="140" spans="1:30" x14ac:dyDescent="0.15">
      <c r="A140">
        <v>254232</v>
      </c>
      <c r="B140" t="s">
        <v>1002</v>
      </c>
      <c r="C140" t="s">
        <v>1506</v>
      </c>
      <c r="D140" t="s">
        <v>1004</v>
      </c>
      <c r="E140" t="s">
        <v>1549</v>
      </c>
      <c r="F140" t="s">
        <v>1508</v>
      </c>
      <c r="G140" t="s">
        <v>1550</v>
      </c>
      <c r="H140" t="s">
        <v>1525</v>
      </c>
      <c r="I140" t="s">
        <v>1526</v>
      </c>
      <c r="K140" t="s">
        <v>1010</v>
      </c>
      <c r="L140" t="s">
        <v>76</v>
      </c>
      <c r="N140" t="s">
        <v>1011</v>
      </c>
      <c r="O140">
        <v>0</v>
      </c>
      <c r="P140">
        <v>0</v>
      </c>
      <c r="Q140">
        <v>11</v>
      </c>
      <c r="U140" t="s">
        <v>1</v>
      </c>
      <c r="V140" t="s">
        <v>1511</v>
      </c>
      <c r="Y140">
        <v>1</v>
      </c>
      <c r="AB140" t="s">
        <v>1013</v>
      </c>
      <c r="AD140" t="s">
        <v>964</v>
      </c>
    </row>
    <row r="141" spans="1:30" x14ac:dyDescent="0.15">
      <c r="A141">
        <v>254233</v>
      </c>
      <c r="B141" t="s">
        <v>1002</v>
      </c>
      <c r="C141" t="s">
        <v>1506</v>
      </c>
      <c r="D141" t="s">
        <v>1004</v>
      </c>
      <c r="E141" t="s">
        <v>1551</v>
      </c>
      <c r="F141" t="s">
        <v>1508</v>
      </c>
      <c r="G141" t="s">
        <v>1552</v>
      </c>
      <c r="H141" t="s">
        <v>1553</v>
      </c>
      <c r="I141" t="s">
        <v>1009</v>
      </c>
      <c r="K141" t="s">
        <v>1010</v>
      </c>
      <c r="L141" t="s">
        <v>76</v>
      </c>
      <c r="N141" t="s">
        <v>1011</v>
      </c>
      <c r="O141">
        <v>0</v>
      </c>
      <c r="P141">
        <v>0</v>
      </c>
      <c r="Q141">
        <v>4</v>
      </c>
      <c r="U141" t="s">
        <v>1</v>
      </c>
      <c r="V141" t="s">
        <v>1511</v>
      </c>
      <c r="Y141">
        <v>1</v>
      </c>
      <c r="AB141" t="s">
        <v>1013</v>
      </c>
      <c r="AD141" t="s">
        <v>964</v>
      </c>
    </row>
    <row r="142" spans="1:30" x14ac:dyDescent="0.15">
      <c r="A142">
        <v>254234</v>
      </c>
      <c r="B142" t="s">
        <v>1002</v>
      </c>
      <c r="C142" t="s">
        <v>1506</v>
      </c>
      <c r="D142" t="s">
        <v>1004</v>
      </c>
      <c r="E142" t="s">
        <v>1554</v>
      </c>
      <c r="F142" t="s">
        <v>1508</v>
      </c>
      <c r="G142" t="s">
        <v>1555</v>
      </c>
      <c r="H142" t="s">
        <v>1556</v>
      </c>
      <c r="I142" t="s">
        <v>1557</v>
      </c>
      <c r="K142" t="s">
        <v>1010</v>
      </c>
      <c r="L142" t="s">
        <v>76</v>
      </c>
      <c r="N142" t="s">
        <v>1011</v>
      </c>
      <c r="O142">
        <v>0</v>
      </c>
      <c r="P142">
        <v>0</v>
      </c>
      <c r="Q142">
        <v>9</v>
      </c>
      <c r="U142" t="s">
        <v>1</v>
      </c>
      <c r="V142" t="s">
        <v>1511</v>
      </c>
      <c r="Y142">
        <v>1</v>
      </c>
      <c r="AB142" t="s">
        <v>1013</v>
      </c>
      <c r="AD142" t="s">
        <v>964</v>
      </c>
    </row>
    <row r="143" spans="1:30" x14ac:dyDescent="0.15">
      <c r="A143">
        <v>254235</v>
      </c>
      <c r="B143" t="s">
        <v>1002</v>
      </c>
      <c r="C143" t="s">
        <v>1506</v>
      </c>
      <c r="D143" t="s">
        <v>1004</v>
      </c>
      <c r="E143" t="s">
        <v>1558</v>
      </c>
      <c r="F143" t="s">
        <v>1508</v>
      </c>
      <c r="G143" t="s">
        <v>1559</v>
      </c>
      <c r="H143" t="s">
        <v>1525</v>
      </c>
      <c r="I143" t="s">
        <v>1526</v>
      </c>
      <c r="K143" t="s">
        <v>1010</v>
      </c>
      <c r="L143" t="s">
        <v>76</v>
      </c>
      <c r="N143" t="s">
        <v>1011</v>
      </c>
      <c r="O143">
        <v>0</v>
      </c>
      <c r="P143">
        <v>0</v>
      </c>
      <c r="Q143">
        <v>11</v>
      </c>
      <c r="U143" t="s">
        <v>1</v>
      </c>
      <c r="V143" t="s">
        <v>1511</v>
      </c>
      <c r="Y143">
        <v>1</v>
      </c>
      <c r="AB143" t="s">
        <v>1013</v>
      </c>
      <c r="AD143" t="s">
        <v>964</v>
      </c>
    </row>
    <row r="144" spans="1:30" x14ac:dyDescent="0.15">
      <c r="A144">
        <v>254236</v>
      </c>
      <c r="B144" t="s">
        <v>1002</v>
      </c>
      <c r="C144" t="s">
        <v>1506</v>
      </c>
      <c r="D144" t="s">
        <v>1004</v>
      </c>
      <c r="E144" t="s">
        <v>1560</v>
      </c>
      <c r="F144" t="s">
        <v>1508</v>
      </c>
      <c r="G144" t="s">
        <v>1561</v>
      </c>
      <c r="H144" t="s">
        <v>1562</v>
      </c>
      <c r="I144" t="s">
        <v>1009</v>
      </c>
      <c r="K144" t="s">
        <v>1010</v>
      </c>
      <c r="L144" t="s">
        <v>76</v>
      </c>
      <c r="N144" t="s">
        <v>1011</v>
      </c>
      <c r="O144">
        <v>0</v>
      </c>
      <c r="P144">
        <v>0</v>
      </c>
      <c r="Q144">
        <v>4</v>
      </c>
      <c r="U144" t="s">
        <v>1</v>
      </c>
      <c r="V144" t="s">
        <v>1511</v>
      </c>
      <c r="Y144">
        <v>1</v>
      </c>
      <c r="AB144" t="s">
        <v>1013</v>
      </c>
      <c r="AD144" t="s">
        <v>964</v>
      </c>
    </row>
    <row r="145" spans="1:30" x14ac:dyDescent="0.15">
      <c r="A145">
        <v>254237</v>
      </c>
      <c r="B145" t="s">
        <v>1002</v>
      </c>
      <c r="C145" t="s">
        <v>1506</v>
      </c>
      <c r="D145" t="s">
        <v>1004</v>
      </c>
      <c r="E145" t="s">
        <v>1563</v>
      </c>
      <c r="F145" t="s">
        <v>1508</v>
      </c>
      <c r="G145" t="s">
        <v>1564</v>
      </c>
      <c r="H145" t="s">
        <v>1565</v>
      </c>
      <c r="I145" t="s">
        <v>1293</v>
      </c>
      <c r="K145" t="s">
        <v>1010</v>
      </c>
      <c r="L145" t="s">
        <v>76</v>
      </c>
      <c r="N145" t="s">
        <v>1011</v>
      </c>
      <c r="O145">
        <v>0</v>
      </c>
      <c r="P145">
        <v>0</v>
      </c>
      <c r="Q145">
        <v>6</v>
      </c>
      <c r="U145" t="s">
        <v>1</v>
      </c>
      <c r="V145" t="s">
        <v>1511</v>
      </c>
      <c r="Y145">
        <v>1</v>
      </c>
      <c r="AB145" t="s">
        <v>1013</v>
      </c>
      <c r="AD145" t="s">
        <v>964</v>
      </c>
    </row>
    <row r="146" spans="1:30" x14ac:dyDescent="0.15">
      <c r="A146">
        <v>254238</v>
      </c>
      <c r="B146" t="s">
        <v>1002</v>
      </c>
      <c r="C146" t="s">
        <v>1506</v>
      </c>
      <c r="D146" t="s">
        <v>1004</v>
      </c>
      <c r="E146" t="s">
        <v>1566</v>
      </c>
      <c r="F146" t="s">
        <v>1508</v>
      </c>
      <c r="G146" t="s">
        <v>1567</v>
      </c>
      <c r="H146" t="s">
        <v>1568</v>
      </c>
      <c r="I146" t="s">
        <v>1518</v>
      </c>
      <c r="K146" t="s">
        <v>1010</v>
      </c>
      <c r="L146" t="s">
        <v>76</v>
      </c>
      <c r="N146" t="s">
        <v>1011</v>
      </c>
      <c r="O146">
        <v>0</v>
      </c>
      <c r="P146">
        <v>0</v>
      </c>
      <c r="Q146">
        <v>13</v>
      </c>
      <c r="U146" t="s">
        <v>1</v>
      </c>
      <c r="V146" t="s">
        <v>1511</v>
      </c>
      <c r="Y146">
        <v>1</v>
      </c>
      <c r="AB146" t="s">
        <v>1013</v>
      </c>
      <c r="AD146" t="s">
        <v>964</v>
      </c>
    </row>
    <row r="147" spans="1:30" x14ac:dyDescent="0.15">
      <c r="A147">
        <v>254239</v>
      </c>
      <c r="B147" t="s">
        <v>1002</v>
      </c>
      <c r="C147" t="s">
        <v>1506</v>
      </c>
      <c r="D147" t="s">
        <v>1004</v>
      </c>
      <c r="E147" t="s">
        <v>1569</v>
      </c>
      <c r="F147" t="s">
        <v>1508</v>
      </c>
      <c r="G147" t="s">
        <v>1570</v>
      </c>
      <c r="H147" t="s">
        <v>1571</v>
      </c>
      <c r="I147" t="s">
        <v>1522</v>
      </c>
      <c r="K147" t="s">
        <v>1010</v>
      </c>
      <c r="L147" t="s">
        <v>76</v>
      </c>
      <c r="N147" t="s">
        <v>1011</v>
      </c>
      <c r="O147">
        <v>0</v>
      </c>
      <c r="P147">
        <v>0</v>
      </c>
      <c r="Q147">
        <v>14</v>
      </c>
      <c r="U147" t="s">
        <v>1</v>
      </c>
      <c r="V147" t="s">
        <v>1511</v>
      </c>
      <c r="Y147">
        <v>1</v>
      </c>
      <c r="AB147" t="s">
        <v>1013</v>
      </c>
      <c r="AD147" t="s">
        <v>964</v>
      </c>
    </row>
    <row r="148" spans="1:30" x14ac:dyDescent="0.15">
      <c r="A148">
        <v>254240</v>
      </c>
      <c r="B148" t="s">
        <v>1002</v>
      </c>
      <c r="C148" t="s">
        <v>1506</v>
      </c>
      <c r="D148" t="s">
        <v>1004</v>
      </c>
      <c r="E148" t="s">
        <v>1572</v>
      </c>
      <c r="F148" t="s">
        <v>1508</v>
      </c>
      <c r="G148" t="s">
        <v>1573</v>
      </c>
      <c r="H148" t="s">
        <v>1574</v>
      </c>
      <c r="I148" t="s">
        <v>1526</v>
      </c>
      <c r="K148" t="s">
        <v>1010</v>
      </c>
      <c r="L148" t="s">
        <v>76</v>
      </c>
      <c r="N148" t="s">
        <v>1011</v>
      </c>
      <c r="O148">
        <v>0</v>
      </c>
      <c r="P148">
        <v>0</v>
      </c>
      <c r="Q148">
        <v>11</v>
      </c>
      <c r="U148" t="s">
        <v>1</v>
      </c>
      <c r="V148" t="s">
        <v>1511</v>
      </c>
      <c r="Y148">
        <v>1</v>
      </c>
      <c r="AB148" t="s">
        <v>1013</v>
      </c>
      <c r="AD148" t="s">
        <v>964</v>
      </c>
    </row>
    <row r="149" spans="1:30" x14ac:dyDescent="0.15">
      <c r="A149">
        <v>254241</v>
      </c>
      <c r="B149" t="s">
        <v>1002</v>
      </c>
      <c r="C149" t="s">
        <v>1506</v>
      </c>
      <c r="D149" t="s">
        <v>1004</v>
      </c>
      <c r="E149" t="s">
        <v>1575</v>
      </c>
      <c r="F149" t="s">
        <v>1508</v>
      </c>
      <c r="G149" t="s">
        <v>1576</v>
      </c>
      <c r="H149" t="s">
        <v>1577</v>
      </c>
      <c r="I149" t="s">
        <v>1530</v>
      </c>
      <c r="K149" t="s">
        <v>1010</v>
      </c>
      <c r="L149" t="s">
        <v>76</v>
      </c>
      <c r="N149" t="s">
        <v>1011</v>
      </c>
      <c r="O149">
        <v>0</v>
      </c>
      <c r="P149">
        <v>0</v>
      </c>
      <c r="Q149">
        <v>12</v>
      </c>
      <c r="U149" t="s">
        <v>1</v>
      </c>
      <c r="V149" t="s">
        <v>1511</v>
      </c>
      <c r="Y149">
        <v>1</v>
      </c>
      <c r="AB149" t="s">
        <v>1013</v>
      </c>
      <c r="AD149" t="s">
        <v>964</v>
      </c>
    </row>
    <row r="150" spans="1:30" x14ac:dyDescent="0.15">
      <c r="A150">
        <v>254242</v>
      </c>
      <c r="B150" t="s">
        <v>1002</v>
      </c>
      <c r="C150" t="s">
        <v>1506</v>
      </c>
      <c r="D150" t="s">
        <v>1004</v>
      </c>
      <c r="E150" t="s">
        <v>1578</v>
      </c>
      <c r="F150" t="s">
        <v>1508</v>
      </c>
      <c r="G150" t="s">
        <v>1579</v>
      </c>
      <c r="H150" t="s">
        <v>1577</v>
      </c>
      <c r="I150" t="s">
        <v>1530</v>
      </c>
      <c r="K150" t="s">
        <v>1010</v>
      </c>
      <c r="L150" t="s">
        <v>76</v>
      </c>
      <c r="N150" t="s">
        <v>1011</v>
      </c>
      <c r="O150">
        <v>0</v>
      </c>
      <c r="P150">
        <v>0</v>
      </c>
      <c r="Q150">
        <v>12</v>
      </c>
      <c r="U150" t="s">
        <v>1</v>
      </c>
      <c r="V150" t="s">
        <v>1511</v>
      </c>
      <c r="Y150">
        <v>1</v>
      </c>
      <c r="AB150" t="s">
        <v>1013</v>
      </c>
      <c r="AD150" t="s">
        <v>964</v>
      </c>
    </row>
    <row r="151" spans="1:30" x14ac:dyDescent="0.15">
      <c r="A151">
        <v>254243</v>
      </c>
      <c r="B151" t="s">
        <v>1002</v>
      </c>
      <c r="C151" t="s">
        <v>1506</v>
      </c>
      <c r="D151" t="s">
        <v>1004</v>
      </c>
      <c r="E151" t="s">
        <v>1580</v>
      </c>
      <c r="F151" t="s">
        <v>1508</v>
      </c>
      <c r="G151" t="s">
        <v>1581</v>
      </c>
      <c r="H151" t="s">
        <v>1577</v>
      </c>
      <c r="I151" t="s">
        <v>1530</v>
      </c>
      <c r="K151" t="s">
        <v>1010</v>
      </c>
      <c r="L151" t="s">
        <v>76</v>
      </c>
      <c r="N151" t="s">
        <v>1011</v>
      </c>
      <c r="O151">
        <v>0</v>
      </c>
      <c r="P151">
        <v>0</v>
      </c>
      <c r="Q151">
        <v>12</v>
      </c>
      <c r="U151" t="s">
        <v>1</v>
      </c>
      <c r="V151" t="s">
        <v>1511</v>
      </c>
      <c r="Y151">
        <v>1</v>
      </c>
      <c r="AB151" t="s">
        <v>1013</v>
      </c>
      <c r="AD151" t="s">
        <v>964</v>
      </c>
    </row>
    <row r="152" spans="1:30" x14ac:dyDescent="0.15">
      <c r="A152">
        <v>254244</v>
      </c>
      <c r="B152" t="s">
        <v>1002</v>
      </c>
      <c r="C152" t="s">
        <v>1506</v>
      </c>
      <c r="D152" t="s">
        <v>1004</v>
      </c>
      <c r="E152" t="s">
        <v>1582</v>
      </c>
      <c r="F152" t="s">
        <v>1508</v>
      </c>
      <c r="G152" t="s">
        <v>1583</v>
      </c>
      <c r="H152" t="s">
        <v>1584</v>
      </c>
      <c r="I152" t="s">
        <v>1538</v>
      </c>
      <c r="K152" t="s">
        <v>1010</v>
      </c>
      <c r="L152" t="s">
        <v>76</v>
      </c>
      <c r="N152" t="s">
        <v>1011</v>
      </c>
      <c r="O152">
        <v>0</v>
      </c>
      <c r="P152">
        <v>0</v>
      </c>
      <c r="Q152">
        <v>10</v>
      </c>
      <c r="U152" t="s">
        <v>1</v>
      </c>
      <c r="V152" t="s">
        <v>1511</v>
      </c>
      <c r="Y152">
        <v>1</v>
      </c>
      <c r="AB152" t="s">
        <v>1013</v>
      </c>
      <c r="AD152" t="s">
        <v>964</v>
      </c>
    </row>
    <row r="153" spans="1:30" x14ac:dyDescent="0.15">
      <c r="A153">
        <v>254245</v>
      </c>
      <c r="B153" t="s">
        <v>1002</v>
      </c>
      <c r="C153" t="s">
        <v>1506</v>
      </c>
      <c r="D153" t="s">
        <v>1004</v>
      </c>
      <c r="E153" t="s">
        <v>1585</v>
      </c>
      <c r="F153" t="s">
        <v>1508</v>
      </c>
      <c r="G153" t="s">
        <v>1586</v>
      </c>
      <c r="H153" t="s">
        <v>1577</v>
      </c>
      <c r="I153" t="s">
        <v>1530</v>
      </c>
      <c r="K153" t="s">
        <v>1010</v>
      </c>
      <c r="L153" t="s">
        <v>76</v>
      </c>
      <c r="N153" t="s">
        <v>1011</v>
      </c>
      <c r="O153">
        <v>0</v>
      </c>
      <c r="P153">
        <v>0</v>
      </c>
      <c r="Q153">
        <v>12</v>
      </c>
      <c r="U153" t="s">
        <v>1</v>
      </c>
      <c r="V153" t="s">
        <v>1511</v>
      </c>
      <c r="Y153">
        <v>1</v>
      </c>
      <c r="AB153" t="s">
        <v>1013</v>
      </c>
      <c r="AD153" t="s">
        <v>964</v>
      </c>
    </row>
    <row r="154" spans="1:30" x14ac:dyDescent="0.15">
      <c r="A154">
        <v>254246</v>
      </c>
      <c r="B154" t="s">
        <v>1002</v>
      </c>
      <c r="C154" t="s">
        <v>1506</v>
      </c>
      <c r="D154" t="s">
        <v>1004</v>
      </c>
      <c r="E154" t="s">
        <v>1587</v>
      </c>
      <c r="F154" t="s">
        <v>1508</v>
      </c>
      <c r="G154" t="s">
        <v>1588</v>
      </c>
      <c r="H154" t="s">
        <v>1589</v>
      </c>
      <c r="I154" t="s">
        <v>1544</v>
      </c>
      <c r="K154" t="s">
        <v>1010</v>
      </c>
      <c r="L154" t="s">
        <v>76</v>
      </c>
      <c r="N154" t="s">
        <v>1011</v>
      </c>
      <c r="O154">
        <v>0</v>
      </c>
      <c r="P154">
        <v>0</v>
      </c>
      <c r="Q154">
        <v>16</v>
      </c>
      <c r="U154" t="s">
        <v>1</v>
      </c>
      <c r="V154" t="s">
        <v>1511</v>
      </c>
      <c r="Y154">
        <v>1</v>
      </c>
      <c r="AB154" t="s">
        <v>1013</v>
      </c>
      <c r="AD154" t="s">
        <v>964</v>
      </c>
    </row>
    <row r="155" spans="1:30" x14ac:dyDescent="0.15">
      <c r="A155">
        <v>254247</v>
      </c>
      <c r="B155" t="s">
        <v>1002</v>
      </c>
      <c r="C155" t="s">
        <v>1506</v>
      </c>
      <c r="D155" t="s">
        <v>1004</v>
      </c>
      <c r="E155" t="s">
        <v>1590</v>
      </c>
      <c r="F155" t="s">
        <v>1508</v>
      </c>
      <c r="G155" t="s">
        <v>1591</v>
      </c>
      <c r="H155" t="s">
        <v>1589</v>
      </c>
      <c r="I155" t="s">
        <v>1544</v>
      </c>
      <c r="K155" t="s">
        <v>1010</v>
      </c>
      <c r="L155" t="s">
        <v>76</v>
      </c>
      <c r="N155" t="s">
        <v>1011</v>
      </c>
      <c r="O155">
        <v>0</v>
      </c>
      <c r="P155">
        <v>0</v>
      </c>
      <c r="Q155">
        <v>16</v>
      </c>
      <c r="U155" t="s">
        <v>1</v>
      </c>
      <c r="V155" t="s">
        <v>1511</v>
      </c>
      <c r="Y155">
        <v>1</v>
      </c>
      <c r="AB155" t="s">
        <v>1013</v>
      </c>
      <c r="AD155" t="s">
        <v>964</v>
      </c>
    </row>
    <row r="156" spans="1:30" x14ac:dyDescent="0.15">
      <c r="A156">
        <v>254248</v>
      </c>
      <c r="B156" t="s">
        <v>1002</v>
      </c>
      <c r="C156" t="s">
        <v>1506</v>
      </c>
      <c r="D156" t="s">
        <v>1004</v>
      </c>
      <c r="E156" t="s">
        <v>1592</v>
      </c>
      <c r="F156" t="s">
        <v>1508</v>
      </c>
      <c r="G156" t="s">
        <v>1593</v>
      </c>
      <c r="H156" t="s">
        <v>1594</v>
      </c>
      <c r="I156" t="s">
        <v>1049</v>
      </c>
      <c r="K156" t="s">
        <v>1010</v>
      </c>
      <c r="L156" t="s">
        <v>76</v>
      </c>
      <c r="N156" t="s">
        <v>1011</v>
      </c>
      <c r="O156">
        <v>0</v>
      </c>
      <c r="P156">
        <v>0</v>
      </c>
      <c r="Q156">
        <v>7</v>
      </c>
      <c r="U156" t="s">
        <v>1</v>
      </c>
      <c r="V156" t="s">
        <v>1511</v>
      </c>
      <c r="Y156">
        <v>1</v>
      </c>
      <c r="AB156" t="s">
        <v>1013</v>
      </c>
      <c r="AD156" t="s">
        <v>964</v>
      </c>
    </row>
    <row r="157" spans="1:30" x14ac:dyDescent="0.15">
      <c r="A157">
        <v>254249</v>
      </c>
      <c r="B157" t="s">
        <v>1002</v>
      </c>
      <c r="C157" t="s">
        <v>1506</v>
      </c>
      <c r="D157" t="s">
        <v>1004</v>
      </c>
      <c r="E157" t="s">
        <v>1595</v>
      </c>
      <c r="F157" t="s">
        <v>1508</v>
      </c>
      <c r="G157" t="s">
        <v>1596</v>
      </c>
      <c r="H157" t="s">
        <v>1574</v>
      </c>
      <c r="I157" t="s">
        <v>1526</v>
      </c>
      <c r="K157" t="s">
        <v>1010</v>
      </c>
      <c r="L157" t="s">
        <v>76</v>
      </c>
      <c r="N157" t="s">
        <v>1011</v>
      </c>
      <c r="O157">
        <v>0</v>
      </c>
      <c r="P157">
        <v>0</v>
      </c>
      <c r="Q157">
        <v>11</v>
      </c>
      <c r="U157" t="s">
        <v>1</v>
      </c>
      <c r="V157" t="s">
        <v>1511</v>
      </c>
      <c r="Y157">
        <v>1</v>
      </c>
      <c r="AB157" t="s">
        <v>1013</v>
      </c>
      <c r="AD157" t="s">
        <v>964</v>
      </c>
    </row>
    <row r="158" spans="1:30" x14ac:dyDescent="0.15">
      <c r="A158">
        <v>254250</v>
      </c>
      <c r="B158" t="s">
        <v>1002</v>
      </c>
      <c r="C158" t="s">
        <v>1506</v>
      </c>
      <c r="D158" t="s">
        <v>1004</v>
      </c>
      <c r="E158" t="s">
        <v>1597</v>
      </c>
      <c r="F158" t="s">
        <v>1508</v>
      </c>
      <c r="G158" t="s">
        <v>1598</v>
      </c>
      <c r="H158" t="s">
        <v>1562</v>
      </c>
      <c r="I158" t="s">
        <v>1009</v>
      </c>
      <c r="K158" t="s">
        <v>1010</v>
      </c>
      <c r="L158" t="s">
        <v>76</v>
      </c>
      <c r="N158" t="s">
        <v>1011</v>
      </c>
      <c r="O158">
        <v>0</v>
      </c>
      <c r="P158">
        <v>0</v>
      </c>
      <c r="Q158">
        <v>4</v>
      </c>
      <c r="U158" t="s">
        <v>1</v>
      </c>
      <c r="V158" t="s">
        <v>1511</v>
      </c>
      <c r="Y158">
        <v>1</v>
      </c>
      <c r="AB158" t="s">
        <v>1013</v>
      </c>
      <c r="AD158" t="s">
        <v>964</v>
      </c>
    </row>
    <row r="159" spans="1:30" x14ac:dyDescent="0.15">
      <c r="A159">
        <v>254251</v>
      </c>
      <c r="B159" t="s">
        <v>1002</v>
      </c>
      <c r="C159" t="s">
        <v>1506</v>
      </c>
      <c r="D159" t="s">
        <v>1004</v>
      </c>
      <c r="E159" t="s">
        <v>1599</v>
      </c>
      <c r="F159" t="s">
        <v>1508</v>
      </c>
      <c r="G159" t="s">
        <v>1600</v>
      </c>
      <c r="H159" t="s">
        <v>1601</v>
      </c>
      <c r="I159" t="s">
        <v>1557</v>
      </c>
      <c r="K159" t="s">
        <v>1010</v>
      </c>
      <c r="L159" t="s">
        <v>76</v>
      </c>
      <c r="N159" t="s">
        <v>1011</v>
      </c>
      <c r="O159">
        <v>0</v>
      </c>
      <c r="P159">
        <v>0</v>
      </c>
      <c r="Q159">
        <v>9</v>
      </c>
      <c r="U159" t="s">
        <v>1</v>
      </c>
      <c r="V159" t="s">
        <v>1511</v>
      </c>
      <c r="Y159">
        <v>1</v>
      </c>
      <c r="AB159" t="s">
        <v>1013</v>
      </c>
      <c r="AD159" t="s">
        <v>964</v>
      </c>
    </row>
    <row r="160" spans="1:30" x14ac:dyDescent="0.15">
      <c r="A160">
        <v>254252</v>
      </c>
      <c r="B160" t="s">
        <v>1002</v>
      </c>
      <c r="C160" t="s">
        <v>1506</v>
      </c>
      <c r="D160" t="s">
        <v>1004</v>
      </c>
      <c r="E160" t="s">
        <v>1602</v>
      </c>
      <c r="F160" t="s">
        <v>1508</v>
      </c>
      <c r="G160" t="s">
        <v>1603</v>
      </c>
      <c r="H160" t="s">
        <v>1574</v>
      </c>
      <c r="I160" t="s">
        <v>1526</v>
      </c>
      <c r="K160" t="s">
        <v>1010</v>
      </c>
      <c r="L160" t="s">
        <v>76</v>
      </c>
      <c r="N160" t="s">
        <v>1011</v>
      </c>
      <c r="O160">
        <v>0</v>
      </c>
      <c r="P160">
        <v>0</v>
      </c>
      <c r="Q160">
        <v>11</v>
      </c>
      <c r="U160" t="s">
        <v>1</v>
      </c>
      <c r="V160" t="s">
        <v>1511</v>
      </c>
      <c r="Y160">
        <v>1</v>
      </c>
      <c r="AB160" t="s">
        <v>1013</v>
      </c>
      <c r="AD160" t="s">
        <v>964</v>
      </c>
    </row>
    <row r="161" spans="1:30" x14ac:dyDescent="0.15">
      <c r="A161">
        <v>254253</v>
      </c>
      <c r="B161" t="s">
        <v>1002</v>
      </c>
      <c r="C161" t="s">
        <v>1506</v>
      </c>
      <c r="D161" t="s">
        <v>1004</v>
      </c>
      <c r="E161" t="s">
        <v>1604</v>
      </c>
      <c r="F161" t="s">
        <v>1508</v>
      </c>
      <c r="G161" t="s">
        <v>1605</v>
      </c>
      <c r="H161" t="s">
        <v>1606</v>
      </c>
      <c r="I161" t="s">
        <v>1009</v>
      </c>
      <c r="K161" t="s">
        <v>142</v>
      </c>
      <c r="L161" t="s">
        <v>76</v>
      </c>
      <c r="N161" t="s">
        <v>1011</v>
      </c>
      <c r="O161">
        <v>0</v>
      </c>
      <c r="P161">
        <v>0</v>
      </c>
      <c r="Q161">
        <v>4</v>
      </c>
      <c r="U161" t="s">
        <v>1</v>
      </c>
      <c r="V161" t="s">
        <v>1511</v>
      </c>
      <c r="Y161">
        <v>1</v>
      </c>
      <c r="AB161" t="s">
        <v>1013</v>
      </c>
      <c r="AD161" t="s">
        <v>964</v>
      </c>
    </row>
    <row r="162" spans="1:30" x14ac:dyDescent="0.15">
      <c r="A162">
        <v>254254</v>
      </c>
      <c r="B162" t="s">
        <v>1002</v>
      </c>
      <c r="C162" t="s">
        <v>1506</v>
      </c>
      <c r="D162" t="s">
        <v>1004</v>
      </c>
      <c r="E162" t="s">
        <v>1607</v>
      </c>
      <c r="F162" t="s">
        <v>1508</v>
      </c>
      <c r="G162" t="s">
        <v>1608</v>
      </c>
      <c r="H162" t="s">
        <v>1606</v>
      </c>
      <c r="I162" t="s">
        <v>1009</v>
      </c>
      <c r="K162" t="s">
        <v>142</v>
      </c>
      <c r="L162" t="s">
        <v>76</v>
      </c>
      <c r="N162" t="s">
        <v>1011</v>
      </c>
      <c r="O162">
        <v>0</v>
      </c>
      <c r="P162">
        <v>0</v>
      </c>
      <c r="Q162">
        <v>4</v>
      </c>
      <c r="U162" t="s">
        <v>1</v>
      </c>
      <c r="V162" t="s">
        <v>1511</v>
      </c>
      <c r="Y162">
        <v>1</v>
      </c>
      <c r="AB162" t="s">
        <v>1013</v>
      </c>
      <c r="AD162" t="s">
        <v>964</v>
      </c>
    </row>
    <row r="163" spans="1:30" x14ac:dyDescent="0.15">
      <c r="A163">
        <v>254255</v>
      </c>
      <c r="B163" t="s">
        <v>1002</v>
      </c>
      <c r="C163" t="s">
        <v>1506</v>
      </c>
      <c r="D163" t="s">
        <v>1004</v>
      </c>
      <c r="E163" t="s">
        <v>1609</v>
      </c>
      <c r="F163" t="s">
        <v>1508</v>
      </c>
      <c r="G163" t="s">
        <v>1610</v>
      </c>
      <c r="H163" t="s">
        <v>1606</v>
      </c>
      <c r="I163" t="s">
        <v>1009</v>
      </c>
      <c r="K163" t="s">
        <v>142</v>
      </c>
      <c r="L163" t="s">
        <v>76</v>
      </c>
      <c r="N163" t="s">
        <v>1011</v>
      </c>
      <c r="O163">
        <v>0</v>
      </c>
      <c r="P163">
        <v>0</v>
      </c>
      <c r="Q163">
        <v>4</v>
      </c>
      <c r="U163" t="s">
        <v>1</v>
      </c>
      <c r="V163" t="s">
        <v>1511</v>
      </c>
      <c r="Y163">
        <v>1</v>
      </c>
      <c r="AB163" t="s">
        <v>1013</v>
      </c>
      <c r="AD163" t="s">
        <v>964</v>
      </c>
    </row>
    <row r="164" spans="1:30" x14ac:dyDescent="0.15">
      <c r="A164">
        <v>254256</v>
      </c>
      <c r="B164" t="s">
        <v>1002</v>
      </c>
      <c r="C164" t="s">
        <v>1506</v>
      </c>
      <c r="D164" t="s">
        <v>1004</v>
      </c>
      <c r="E164" t="s">
        <v>1611</v>
      </c>
      <c r="F164" t="s">
        <v>1508</v>
      </c>
      <c r="G164" t="s">
        <v>1612</v>
      </c>
      <c r="H164" t="s">
        <v>1606</v>
      </c>
      <c r="I164" t="s">
        <v>1009</v>
      </c>
      <c r="K164" t="s">
        <v>142</v>
      </c>
      <c r="L164" t="s">
        <v>76</v>
      </c>
      <c r="N164" t="s">
        <v>1011</v>
      </c>
      <c r="O164">
        <v>0</v>
      </c>
      <c r="P164">
        <v>0</v>
      </c>
      <c r="Q164">
        <v>4</v>
      </c>
      <c r="U164" t="s">
        <v>1</v>
      </c>
      <c r="V164" t="s">
        <v>1511</v>
      </c>
      <c r="Y164">
        <v>1</v>
      </c>
      <c r="AB164" t="s">
        <v>1013</v>
      </c>
      <c r="AD164" t="s">
        <v>964</v>
      </c>
    </row>
    <row r="165" spans="1:30" x14ac:dyDescent="0.15">
      <c r="A165">
        <v>254257</v>
      </c>
      <c r="B165" t="s">
        <v>1002</v>
      </c>
      <c r="C165" t="s">
        <v>1506</v>
      </c>
      <c r="D165" t="s">
        <v>1004</v>
      </c>
      <c r="E165" t="s">
        <v>1613</v>
      </c>
      <c r="F165" t="s">
        <v>1508</v>
      </c>
      <c r="G165" t="s">
        <v>1614</v>
      </c>
      <c r="H165" t="s">
        <v>1606</v>
      </c>
      <c r="I165" t="s">
        <v>1009</v>
      </c>
      <c r="K165" t="s">
        <v>142</v>
      </c>
      <c r="L165" t="s">
        <v>76</v>
      </c>
      <c r="N165" t="s">
        <v>1011</v>
      </c>
      <c r="O165">
        <v>0</v>
      </c>
      <c r="P165">
        <v>0</v>
      </c>
      <c r="Q165">
        <v>4</v>
      </c>
      <c r="U165" t="s">
        <v>1</v>
      </c>
      <c r="V165" t="s">
        <v>1511</v>
      </c>
      <c r="Y165">
        <v>1</v>
      </c>
      <c r="AB165" t="s">
        <v>1013</v>
      </c>
      <c r="AD165" t="s">
        <v>964</v>
      </c>
    </row>
    <row r="166" spans="1:30" x14ac:dyDescent="0.15">
      <c r="A166">
        <v>254258</v>
      </c>
      <c r="B166" t="s">
        <v>1002</v>
      </c>
      <c r="C166" t="s">
        <v>1506</v>
      </c>
      <c r="D166" t="s">
        <v>1004</v>
      </c>
      <c r="E166" t="s">
        <v>1615</v>
      </c>
      <c r="F166" t="s">
        <v>1508</v>
      </c>
      <c r="G166" t="s">
        <v>1616</v>
      </c>
      <c r="H166" t="s">
        <v>1606</v>
      </c>
      <c r="I166" t="s">
        <v>1009</v>
      </c>
      <c r="K166" t="s">
        <v>142</v>
      </c>
      <c r="L166" t="s">
        <v>76</v>
      </c>
      <c r="N166" t="s">
        <v>1011</v>
      </c>
      <c r="O166">
        <v>0</v>
      </c>
      <c r="P166">
        <v>0</v>
      </c>
      <c r="Q166">
        <v>4</v>
      </c>
      <c r="U166" t="s">
        <v>1</v>
      </c>
      <c r="V166" t="s">
        <v>1511</v>
      </c>
      <c r="Y166">
        <v>1</v>
      </c>
      <c r="AB166" t="s">
        <v>1013</v>
      </c>
      <c r="AD166" t="s">
        <v>964</v>
      </c>
    </row>
    <row r="167" spans="1:30" x14ac:dyDescent="0.15">
      <c r="A167">
        <v>254259</v>
      </c>
      <c r="B167" t="s">
        <v>1002</v>
      </c>
      <c r="C167" t="s">
        <v>1506</v>
      </c>
      <c r="D167" t="s">
        <v>1004</v>
      </c>
      <c r="E167" t="s">
        <v>1617</v>
      </c>
      <c r="F167" t="s">
        <v>1508</v>
      </c>
      <c r="G167" t="s">
        <v>1618</v>
      </c>
      <c r="H167" t="s">
        <v>1606</v>
      </c>
      <c r="I167" t="s">
        <v>1009</v>
      </c>
      <c r="K167" t="s">
        <v>142</v>
      </c>
      <c r="L167" t="s">
        <v>76</v>
      </c>
      <c r="N167" t="s">
        <v>1011</v>
      </c>
      <c r="O167">
        <v>0</v>
      </c>
      <c r="P167">
        <v>0</v>
      </c>
      <c r="Q167">
        <v>4</v>
      </c>
      <c r="U167" t="s">
        <v>1</v>
      </c>
      <c r="V167" t="s">
        <v>1511</v>
      </c>
      <c r="Y167">
        <v>1</v>
      </c>
      <c r="AB167" t="s">
        <v>1013</v>
      </c>
      <c r="AD167" t="s">
        <v>964</v>
      </c>
    </row>
    <row r="168" spans="1:30" x14ac:dyDescent="0.15">
      <c r="A168">
        <v>254260</v>
      </c>
      <c r="B168" t="s">
        <v>1002</v>
      </c>
      <c r="C168" t="s">
        <v>1506</v>
      </c>
      <c r="D168" t="s">
        <v>1004</v>
      </c>
      <c r="E168" t="s">
        <v>1619</v>
      </c>
      <c r="F168" t="s">
        <v>1508</v>
      </c>
      <c r="G168" t="s">
        <v>1620</v>
      </c>
      <c r="H168" t="s">
        <v>1606</v>
      </c>
      <c r="I168" t="s">
        <v>1009</v>
      </c>
      <c r="K168" t="s">
        <v>142</v>
      </c>
      <c r="L168" t="s">
        <v>76</v>
      </c>
      <c r="N168" t="s">
        <v>1011</v>
      </c>
      <c r="O168">
        <v>0</v>
      </c>
      <c r="P168">
        <v>0</v>
      </c>
      <c r="Q168">
        <v>4</v>
      </c>
      <c r="U168" t="s">
        <v>1</v>
      </c>
      <c r="V168" t="s">
        <v>1511</v>
      </c>
      <c r="Y168">
        <v>1</v>
      </c>
      <c r="AB168" t="s">
        <v>1013</v>
      </c>
      <c r="AD168" t="s">
        <v>964</v>
      </c>
    </row>
    <row r="169" spans="1:30" x14ac:dyDescent="0.15">
      <c r="A169">
        <v>254261</v>
      </c>
      <c r="B169" t="s">
        <v>1002</v>
      </c>
      <c r="C169" t="s">
        <v>1506</v>
      </c>
      <c r="D169" t="s">
        <v>1004</v>
      </c>
      <c r="E169" t="s">
        <v>1621</v>
      </c>
      <c r="F169" t="s">
        <v>1508</v>
      </c>
      <c r="G169" t="s">
        <v>1622</v>
      </c>
      <c r="H169" t="s">
        <v>1606</v>
      </c>
      <c r="I169" t="s">
        <v>1009</v>
      </c>
      <c r="K169" t="s">
        <v>142</v>
      </c>
      <c r="L169" t="s">
        <v>76</v>
      </c>
      <c r="N169" t="s">
        <v>1011</v>
      </c>
      <c r="O169">
        <v>0</v>
      </c>
      <c r="P169">
        <v>0</v>
      </c>
      <c r="Q169">
        <v>4</v>
      </c>
      <c r="U169" t="s">
        <v>1</v>
      </c>
      <c r="V169" t="s">
        <v>1511</v>
      </c>
      <c r="Y169">
        <v>1</v>
      </c>
      <c r="AB169" t="s">
        <v>1013</v>
      </c>
      <c r="AD169" t="s">
        <v>964</v>
      </c>
    </row>
    <row r="170" spans="1:30" x14ac:dyDescent="0.15">
      <c r="A170">
        <v>254262</v>
      </c>
      <c r="B170" t="s">
        <v>1002</v>
      </c>
      <c r="C170" t="s">
        <v>1506</v>
      </c>
      <c r="D170" t="s">
        <v>1004</v>
      </c>
      <c r="E170" t="s">
        <v>1623</v>
      </c>
      <c r="F170" t="s">
        <v>1508</v>
      </c>
      <c r="G170" t="s">
        <v>1624</v>
      </c>
      <c r="H170" t="s">
        <v>1606</v>
      </c>
      <c r="I170" t="s">
        <v>1009</v>
      </c>
      <c r="K170" t="s">
        <v>142</v>
      </c>
      <c r="L170" t="s">
        <v>76</v>
      </c>
      <c r="N170" t="s">
        <v>1011</v>
      </c>
      <c r="O170">
        <v>0</v>
      </c>
      <c r="P170">
        <v>0</v>
      </c>
      <c r="Q170">
        <v>4</v>
      </c>
      <c r="U170" t="s">
        <v>1</v>
      </c>
      <c r="V170" t="s">
        <v>1511</v>
      </c>
      <c r="Y170">
        <v>1</v>
      </c>
      <c r="AB170" t="s">
        <v>1013</v>
      </c>
      <c r="AD170" t="s">
        <v>964</v>
      </c>
    </row>
    <row r="171" spans="1:30" x14ac:dyDescent="0.15">
      <c r="A171">
        <v>254263</v>
      </c>
      <c r="B171" t="s">
        <v>1002</v>
      </c>
      <c r="C171" t="s">
        <v>1506</v>
      </c>
      <c r="D171" t="s">
        <v>1004</v>
      </c>
      <c r="E171" t="s">
        <v>1625</v>
      </c>
      <c r="F171" t="s">
        <v>1508</v>
      </c>
      <c r="G171" t="s">
        <v>1626</v>
      </c>
      <c r="H171" t="s">
        <v>1606</v>
      </c>
      <c r="I171" t="s">
        <v>1009</v>
      </c>
      <c r="K171" t="s">
        <v>142</v>
      </c>
      <c r="L171" t="s">
        <v>76</v>
      </c>
      <c r="N171" t="s">
        <v>1011</v>
      </c>
      <c r="O171">
        <v>0</v>
      </c>
      <c r="P171">
        <v>0</v>
      </c>
      <c r="Q171">
        <v>4</v>
      </c>
      <c r="U171" t="s">
        <v>1</v>
      </c>
      <c r="V171" t="s">
        <v>1511</v>
      </c>
      <c r="Y171">
        <v>1</v>
      </c>
      <c r="AB171" t="s">
        <v>1013</v>
      </c>
      <c r="AD171" t="s">
        <v>964</v>
      </c>
    </row>
    <row r="172" spans="1:30" x14ac:dyDescent="0.15">
      <c r="A172">
        <v>254264</v>
      </c>
      <c r="B172" t="s">
        <v>1002</v>
      </c>
      <c r="C172" t="s">
        <v>1506</v>
      </c>
      <c r="D172" t="s">
        <v>1004</v>
      </c>
      <c r="E172" t="s">
        <v>1627</v>
      </c>
      <c r="F172" t="s">
        <v>1508</v>
      </c>
      <c r="G172" t="s">
        <v>1628</v>
      </c>
      <c r="H172" t="s">
        <v>1606</v>
      </c>
      <c r="I172" t="s">
        <v>1009</v>
      </c>
      <c r="K172" t="s">
        <v>142</v>
      </c>
      <c r="L172" t="s">
        <v>76</v>
      </c>
      <c r="N172" t="s">
        <v>1011</v>
      </c>
      <c r="O172">
        <v>0</v>
      </c>
      <c r="P172">
        <v>0</v>
      </c>
      <c r="Q172">
        <v>4</v>
      </c>
      <c r="U172" t="s">
        <v>1</v>
      </c>
      <c r="V172" t="s">
        <v>1511</v>
      </c>
      <c r="Y172">
        <v>1</v>
      </c>
      <c r="AB172" t="s">
        <v>1013</v>
      </c>
      <c r="AD172" t="s">
        <v>964</v>
      </c>
    </row>
    <row r="173" spans="1:30" x14ac:dyDescent="0.15">
      <c r="A173">
        <v>254265</v>
      </c>
      <c r="B173" t="s">
        <v>1002</v>
      </c>
      <c r="C173" t="s">
        <v>1506</v>
      </c>
      <c r="D173" t="s">
        <v>1004</v>
      </c>
      <c r="E173" t="s">
        <v>1629</v>
      </c>
      <c r="F173" t="s">
        <v>1508</v>
      </c>
      <c r="G173" t="s">
        <v>1630</v>
      </c>
      <c r="H173" t="s">
        <v>1606</v>
      </c>
      <c r="I173" t="s">
        <v>1009</v>
      </c>
      <c r="K173" t="s">
        <v>142</v>
      </c>
      <c r="L173" t="s">
        <v>76</v>
      </c>
      <c r="N173" t="s">
        <v>1011</v>
      </c>
      <c r="O173">
        <v>0</v>
      </c>
      <c r="P173">
        <v>0</v>
      </c>
      <c r="Q173">
        <v>4</v>
      </c>
      <c r="U173" t="s">
        <v>1</v>
      </c>
      <c r="V173" t="s">
        <v>1511</v>
      </c>
      <c r="Y173">
        <v>1</v>
      </c>
      <c r="AB173" t="s">
        <v>1013</v>
      </c>
      <c r="AD173" t="s">
        <v>964</v>
      </c>
    </row>
    <row r="174" spans="1:30" x14ac:dyDescent="0.15">
      <c r="A174">
        <v>254266</v>
      </c>
      <c r="B174" t="s">
        <v>1002</v>
      </c>
      <c r="C174" t="s">
        <v>1506</v>
      </c>
      <c r="D174" t="s">
        <v>1004</v>
      </c>
      <c r="E174" t="s">
        <v>1631</v>
      </c>
      <c r="F174" t="s">
        <v>1508</v>
      </c>
      <c r="G174" t="s">
        <v>1632</v>
      </c>
      <c r="H174" t="s">
        <v>1606</v>
      </c>
      <c r="I174" t="s">
        <v>1009</v>
      </c>
      <c r="K174" t="s">
        <v>142</v>
      </c>
      <c r="L174" t="s">
        <v>76</v>
      </c>
      <c r="N174" t="s">
        <v>1011</v>
      </c>
      <c r="O174">
        <v>0</v>
      </c>
      <c r="P174">
        <v>0</v>
      </c>
      <c r="Q174">
        <v>4</v>
      </c>
      <c r="U174" t="s">
        <v>1</v>
      </c>
      <c r="V174" t="s">
        <v>1511</v>
      </c>
      <c r="Y174">
        <v>1</v>
      </c>
      <c r="AB174" t="s">
        <v>1013</v>
      </c>
      <c r="AD174" t="s">
        <v>964</v>
      </c>
    </row>
    <row r="175" spans="1:30" x14ac:dyDescent="0.15">
      <c r="A175">
        <v>254267</v>
      </c>
      <c r="B175" t="s">
        <v>1002</v>
      </c>
      <c r="C175" t="s">
        <v>1506</v>
      </c>
      <c r="D175" t="s">
        <v>1004</v>
      </c>
      <c r="E175" t="s">
        <v>1633</v>
      </c>
      <c r="F175" t="s">
        <v>1508</v>
      </c>
      <c r="G175" t="s">
        <v>1634</v>
      </c>
      <c r="H175" t="s">
        <v>1606</v>
      </c>
      <c r="I175" t="s">
        <v>1009</v>
      </c>
      <c r="K175" t="s">
        <v>142</v>
      </c>
      <c r="L175" t="s">
        <v>76</v>
      </c>
      <c r="N175" t="s">
        <v>1011</v>
      </c>
      <c r="O175">
        <v>0</v>
      </c>
      <c r="P175">
        <v>0</v>
      </c>
      <c r="Q175">
        <v>4</v>
      </c>
      <c r="U175" t="s">
        <v>1</v>
      </c>
      <c r="V175" t="s">
        <v>1511</v>
      </c>
      <c r="Y175">
        <v>1</v>
      </c>
      <c r="AB175" t="s">
        <v>1013</v>
      </c>
      <c r="AD175" t="s">
        <v>964</v>
      </c>
    </row>
    <row r="176" spans="1:30" x14ac:dyDescent="0.15">
      <c r="A176">
        <v>254268</v>
      </c>
      <c r="B176" t="s">
        <v>1002</v>
      </c>
      <c r="C176" t="s">
        <v>1506</v>
      </c>
      <c r="D176" t="s">
        <v>1004</v>
      </c>
      <c r="E176" t="s">
        <v>1635</v>
      </c>
      <c r="F176" t="s">
        <v>1508</v>
      </c>
      <c r="G176" t="s">
        <v>1636</v>
      </c>
      <c r="H176" t="s">
        <v>1606</v>
      </c>
      <c r="I176" t="s">
        <v>1009</v>
      </c>
      <c r="K176" t="s">
        <v>142</v>
      </c>
      <c r="L176" t="s">
        <v>76</v>
      </c>
      <c r="N176" t="s">
        <v>1011</v>
      </c>
      <c r="O176">
        <v>0</v>
      </c>
      <c r="P176">
        <v>0</v>
      </c>
      <c r="Q176">
        <v>4</v>
      </c>
      <c r="U176" t="s">
        <v>1</v>
      </c>
      <c r="V176" t="s">
        <v>1511</v>
      </c>
      <c r="Y176">
        <v>1</v>
      </c>
      <c r="AB176" t="s">
        <v>1013</v>
      </c>
      <c r="AD176" t="s">
        <v>964</v>
      </c>
    </row>
    <row r="177" spans="1:30" x14ac:dyDescent="0.15">
      <c r="A177">
        <v>254269</v>
      </c>
      <c r="B177" t="s">
        <v>1002</v>
      </c>
      <c r="C177" t="s">
        <v>1506</v>
      </c>
      <c r="D177" t="s">
        <v>1004</v>
      </c>
      <c r="E177" t="s">
        <v>1637</v>
      </c>
      <c r="F177" t="s">
        <v>1508</v>
      </c>
      <c r="G177" t="s">
        <v>1638</v>
      </c>
      <c r="H177" t="s">
        <v>1606</v>
      </c>
      <c r="I177" t="s">
        <v>1009</v>
      </c>
      <c r="K177" t="s">
        <v>142</v>
      </c>
      <c r="L177" t="s">
        <v>76</v>
      </c>
      <c r="N177" t="s">
        <v>1011</v>
      </c>
      <c r="O177">
        <v>0</v>
      </c>
      <c r="P177">
        <v>0</v>
      </c>
      <c r="Q177">
        <v>4</v>
      </c>
      <c r="U177" t="s">
        <v>1</v>
      </c>
      <c r="V177" t="s">
        <v>1511</v>
      </c>
      <c r="Y177">
        <v>1</v>
      </c>
      <c r="AB177" t="s">
        <v>1013</v>
      </c>
      <c r="AD177" t="s">
        <v>964</v>
      </c>
    </row>
    <row r="178" spans="1:30" x14ac:dyDescent="0.15">
      <c r="A178">
        <v>254270</v>
      </c>
      <c r="B178" t="s">
        <v>1002</v>
      </c>
      <c r="C178" t="s">
        <v>1506</v>
      </c>
      <c r="D178" t="s">
        <v>1004</v>
      </c>
      <c r="E178" t="s">
        <v>1639</v>
      </c>
      <c r="F178" t="s">
        <v>1320</v>
      </c>
      <c r="G178" t="s">
        <v>1640</v>
      </c>
      <c r="H178" t="s">
        <v>1641</v>
      </c>
      <c r="I178" t="s">
        <v>1009</v>
      </c>
      <c r="K178" t="s">
        <v>1010</v>
      </c>
      <c r="L178" t="s">
        <v>76</v>
      </c>
      <c r="N178" t="s">
        <v>1011</v>
      </c>
      <c r="O178">
        <v>0</v>
      </c>
      <c r="P178">
        <v>0</v>
      </c>
      <c r="Q178">
        <v>4</v>
      </c>
      <c r="U178" t="s">
        <v>1</v>
      </c>
      <c r="V178" t="s">
        <v>1511</v>
      </c>
      <c r="Y178">
        <v>1</v>
      </c>
      <c r="AB178" t="s">
        <v>1013</v>
      </c>
      <c r="AD178" t="s">
        <v>964</v>
      </c>
    </row>
    <row r="179" spans="1:30" x14ac:dyDescent="0.15">
      <c r="A179">
        <v>254271</v>
      </c>
      <c r="B179" t="s">
        <v>1002</v>
      </c>
      <c r="C179" t="s">
        <v>1506</v>
      </c>
      <c r="D179" t="s">
        <v>1004</v>
      </c>
      <c r="E179" t="s">
        <v>1642</v>
      </c>
      <c r="F179" t="s">
        <v>1320</v>
      </c>
      <c r="G179" t="s">
        <v>1643</v>
      </c>
      <c r="H179" t="s">
        <v>1641</v>
      </c>
      <c r="I179" t="s">
        <v>1009</v>
      </c>
      <c r="K179" t="s">
        <v>1010</v>
      </c>
      <c r="L179" t="s">
        <v>76</v>
      </c>
      <c r="N179" t="s">
        <v>1011</v>
      </c>
      <c r="O179">
        <v>0</v>
      </c>
      <c r="P179">
        <v>0</v>
      </c>
      <c r="Q179">
        <v>4</v>
      </c>
      <c r="U179" t="s">
        <v>1</v>
      </c>
      <c r="V179" t="s">
        <v>1511</v>
      </c>
      <c r="Y179">
        <v>1</v>
      </c>
      <c r="AB179" t="s">
        <v>1013</v>
      </c>
      <c r="AD179" t="s">
        <v>964</v>
      </c>
    </row>
    <row r="180" spans="1:30" x14ac:dyDescent="0.15">
      <c r="A180">
        <v>254272</v>
      </c>
      <c r="B180" t="s">
        <v>1002</v>
      </c>
      <c r="C180" t="s">
        <v>1506</v>
      </c>
      <c r="D180" t="s">
        <v>1004</v>
      </c>
      <c r="E180" t="s">
        <v>1644</v>
      </c>
      <c r="F180" t="s">
        <v>1320</v>
      </c>
      <c r="G180" t="s">
        <v>1645</v>
      </c>
      <c r="H180" t="s">
        <v>1646</v>
      </c>
      <c r="I180" t="s">
        <v>1009</v>
      </c>
      <c r="K180" t="s">
        <v>1010</v>
      </c>
      <c r="L180" t="s">
        <v>76</v>
      </c>
      <c r="N180" t="s">
        <v>1011</v>
      </c>
      <c r="O180">
        <v>0</v>
      </c>
      <c r="P180">
        <v>0</v>
      </c>
      <c r="Q180">
        <v>4</v>
      </c>
      <c r="U180" t="s">
        <v>1</v>
      </c>
      <c r="V180" t="s">
        <v>1511</v>
      </c>
      <c r="Y180">
        <v>1</v>
      </c>
      <c r="AB180" t="s">
        <v>1013</v>
      </c>
      <c r="AD180" t="s">
        <v>964</v>
      </c>
    </row>
    <row r="181" spans="1:30" x14ac:dyDescent="0.15">
      <c r="A181">
        <v>254273</v>
      </c>
      <c r="B181" t="s">
        <v>1002</v>
      </c>
      <c r="C181" t="s">
        <v>1506</v>
      </c>
      <c r="D181" t="s">
        <v>1004</v>
      </c>
      <c r="E181" t="s">
        <v>1647</v>
      </c>
      <c r="F181" t="s">
        <v>1320</v>
      </c>
      <c r="G181" t="s">
        <v>1648</v>
      </c>
      <c r="H181" t="s">
        <v>1649</v>
      </c>
      <c r="I181" t="s">
        <v>1009</v>
      </c>
      <c r="K181" t="s">
        <v>1010</v>
      </c>
      <c r="L181" t="s">
        <v>76</v>
      </c>
      <c r="N181" t="s">
        <v>1011</v>
      </c>
      <c r="O181">
        <v>0</v>
      </c>
      <c r="P181">
        <v>0</v>
      </c>
      <c r="Q181">
        <v>4</v>
      </c>
      <c r="U181" t="s">
        <v>1</v>
      </c>
      <c r="V181" t="s">
        <v>1511</v>
      </c>
      <c r="Y181">
        <v>1</v>
      </c>
      <c r="AB181" t="s">
        <v>1013</v>
      </c>
      <c r="AD181" t="s">
        <v>964</v>
      </c>
    </row>
    <row r="182" spans="1:30" x14ac:dyDescent="0.15">
      <c r="A182">
        <v>254274</v>
      </c>
      <c r="B182" t="s">
        <v>1002</v>
      </c>
      <c r="C182" t="s">
        <v>1506</v>
      </c>
      <c r="D182" t="s">
        <v>1004</v>
      </c>
      <c r="E182" t="s">
        <v>1650</v>
      </c>
      <c r="F182" t="s">
        <v>1320</v>
      </c>
      <c r="G182" t="s">
        <v>1651</v>
      </c>
      <c r="H182" t="s">
        <v>1652</v>
      </c>
      <c r="I182" t="s">
        <v>1009</v>
      </c>
      <c r="K182" t="s">
        <v>1010</v>
      </c>
      <c r="L182" t="s">
        <v>76</v>
      </c>
      <c r="N182" t="s">
        <v>1011</v>
      </c>
      <c r="O182">
        <v>0</v>
      </c>
      <c r="P182">
        <v>0</v>
      </c>
      <c r="Q182">
        <v>4</v>
      </c>
      <c r="U182" t="s">
        <v>1</v>
      </c>
      <c r="V182" t="s">
        <v>1511</v>
      </c>
      <c r="Y182">
        <v>1</v>
      </c>
      <c r="AB182" t="s">
        <v>1013</v>
      </c>
      <c r="AD182" t="s">
        <v>964</v>
      </c>
    </row>
    <row r="183" spans="1:30" x14ac:dyDescent="0.15">
      <c r="A183">
        <v>254275</v>
      </c>
      <c r="B183" t="s">
        <v>1002</v>
      </c>
      <c r="C183" t="s">
        <v>1506</v>
      </c>
      <c r="D183" t="s">
        <v>1004</v>
      </c>
      <c r="E183" t="s">
        <v>1653</v>
      </c>
      <c r="F183" t="s">
        <v>1320</v>
      </c>
      <c r="G183" t="s">
        <v>1654</v>
      </c>
      <c r="H183" t="s">
        <v>1655</v>
      </c>
      <c r="I183" t="s">
        <v>1009</v>
      </c>
      <c r="K183" t="s">
        <v>1010</v>
      </c>
      <c r="L183" t="s">
        <v>76</v>
      </c>
      <c r="N183" t="s">
        <v>1011</v>
      </c>
      <c r="O183">
        <v>0</v>
      </c>
      <c r="P183">
        <v>0</v>
      </c>
      <c r="Q183">
        <v>4</v>
      </c>
      <c r="U183" t="s">
        <v>1</v>
      </c>
      <c r="V183" t="s">
        <v>1511</v>
      </c>
      <c r="Y183">
        <v>1</v>
      </c>
      <c r="AB183" t="s">
        <v>1013</v>
      </c>
      <c r="AD183" t="s">
        <v>964</v>
      </c>
    </row>
    <row r="184" spans="1:30" x14ac:dyDescent="0.15">
      <c r="A184">
        <v>254276</v>
      </c>
      <c r="B184" t="s">
        <v>1002</v>
      </c>
      <c r="C184" t="s">
        <v>1506</v>
      </c>
      <c r="D184" t="s">
        <v>1004</v>
      </c>
      <c r="E184" t="s">
        <v>1656</v>
      </c>
      <c r="F184" t="s">
        <v>1320</v>
      </c>
      <c r="G184" t="s">
        <v>1657</v>
      </c>
      <c r="H184" t="s">
        <v>1658</v>
      </c>
      <c r="I184" t="s">
        <v>1009</v>
      </c>
      <c r="K184" t="s">
        <v>1010</v>
      </c>
      <c r="L184" t="s">
        <v>76</v>
      </c>
      <c r="N184" t="s">
        <v>1011</v>
      </c>
      <c r="O184">
        <v>0</v>
      </c>
      <c r="P184">
        <v>0</v>
      </c>
      <c r="Q184">
        <v>4</v>
      </c>
      <c r="U184" t="s">
        <v>1</v>
      </c>
      <c r="V184" t="s">
        <v>1511</v>
      </c>
      <c r="Y184">
        <v>1</v>
      </c>
      <c r="AB184" t="s">
        <v>1013</v>
      </c>
      <c r="AD184" t="s">
        <v>964</v>
      </c>
    </row>
    <row r="185" spans="1:30" x14ac:dyDescent="0.15">
      <c r="A185">
        <v>254277</v>
      </c>
      <c r="B185" t="s">
        <v>1002</v>
      </c>
      <c r="C185" t="s">
        <v>1506</v>
      </c>
      <c r="D185" t="s">
        <v>1004</v>
      </c>
      <c r="E185" t="s">
        <v>1659</v>
      </c>
      <c r="F185" t="s">
        <v>1320</v>
      </c>
      <c r="G185" t="s">
        <v>1660</v>
      </c>
      <c r="H185" t="s">
        <v>1661</v>
      </c>
      <c r="I185" t="s">
        <v>1009</v>
      </c>
      <c r="K185" t="s">
        <v>1010</v>
      </c>
      <c r="L185" t="s">
        <v>76</v>
      </c>
      <c r="N185" t="s">
        <v>1011</v>
      </c>
      <c r="O185">
        <v>0</v>
      </c>
      <c r="P185">
        <v>0</v>
      </c>
      <c r="Q185">
        <v>4</v>
      </c>
      <c r="U185" t="s">
        <v>1</v>
      </c>
      <c r="V185" t="s">
        <v>1511</v>
      </c>
      <c r="Y185">
        <v>1</v>
      </c>
      <c r="AB185" t="s">
        <v>1013</v>
      </c>
      <c r="AD185" t="s">
        <v>964</v>
      </c>
    </row>
    <row r="186" spans="1:30" x14ac:dyDescent="0.15">
      <c r="A186">
        <v>254278</v>
      </c>
      <c r="B186" t="s">
        <v>1002</v>
      </c>
      <c r="C186" t="s">
        <v>1506</v>
      </c>
      <c r="D186" t="s">
        <v>1004</v>
      </c>
      <c r="E186" t="s">
        <v>1662</v>
      </c>
      <c r="F186" t="s">
        <v>1320</v>
      </c>
      <c r="G186" t="s">
        <v>1663</v>
      </c>
      <c r="H186" t="s">
        <v>1664</v>
      </c>
      <c r="I186" t="s">
        <v>1009</v>
      </c>
      <c r="K186" t="s">
        <v>1010</v>
      </c>
      <c r="L186" t="s">
        <v>76</v>
      </c>
      <c r="N186" t="s">
        <v>1011</v>
      </c>
      <c r="O186">
        <v>0</v>
      </c>
      <c r="P186">
        <v>0</v>
      </c>
      <c r="Q186">
        <v>4</v>
      </c>
      <c r="U186" t="s">
        <v>1</v>
      </c>
      <c r="V186" t="s">
        <v>1511</v>
      </c>
      <c r="Y186">
        <v>1</v>
      </c>
      <c r="AB186" t="s">
        <v>1013</v>
      </c>
      <c r="AD186" t="s">
        <v>964</v>
      </c>
    </row>
    <row r="187" spans="1:30" x14ac:dyDescent="0.15">
      <c r="A187">
        <v>254279</v>
      </c>
      <c r="B187" t="s">
        <v>1002</v>
      </c>
      <c r="C187" t="s">
        <v>1506</v>
      </c>
      <c r="D187" t="s">
        <v>1004</v>
      </c>
      <c r="E187" t="s">
        <v>1665</v>
      </c>
      <c r="F187" t="s">
        <v>1320</v>
      </c>
      <c r="G187" t="s">
        <v>1666</v>
      </c>
      <c r="H187" t="s">
        <v>1667</v>
      </c>
      <c r="I187" t="s">
        <v>1009</v>
      </c>
      <c r="K187" t="s">
        <v>1010</v>
      </c>
      <c r="L187" t="s">
        <v>76</v>
      </c>
      <c r="N187" t="s">
        <v>1011</v>
      </c>
      <c r="O187">
        <v>0</v>
      </c>
      <c r="P187">
        <v>0</v>
      </c>
      <c r="Q187">
        <v>4</v>
      </c>
      <c r="U187" t="s">
        <v>1</v>
      </c>
      <c r="V187" t="s">
        <v>1511</v>
      </c>
      <c r="Y187">
        <v>1</v>
      </c>
      <c r="AB187" t="s">
        <v>1013</v>
      </c>
      <c r="AD187" t="s">
        <v>964</v>
      </c>
    </row>
    <row r="188" spans="1:30" x14ac:dyDescent="0.15">
      <c r="A188">
        <v>254280</v>
      </c>
      <c r="B188" t="s">
        <v>1002</v>
      </c>
      <c r="C188" t="s">
        <v>1506</v>
      </c>
      <c r="D188" t="s">
        <v>1004</v>
      </c>
      <c r="E188" t="s">
        <v>1668</v>
      </c>
      <c r="F188" t="s">
        <v>1320</v>
      </c>
      <c r="G188" t="s">
        <v>1669</v>
      </c>
      <c r="H188" t="s">
        <v>1670</v>
      </c>
      <c r="I188" t="s">
        <v>1009</v>
      </c>
      <c r="K188" t="s">
        <v>1010</v>
      </c>
      <c r="L188" t="s">
        <v>76</v>
      </c>
      <c r="N188" t="s">
        <v>1011</v>
      </c>
      <c r="O188">
        <v>0</v>
      </c>
      <c r="P188">
        <v>0</v>
      </c>
      <c r="Q188">
        <v>4</v>
      </c>
      <c r="U188" t="s">
        <v>1</v>
      </c>
      <c r="V188" t="s">
        <v>1511</v>
      </c>
      <c r="Y188">
        <v>1</v>
      </c>
      <c r="AB188" t="s">
        <v>1013</v>
      </c>
      <c r="AD188" t="s">
        <v>964</v>
      </c>
    </row>
    <row r="189" spans="1:30" x14ac:dyDescent="0.15">
      <c r="A189">
        <v>254281</v>
      </c>
      <c r="B189" t="s">
        <v>1002</v>
      </c>
      <c r="C189" t="s">
        <v>1506</v>
      </c>
      <c r="D189" t="s">
        <v>1004</v>
      </c>
      <c r="E189" t="s">
        <v>1671</v>
      </c>
      <c r="F189" t="s">
        <v>1320</v>
      </c>
      <c r="G189" t="s">
        <v>1672</v>
      </c>
      <c r="H189" t="s">
        <v>1673</v>
      </c>
      <c r="I189" t="s">
        <v>1009</v>
      </c>
      <c r="K189" t="s">
        <v>1010</v>
      </c>
      <c r="L189" t="s">
        <v>76</v>
      </c>
      <c r="N189" t="s">
        <v>1011</v>
      </c>
      <c r="O189">
        <v>0</v>
      </c>
      <c r="P189">
        <v>0</v>
      </c>
      <c r="Q189">
        <v>4</v>
      </c>
      <c r="U189" t="s">
        <v>1</v>
      </c>
      <c r="V189" t="s">
        <v>1511</v>
      </c>
      <c r="Y189">
        <v>1</v>
      </c>
      <c r="AB189" t="s">
        <v>1013</v>
      </c>
      <c r="AD189" t="s">
        <v>964</v>
      </c>
    </row>
    <row r="190" spans="1:30" x14ac:dyDescent="0.15">
      <c r="A190">
        <v>254282</v>
      </c>
      <c r="B190" t="s">
        <v>1002</v>
      </c>
      <c r="C190" t="s">
        <v>1506</v>
      </c>
      <c r="D190" t="s">
        <v>1004</v>
      </c>
      <c r="E190" t="s">
        <v>1674</v>
      </c>
      <c r="F190" t="s">
        <v>1320</v>
      </c>
      <c r="G190" t="s">
        <v>1675</v>
      </c>
      <c r="H190" t="s">
        <v>1676</v>
      </c>
      <c r="I190" t="s">
        <v>1009</v>
      </c>
      <c r="K190" t="s">
        <v>1010</v>
      </c>
      <c r="L190" t="s">
        <v>76</v>
      </c>
      <c r="N190" t="s">
        <v>1011</v>
      </c>
      <c r="O190">
        <v>0</v>
      </c>
      <c r="P190">
        <v>0</v>
      </c>
      <c r="Q190">
        <v>4</v>
      </c>
      <c r="U190" t="s">
        <v>1</v>
      </c>
      <c r="V190" t="s">
        <v>1511</v>
      </c>
      <c r="Y190">
        <v>1</v>
      </c>
      <c r="AB190" t="s">
        <v>1013</v>
      </c>
      <c r="AD190" t="s">
        <v>964</v>
      </c>
    </row>
    <row r="191" spans="1:30" x14ac:dyDescent="0.15">
      <c r="A191">
        <v>254283</v>
      </c>
      <c r="B191" t="s">
        <v>1002</v>
      </c>
      <c r="C191" t="s">
        <v>1506</v>
      </c>
      <c r="D191" t="s">
        <v>1004</v>
      </c>
      <c r="E191" t="s">
        <v>1677</v>
      </c>
      <c r="F191" t="s">
        <v>1320</v>
      </c>
      <c r="G191" t="s">
        <v>1678</v>
      </c>
      <c r="H191" t="s">
        <v>1676</v>
      </c>
      <c r="I191" t="s">
        <v>1009</v>
      </c>
      <c r="K191" t="s">
        <v>1010</v>
      </c>
      <c r="L191" t="s">
        <v>76</v>
      </c>
      <c r="N191" t="s">
        <v>1011</v>
      </c>
      <c r="O191">
        <v>0</v>
      </c>
      <c r="P191">
        <v>0</v>
      </c>
      <c r="Q191">
        <v>4</v>
      </c>
      <c r="U191" t="s">
        <v>1</v>
      </c>
      <c r="V191" t="s">
        <v>1511</v>
      </c>
      <c r="Y191">
        <v>1</v>
      </c>
      <c r="AB191" t="s">
        <v>1013</v>
      </c>
      <c r="AD191" t="s">
        <v>964</v>
      </c>
    </row>
    <row r="192" spans="1:30" x14ac:dyDescent="0.15">
      <c r="A192">
        <v>254284</v>
      </c>
      <c r="B192" t="s">
        <v>1002</v>
      </c>
      <c r="C192" t="s">
        <v>1506</v>
      </c>
      <c r="D192" t="s">
        <v>1004</v>
      </c>
      <c r="E192" t="s">
        <v>1679</v>
      </c>
      <c r="F192" t="s">
        <v>1320</v>
      </c>
      <c r="G192" t="s">
        <v>1680</v>
      </c>
      <c r="H192" t="s">
        <v>1681</v>
      </c>
      <c r="I192" t="s">
        <v>1009</v>
      </c>
      <c r="K192" t="s">
        <v>1010</v>
      </c>
      <c r="L192" t="s">
        <v>76</v>
      </c>
      <c r="N192" t="s">
        <v>1011</v>
      </c>
      <c r="O192">
        <v>0</v>
      </c>
      <c r="P192">
        <v>0</v>
      </c>
      <c r="Q192">
        <v>4</v>
      </c>
      <c r="U192" t="s">
        <v>1</v>
      </c>
      <c r="V192" t="s">
        <v>1511</v>
      </c>
      <c r="Y192">
        <v>1</v>
      </c>
      <c r="AB192" t="s">
        <v>1013</v>
      </c>
      <c r="AD192" t="s">
        <v>964</v>
      </c>
    </row>
    <row r="193" spans="1:30" x14ac:dyDescent="0.15">
      <c r="A193">
        <v>254285</v>
      </c>
      <c r="B193" t="s">
        <v>1002</v>
      </c>
      <c r="C193" t="s">
        <v>1506</v>
      </c>
      <c r="D193" t="s">
        <v>1004</v>
      </c>
      <c r="E193" t="s">
        <v>1682</v>
      </c>
      <c r="F193" t="s">
        <v>1320</v>
      </c>
      <c r="G193" t="s">
        <v>1683</v>
      </c>
      <c r="H193" t="s">
        <v>1670</v>
      </c>
      <c r="I193" t="s">
        <v>1009</v>
      </c>
      <c r="K193" t="s">
        <v>1010</v>
      </c>
      <c r="L193" t="s">
        <v>76</v>
      </c>
      <c r="N193" t="s">
        <v>1011</v>
      </c>
      <c r="O193">
        <v>0</v>
      </c>
      <c r="P193">
        <v>0</v>
      </c>
      <c r="Q193">
        <v>4</v>
      </c>
      <c r="U193" t="s">
        <v>1</v>
      </c>
      <c r="V193" t="s">
        <v>1511</v>
      </c>
      <c r="Y193">
        <v>1</v>
      </c>
      <c r="AB193" t="s">
        <v>1013</v>
      </c>
      <c r="AD193" t="s">
        <v>964</v>
      </c>
    </row>
    <row r="194" spans="1:30" x14ac:dyDescent="0.15">
      <c r="A194">
        <v>254286</v>
      </c>
      <c r="B194" t="s">
        <v>1002</v>
      </c>
      <c r="C194" t="s">
        <v>1506</v>
      </c>
      <c r="D194" t="s">
        <v>1004</v>
      </c>
      <c r="E194" t="s">
        <v>1684</v>
      </c>
      <c r="F194" t="s">
        <v>1320</v>
      </c>
      <c r="G194" t="s">
        <v>1685</v>
      </c>
      <c r="H194" t="s">
        <v>1686</v>
      </c>
      <c r="I194" t="s">
        <v>1009</v>
      </c>
      <c r="K194" t="s">
        <v>1010</v>
      </c>
      <c r="L194" t="s">
        <v>76</v>
      </c>
      <c r="N194" t="s">
        <v>1011</v>
      </c>
      <c r="O194">
        <v>0</v>
      </c>
      <c r="P194">
        <v>0</v>
      </c>
      <c r="Q194">
        <v>4</v>
      </c>
      <c r="U194" t="s">
        <v>1</v>
      </c>
      <c r="V194" t="s">
        <v>1511</v>
      </c>
      <c r="Y194">
        <v>1</v>
      </c>
      <c r="AB194" t="s">
        <v>1013</v>
      </c>
      <c r="AD194" t="s">
        <v>964</v>
      </c>
    </row>
    <row r="195" spans="1:30" x14ac:dyDescent="0.15">
      <c r="A195">
        <v>254287</v>
      </c>
      <c r="B195" t="s">
        <v>1002</v>
      </c>
      <c r="C195" t="s">
        <v>1506</v>
      </c>
      <c r="D195" t="s">
        <v>1004</v>
      </c>
      <c r="E195" t="s">
        <v>1687</v>
      </c>
      <c r="F195" t="s">
        <v>1320</v>
      </c>
      <c r="G195" t="s">
        <v>1688</v>
      </c>
      <c r="H195" t="s">
        <v>1689</v>
      </c>
      <c r="I195" t="s">
        <v>1009</v>
      </c>
      <c r="K195" t="s">
        <v>1010</v>
      </c>
      <c r="L195" t="s">
        <v>76</v>
      </c>
      <c r="N195" t="s">
        <v>1011</v>
      </c>
      <c r="O195">
        <v>0</v>
      </c>
      <c r="P195">
        <v>0</v>
      </c>
      <c r="Q195">
        <v>4</v>
      </c>
      <c r="U195" t="s">
        <v>1</v>
      </c>
      <c r="V195" t="s">
        <v>1511</v>
      </c>
      <c r="Y195">
        <v>1</v>
      </c>
      <c r="AB195" t="s">
        <v>1013</v>
      </c>
      <c r="AD195" t="s">
        <v>964</v>
      </c>
    </row>
    <row r="196" spans="1:30" x14ac:dyDescent="0.15">
      <c r="A196">
        <v>254288</v>
      </c>
      <c r="B196" t="s">
        <v>1002</v>
      </c>
      <c r="C196" t="s">
        <v>1506</v>
      </c>
      <c r="D196" t="s">
        <v>1004</v>
      </c>
      <c r="E196" t="s">
        <v>1690</v>
      </c>
      <c r="F196" t="s">
        <v>1320</v>
      </c>
      <c r="G196" t="s">
        <v>1691</v>
      </c>
      <c r="H196" t="s">
        <v>1692</v>
      </c>
      <c r="I196" t="s">
        <v>1009</v>
      </c>
      <c r="K196" t="s">
        <v>1010</v>
      </c>
      <c r="L196" t="s">
        <v>76</v>
      </c>
      <c r="N196" t="s">
        <v>1011</v>
      </c>
      <c r="O196">
        <v>0</v>
      </c>
      <c r="P196">
        <v>0</v>
      </c>
      <c r="Q196">
        <v>4</v>
      </c>
      <c r="U196" t="s">
        <v>1</v>
      </c>
      <c r="V196" t="s">
        <v>1511</v>
      </c>
      <c r="Y196">
        <v>1</v>
      </c>
      <c r="AB196" t="s">
        <v>1013</v>
      </c>
      <c r="AD196" t="s">
        <v>964</v>
      </c>
    </row>
    <row r="197" spans="1:30" x14ac:dyDescent="0.15">
      <c r="A197">
        <v>254289</v>
      </c>
      <c r="B197" t="s">
        <v>1002</v>
      </c>
      <c r="C197" t="s">
        <v>1506</v>
      </c>
      <c r="D197" t="s">
        <v>1004</v>
      </c>
      <c r="E197" t="s">
        <v>1693</v>
      </c>
      <c r="F197" t="s">
        <v>1320</v>
      </c>
      <c r="G197" t="s">
        <v>1694</v>
      </c>
      <c r="H197" t="s">
        <v>1695</v>
      </c>
      <c r="I197" t="s">
        <v>1009</v>
      </c>
      <c r="K197" t="s">
        <v>1010</v>
      </c>
      <c r="L197" t="s">
        <v>76</v>
      </c>
      <c r="N197" t="s">
        <v>1011</v>
      </c>
      <c r="O197">
        <v>0</v>
      </c>
      <c r="P197">
        <v>0</v>
      </c>
      <c r="Q197">
        <v>4</v>
      </c>
      <c r="U197" t="s">
        <v>1</v>
      </c>
      <c r="V197" t="s">
        <v>1511</v>
      </c>
      <c r="Y197">
        <v>1</v>
      </c>
      <c r="AB197" t="s">
        <v>1013</v>
      </c>
      <c r="AD197" t="s">
        <v>964</v>
      </c>
    </row>
    <row r="198" spans="1:30" x14ac:dyDescent="0.15">
      <c r="A198">
        <v>254290</v>
      </c>
      <c r="B198" t="s">
        <v>1002</v>
      </c>
      <c r="C198" t="s">
        <v>1506</v>
      </c>
      <c r="D198" t="s">
        <v>1004</v>
      </c>
      <c r="E198" t="s">
        <v>1696</v>
      </c>
      <c r="F198" t="s">
        <v>1320</v>
      </c>
      <c r="G198" t="s">
        <v>1697</v>
      </c>
      <c r="H198" t="s">
        <v>1698</v>
      </c>
      <c r="I198" t="s">
        <v>1009</v>
      </c>
      <c r="K198" t="s">
        <v>1010</v>
      </c>
      <c r="L198" t="s">
        <v>76</v>
      </c>
      <c r="N198" t="s">
        <v>1011</v>
      </c>
      <c r="O198">
        <v>0</v>
      </c>
      <c r="P198">
        <v>0</v>
      </c>
      <c r="Q198">
        <v>4</v>
      </c>
      <c r="U198" t="s">
        <v>1</v>
      </c>
      <c r="V198" t="s">
        <v>1511</v>
      </c>
      <c r="Y198">
        <v>1</v>
      </c>
      <c r="AB198" t="s">
        <v>1013</v>
      </c>
      <c r="AD198" t="s">
        <v>964</v>
      </c>
    </row>
    <row r="199" spans="1:30" x14ac:dyDescent="0.15">
      <c r="A199">
        <v>254291</v>
      </c>
      <c r="B199" t="s">
        <v>1002</v>
      </c>
      <c r="C199" t="s">
        <v>1506</v>
      </c>
      <c r="D199" t="s">
        <v>1004</v>
      </c>
      <c r="E199" t="s">
        <v>1699</v>
      </c>
      <c r="F199" t="s">
        <v>1320</v>
      </c>
      <c r="G199" t="s">
        <v>1700</v>
      </c>
      <c r="H199" t="s">
        <v>1701</v>
      </c>
      <c r="I199" t="s">
        <v>1009</v>
      </c>
      <c r="K199" t="s">
        <v>1010</v>
      </c>
      <c r="L199" t="s">
        <v>76</v>
      </c>
      <c r="N199" t="s">
        <v>1011</v>
      </c>
      <c r="O199">
        <v>0</v>
      </c>
      <c r="P199">
        <v>0</v>
      </c>
      <c r="Q199">
        <v>4</v>
      </c>
      <c r="U199" t="s">
        <v>1</v>
      </c>
      <c r="V199" t="s">
        <v>1511</v>
      </c>
      <c r="Y199">
        <v>1</v>
      </c>
      <c r="AB199" t="s">
        <v>1013</v>
      </c>
      <c r="AD199" t="s">
        <v>964</v>
      </c>
    </row>
    <row r="200" spans="1:30" x14ac:dyDescent="0.15">
      <c r="A200">
        <v>254292</v>
      </c>
      <c r="B200" t="s">
        <v>1002</v>
      </c>
      <c r="C200" t="s">
        <v>1506</v>
      </c>
      <c r="D200" t="s">
        <v>1004</v>
      </c>
      <c r="E200" t="s">
        <v>1702</v>
      </c>
      <c r="F200" t="s">
        <v>1320</v>
      </c>
      <c r="G200" t="s">
        <v>1703</v>
      </c>
      <c r="H200" t="s">
        <v>1704</v>
      </c>
      <c r="I200" t="s">
        <v>1009</v>
      </c>
      <c r="K200" t="s">
        <v>142</v>
      </c>
      <c r="L200" t="s">
        <v>76</v>
      </c>
      <c r="N200" t="s">
        <v>1011</v>
      </c>
      <c r="O200">
        <v>0</v>
      </c>
      <c r="P200">
        <v>0</v>
      </c>
      <c r="Q200">
        <v>4</v>
      </c>
      <c r="U200" t="s">
        <v>1</v>
      </c>
      <c r="V200" t="s">
        <v>1511</v>
      </c>
      <c r="Y200">
        <v>1</v>
      </c>
      <c r="AB200" t="s">
        <v>1013</v>
      </c>
      <c r="AD200" t="s">
        <v>964</v>
      </c>
    </row>
    <row r="201" spans="1:30" x14ac:dyDescent="0.15">
      <c r="A201">
        <v>254293</v>
      </c>
      <c r="B201" t="s">
        <v>1002</v>
      </c>
      <c r="C201" t="s">
        <v>1705</v>
      </c>
      <c r="D201" t="s">
        <v>1004</v>
      </c>
      <c r="E201" t="s">
        <v>1706</v>
      </c>
      <c r="F201" t="s">
        <v>1320</v>
      </c>
      <c r="G201" t="s">
        <v>1707</v>
      </c>
      <c r="H201" t="s">
        <v>1708</v>
      </c>
      <c r="I201" t="s">
        <v>1009</v>
      </c>
      <c r="K201" t="s">
        <v>1010</v>
      </c>
      <c r="L201" t="s">
        <v>76</v>
      </c>
      <c r="N201" t="s">
        <v>1011</v>
      </c>
      <c r="O201">
        <v>0</v>
      </c>
      <c r="P201">
        <v>0</v>
      </c>
      <c r="Q201">
        <v>4</v>
      </c>
      <c r="U201" t="s">
        <v>1</v>
      </c>
      <c r="V201" t="s">
        <v>1511</v>
      </c>
      <c r="Y201">
        <v>1</v>
      </c>
      <c r="AB201" t="s">
        <v>1013</v>
      </c>
      <c r="AD201" t="s">
        <v>964</v>
      </c>
    </row>
    <row r="202" spans="1:30" x14ac:dyDescent="0.15">
      <c r="A202">
        <v>254294</v>
      </c>
      <c r="B202" t="s">
        <v>1002</v>
      </c>
      <c r="C202" t="s">
        <v>1705</v>
      </c>
      <c r="D202" t="s">
        <v>1004</v>
      </c>
      <c r="E202" t="s">
        <v>1709</v>
      </c>
      <c r="F202" t="s">
        <v>1320</v>
      </c>
      <c r="G202" t="s">
        <v>1710</v>
      </c>
      <c r="H202" t="s">
        <v>1711</v>
      </c>
      <c r="I202" t="s">
        <v>1009</v>
      </c>
      <c r="K202" t="s">
        <v>1010</v>
      </c>
      <c r="L202" t="s">
        <v>76</v>
      </c>
      <c r="N202" t="s">
        <v>1011</v>
      </c>
      <c r="O202">
        <v>0</v>
      </c>
      <c r="P202">
        <v>0</v>
      </c>
      <c r="Q202">
        <v>4</v>
      </c>
      <c r="U202" t="s">
        <v>1</v>
      </c>
      <c r="V202" t="s">
        <v>1511</v>
      </c>
      <c r="Y202">
        <v>1</v>
      </c>
      <c r="AB202" t="s">
        <v>1013</v>
      </c>
      <c r="AD202" t="s">
        <v>964</v>
      </c>
    </row>
    <row r="203" spans="1:30" x14ac:dyDescent="0.15">
      <c r="A203">
        <v>254295</v>
      </c>
      <c r="B203" t="s">
        <v>1002</v>
      </c>
      <c r="C203" t="s">
        <v>1705</v>
      </c>
      <c r="D203" t="s">
        <v>1004</v>
      </c>
      <c r="E203" t="s">
        <v>1712</v>
      </c>
      <c r="F203" t="s">
        <v>1320</v>
      </c>
      <c r="G203" t="s">
        <v>1713</v>
      </c>
      <c r="H203" t="s">
        <v>1714</v>
      </c>
      <c r="I203" t="s">
        <v>1009</v>
      </c>
      <c r="K203" t="s">
        <v>1010</v>
      </c>
      <c r="L203" t="s">
        <v>76</v>
      </c>
      <c r="N203" t="s">
        <v>1011</v>
      </c>
      <c r="O203">
        <v>0</v>
      </c>
      <c r="P203">
        <v>0</v>
      </c>
      <c r="Q203">
        <v>4</v>
      </c>
      <c r="U203" t="s">
        <v>1</v>
      </c>
      <c r="V203" t="s">
        <v>1511</v>
      </c>
      <c r="Y203">
        <v>1</v>
      </c>
      <c r="AB203" t="s">
        <v>1013</v>
      </c>
      <c r="AD203" t="s">
        <v>964</v>
      </c>
    </row>
    <row r="204" spans="1:30" x14ac:dyDescent="0.15">
      <c r="A204">
        <v>254296</v>
      </c>
      <c r="B204" t="s">
        <v>1002</v>
      </c>
      <c r="C204" t="s">
        <v>1705</v>
      </c>
      <c r="D204" t="s">
        <v>1004</v>
      </c>
      <c r="E204" t="s">
        <v>1715</v>
      </c>
      <c r="F204" t="s">
        <v>1320</v>
      </c>
      <c r="G204" t="s">
        <v>1716</v>
      </c>
      <c r="H204" t="s">
        <v>1717</v>
      </c>
      <c r="I204" t="s">
        <v>1009</v>
      </c>
      <c r="K204" t="s">
        <v>1010</v>
      </c>
      <c r="L204" t="s">
        <v>76</v>
      </c>
      <c r="N204" t="s">
        <v>1011</v>
      </c>
      <c r="O204">
        <v>0</v>
      </c>
      <c r="P204">
        <v>0</v>
      </c>
      <c r="Q204">
        <v>4</v>
      </c>
      <c r="U204" t="s">
        <v>1</v>
      </c>
      <c r="V204" t="s">
        <v>1511</v>
      </c>
      <c r="Y204">
        <v>1</v>
      </c>
      <c r="AB204" t="s">
        <v>1013</v>
      </c>
      <c r="AD204" t="s">
        <v>964</v>
      </c>
    </row>
    <row r="205" spans="1:30" x14ac:dyDescent="0.15">
      <c r="A205">
        <v>254297</v>
      </c>
      <c r="B205" t="s">
        <v>1002</v>
      </c>
      <c r="C205" t="s">
        <v>1705</v>
      </c>
      <c r="D205" t="s">
        <v>1004</v>
      </c>
      <c r="E205" t="s">
        <v>1718</v>
      </c>
      <c r="F205" t="s">
        <v>1320</v>
      </c>
      <c r="G205" t="s">
        <v>1719</v>
      </c>
      <c r="H205" t="s">
        <v>1720</v>
      </c>
      <c r="I205" t="s">
        <v>1009</v>
      </c>
      <c r="K205" t="s">
        <v>1010</v>
      </c>
      <c r="L205" t="s">
        <v>76</v>
      </c>
      <c r="N205" t="s">
        <v>1011</v>
      </c>
      <c r="O205">
        <v>0</v>
      </c>
      <c r="P205">
        <v>0</v>
      </c>
      <c r="Q205">
        <v>4</v>
      </c>
      <c r="U205" t="s">
        <v>1</v>
      </c>
      <c r="V205" t="s">
        <v>1511</v>
      </c>
      <c r="Y205">
        <v>1</v>
      </c>
      <c r="AB205" t="s">
        <v>1013</v>
      </c>
      <c r="AD205" t="s">
        <v>964</v>
      </c>
    </row>
    <row r="206" spans="1:30" x14ac:dyDescent="0.15">
      <c r="A206">
        <v>254298</v>
      </c>
      <c r="B206" t="s">
        <v>1002</v>
      </c>
      <c r="C206" t="s">
        <v>1705</v>
      </c>
      <c r="D206" t="s">
        <v>1004</v>
      </c>
      <c r="E206" t="s">
        <v>1721</v>
      </c>
      <c r="F206" t="s">
        <v>1320</v>
      </c>
      <c r="G206" t="s">
        <v>1722</v>
      </c>
      <c r="H206" t="s">
        <v>1723</v>
      </c>
      <c r="I206" t="s">
        <v>1009</v>
      </c>
      <c r="K206" t="s">
        <v>1010</v>
      </c>
      <c r="L206" t="s">
        <v>76</v>
      </c>
      <c r="N206" t="s">
        <v>1011</v>
      </c>
      <c r="O206">
        <v>0</v>
      </c>
      <c r="P206">
        <v>0</v>
      </c>
      <c r="Q206">
        <v>4</v>
      </c>
      <c r="U206" t="s">
        <v>1</v>
      </c>
      <c r="V206" t="s">
        <v>1511</v>
      </c>
      <c r="Y206">
        <v>1</v>
      </c>
      <c r="AB206" t="s">
        <v>1013</v>
      </c>
      <c r="AD206" t="s">
        <v>964</v>
      </c>
    </row>
    <row r="207" spans="1:30" x14ac:dyDescent="0.15">
      <c r="A207">
        <v>254299</v>
      </c>
      <c r="B207" t="s">
        <v>1002</v>
      </c>
      <c r="C207" t="s">
        <v>1705</v>
      </c>
      <c r="D207" t="s">
        <v>1004</v>
      </c>
      <c r="E207" t="s">
        <v>1724</v>
      </c>
      <c r="F207" t="s">
        <v>1320</v>
      </c>
      <c r="G207" t="s">
        <v>1725</v>
      </c>
      <c r="H207" t="s">
        <v>1726</v>
      </c>
      <c r="I207" t="s">
        <v>1009</v>
      </c>
      <c r="K207" t="s">
        <v>1010</v>
      </c>
      <c r="L207" t="s">
        <v>76</v>
      </c>
      <c r="N207" t="s">
        <v>1011</v>
      </c>
      <c r="O207">
        <v>0</v>
      </c>
      <c r="P207">
        <v>0</v>
      </c>
      <c r="Q207">
        <v>4</v>
      </c>
      <c r="U207" t="s">
        <v>1</v>
      </c>
      <c r="V207" t="s">
        <v>1511</v>
      </c>
      <c r="Y207">
        <v>1</v>
      </c>
      <c r="AB207" t="s">
        <v>1013</v>
      </c>
      <c r="AD207" t="s">
        <v>964</v>
      </c>
    </row>
    <row r="208" spans="1:30" x14ac:dyDescent="0.15">
      <c r="A208">
        <v>254300</v>
      </c>
      <c r="B208" t="s">
        <v>1002</v>
      </c>
      <c r="C208" t="s">
        <v>1705</v>
      </c>
      <c r="D208" t="s">
        <v>1004</v>
      </c>
      <c r="E208" t="s">
        <v>1727</v>
      </c>
      <c r="F208" t="s">
        <v>1320</v>
      </c>
      <c r="G208" t="s">
        <v>1728</v>
      </c>
      <c r="H208" t="s">
        <v>1729</v>
      </c>
      <c r="I208" t="s">
        <v>1009</v>
      </c>
      <c r="K208" t="s">
        <v>1010</v>
      </c>
      <c r="L208" t="s">
        <v>76</v>
      </c>
      <c r="N208" t="s">
        <v>1011</v>
      </c>
      <c r="O208">
        <v>0</v>
      </c>
      <c r="P208">
        <v>0</v>
      </c>
      <c r="Q208">
        <v>4</v>
      </c>
      <c r="U208" t="s">
        <v>1</v>
      </c>
      <c r="V208" t="s">
        <v>1511</v>
      </c>
      <c r="Y208">
        <v>1</v>
      </c>
      <c r="AB208" t="s">
        <v>1013</v>
      </c>
      <c r="AD208" t="s">
        <v>964</v>
      </c>
    </row>
    <row r="209" spans="1:30" x14ac:dyDescent="0.15">
      <c r="A209">
        <v>254301</v>
      </c>
      <c r="B209" t="s">
        <v>1002</v>
      </c>
      <c r="C209" t="s">
        <v>1705</v>
      </c>
      <c r="D209" t="s">
        <v>1004</v>
      </c>
      <c r="E209" t="s">
        <v>1730</v>
      </c>
      <c r="F209" t="s">
        <v>1320</v>
      </c>
      <c r="G209" t="s">
        <v>1731</v>
      </c>
      <c r="H209" t="s">
        <v>1732</v>
      </c>
      <c r="I209" t="s">
        <v>1009</v>
      </c>
      <c r="K209" t="s">
        <v>1010</v>
      </c>
      <c r="L209" t="s">
        <v>76</v>
      </c>
      <c r="N209" t="s">
        <v>1011</v>
      </c>
      <c r="O209">
        <v>0</v>
      </c>
      <c r="P209">
        <v>0</v>
      </c>
      <c r="Q209">
        <v>4</v>
      </c>
      <c r="U209" t="s">
        <v>1</v>
      </c>
      <c r="V209" t="s">
        <v>1511</v>
      </c>
      <c r="Y209">
        <v>1</v>
      </c>
      <c r="AB209" t="s">
        <v>1013</v>
      </c>
      <c r="AD209" t="s">
        <v>964</v>
      </c>
    </row>
    <row r="210" spans="1:30" x14ac:dyDescent="0.15">
      <c r="A210">
        <v>254302</v>
      </c>
      <c r="B210" t="s">
        <v>1002</v>
      </c>
      <c r="C210" t="s">
        <v>1705</v>
      </c>
      <c r="D210" t="s">
        <v>1004</v>
      </c>
      <c r="E210" t="s">
        <v>1733</v>
      </c>
      <c r="F210" t="s">
        <v>1320</v>
      </c>
      <c r="G210" t="s">
        <v>1734</v>
      </c>
      <c r="H210" t="s">
        <v>1735</v>
      </c>
      <c r="I210" t="s">
        <v>1009</v>
      </c>
      <c r="K210" t="s">
        <v>1010</v>
      </c>
      <c r="L210" t="s">
        <v>76</v>
      </c>
      <c r="N210" t="s">
        <v>1011</v>
      </c>
      <c r="O210">
        <v>0</v>
      </c>
      <c r="P210">
        <v>0</v>
      </c>
      <c r="Q210">
        <v>4</v>
      </c>
      <c r="U210" t="s">
        <v>1</v>
      </c>
      <c r="V210" t="s">
        <v>1511</v>
      </c>
      <c r="Y210">
        <v>1</v>
      </c>
      <c r="AB210" t="s">
        <v>1013</v>
      </c>
      <c r="AD210" t="s">
        <v>964</v>
      </c>
    </row>
    <row r="211" spans="1:30" x14ac:dyDescent="0.15">
      <c r="A211">
        <v>254303</v>
      </c>
      <c r="B211" t="s">
        <v>1002</v>
      </c>
      <c r="C211" t="s">
        <v>1705</v>
      </c>
      <c r="D211" t="s">
        <v>1004</v>
      </c>
      <c r="E211" t="s">
        <v>1736</v>
      </c>
      <c r="F211" t="s">
        <v>1320</v>
      </c>
      <c r="G211" t="s">
        <v>1737</v>
      </c>
      <c r="H211" t="s">
        <v>1738</v>
      </c>
      <c r="I211" t="s">
        <v>1037</v>
      </c>
      <c r="K211" t="s">
        <v>1010</v>
      </c>
      <c r="L211" t="s">
        <v>76</v>
      </c>
      <c r="N211" t="s">
        <v>1011</v>
      </c>
      <c r="O211">
        <v>0</v>
      </c>
      <c r="P211">
        <v>0</v>
      </c>
      <c r="Q211">
        <v>5</v>
      </c>
      <c r="U211" t="s">
        <v>1</v>
      </c>
      <c r="V211" t="s">
        <v>1511</v>
      </c>
      <c r="Y211">
        <v>1</v>
      </c>
      <c r="AB211" t="s">
        <v>1013</v>
      </c>
      <c r="AD211" t="s">
        <v>964</v>
      </c>
    </row>
    <row r="212" spans="1:30" x14ac:dyDescent="0.15">
      <c r="A212">
        <v>254304</v>
      </c>
      <c r="B212" t="s">
        <v>1002</v>
      </c>
      <c r="C212" t="s">
        <v>1705</v>
      </c>
      <c r="D212" t="s">
        <v>1004</v>
      </c>
      <c r="E212" t="s">
        <v>1739</v>
      </c>
      <c r="F212" t="s">
        <v>1320</v>
      </c>
      <c r="G212" t="s">
        <v>1740</v>
      </c>
      <c r="H212" t="s">
        <v>1738</v>
      </c>
      <c r="I212" t="s">
        <v>1037</v>
      </c>
      <c r="K212" t="s">
        <v>1010</v>
      </c>
      <c r="L212" t="s">
        <v>76</v>
      </c>
      <c r="N212" t="s">
        <v>1011</v>
      </c>
      <c r="O212">
        <v>0</v>
      </c>
      <c r="P212">
        <v>0</v>
      </c>
      <c r="Q212">
        <v>5</v>
      </c>
      <c r="U212" t="s">
        <v>1</v>
      </c>
      <c r="V212" t="s">
        <v>1511</v>
      </c>
      <c r="Y212">
        <v>1</v>
      </c>
      <c r="AB212" t="s">
        <v>1013</v>
      </c>
      <c r="AD212" t="s">
        <v>964</v>
      </c>
    </row>
    <row r="213" spans="1:30" x14ac:dyDescent="0.15">
      <c r="A213">
        <v>254305</v>
      </c>
      <c r="B213" t="s">
        <v>1002</v>
      </c>
      <c r="C213" t="s">
        <v>1705</v>
      </c>
      <c r="D213" t="s">
        <v>1004</v>
      </c>
      <c r="E213" t="s">
        <v>1741</v>
      </c>
      <c r="F213" t="s">
        <v>1320</v>
      </c>
      <c r="G213" t="s">
        <v>1742</v>
      </c>
      <c r="H213" t="s">
        <v>1738</v>
      </c>
      <c r="I213" t="s">
        <v>1037</v>
      </c>
      <c r="K213" t="s">
        <v>144</v>
      </c>
      <c r="L213" t="s">
        <v>76</v>
      </c>
      <c r="N213" t="s">
        <v>1011</v>
      </c>
      <c r="O213">
        <v>0</v>
      </c>
      <c r="P213">
        <v>0</v>
      </c>
      <c r="Q213">
        <v>5</v>
      </c>
      <c r="U213" t="s">
        <v>1</v>
      </c>
      <c r="V213" t="s">
        <v>1511</v>
      </c>
      <c r="Y213">
        <v>1</v>
      </c>
      <c r="AB213" t="s">
        <v>1013</v>
      </c>
      <c r="AD213" t="s">
        <v>1023</v>
      </c>
    </row>
    <row r="214" spans="1:30" x14ac:dyDescent="0.15">
      <c r="A214">
        <v>254306</v>
      </c>
      <c r="B214" t="s">
        <v>1002</v>
      </c>
      <c r="C214" t="s">
        <v>1705</v>
      </c>
      <c r="D214" t="s">
        <v>1004</v>
      </c>
      <c r="E214" t="s">
        <v>1743</v>
      </c>
      <c r="F214" t="s">
        <v>1320</v>
      </c>
      <c r="G214" t="s">
        <v>1744</v>
      </c>
      <c r="H214" t="s">
        <v>1738</v>
      </c>
      <c r="I214" t="s">
        <v>1037</v>
      </c>
      <c r="K214" t="s">
        <v>144</v>
      </c>
      <c r="L214" t="s">
        <v>76</v>
      </c>
      <c r="N214" t="s">
        <v>1011</v>
      </c>
      <c r="O214">
        <v>0</v>
      </c>
      <c r="P214">
        <v>0</v>
      </c>
      <c r="Q214">
        <v>5</v>
      </c>
      <c r="U214" t="s">
        <v>1</v>
      </c>
      <c r="V214" t="s">
        <v>1511</v>
      </c>
      <c r="Y214">
        <v>1</v>
      </c>
      <c r="AB214" t="s">
        <v>1013</v>
      </c>
      <c r="AD214" t="s">
        <v>1023</v>
      </c>
    </row>
    <row r="215" spans="1:30" x14ac:dyDescent="0.15">
      <c r="A215">
        <v>254307</v>
      </c>
      <c r="B215" t="s">
        <v>1002</v>
      </c>
      <c r="C215" t="s">
        <v>1705</v>
      </c>
      <c r="D215" t="s">
        <v>1004</v>
      </c>
      <c r="E215" t="s">
        <v>952</v>
      </c>
      <c r="F215" t="s">
        <v>1320</v>
      </c>
      <c r="G215" t="s">
        <v>1745</v>
      </c>
      <c r="H215" t="s">
        <v>1746</v>
      </c>
      <c r="I215" t="s">
        <v>1037</v>
      </c>
      <c r="K215" t="s">
        <v>142</v>
      </c>
      <c r="L215" t="s">
        <v>76</v>
      </c>
      <c r="N215" t="s">
        <v>1011</v>
      </c>
      <c r="O215">
        <v>0</v>
      </c>
      <c r="P215">
        <v>0</v>
      </c>
      <c r="Q215">
        <v>5</v>
      </c>
      <c r="U215" t="s">
        <v>1</v>
      </c>
      <c r="V215" t="s">
        <v>1511</v>
      </c>
      <c r="Y215">
        <v>1</v>
      </c>
      <c r="AB215" t="s">
        <v>1013</v>
      </c>
      <c r="AD215" t="s">
        <v>964</v>
      </c>
    </row>
    <row r="216" spans="1:30" x14ac:dyDescent="0.15">
      <c r="A216">
        <v>254308</v>
      </c>
      <c r="B216" t="s">
        <v>1002</v>
      </c>
      <c r="C216" t="s">
        <v>1705</v>
      </c>
      <c r="D216" t="s">
        <v>1004</v>
      </c>
      <c r="E216" t="s">
        <v>929</v>
      </c>
      <c r="F216" t="s">
        <v>1320</v>
      </c>
      <c r="G216" t="s">
        <v>1747</v>
      </c>
      <c r="H216" t="s">
        <v>1748</v>
      </c>
      <c r="I216" t="s">
        <v>1009</v>
      </c>
      <c r="K216" t="s">
        <v>142</v>
      </c>
      <c r="L216" t="s">
        <v>76</v>
      </c>
      <c r="N216" t="s">
        <v>1011</v>
      </c>
      <c r="O216">
        <v>0</v>
      </c>
      <c r="P216">
        <v>0</v>
      </c>
      <c r="Q216">
        <v>4</v>
      </c>
      <c r="U216" t="s">
        <v>1</v>
      </c>
      <c r="V216" t="s">
        <v>1511</v>
      </c>
      <c r="Y216">
        <v>1</v>
      </c>
      <c r="AB216" t="s">
        <v>1013</v>
      </c>
      <c r="AD216" t="s">
        <v>964</v>
      </c>
    </row>
    <row r="217" spans="1:30" x14ac:dyDescent="0.15">
      <c r="A217">
        <v>254309</v>
      </c>
      <c r="B217" t="s">
        <v>1002</v>
      </c>
      <c r="C217" t="s">
        <v>1705</v>
      </c>
      <c r="D217" t="s">
        <v>1004</v>
      </c>
      <c r="E217" t="s">
        <v>1749</v>
      </c>
      <c r="F217" t="s">
        <v>1320</v>
      </c>
      <c r="G217" t="s">
        <v>1750</v>
      </c>
      <c r="H217" t="s">
        <v>1751</v>
      </c>
      <c r="I217" t="s">
        <v>1009</v>
      </c>
      <c r="K217" t="s">
        <v>142</v>
      </c>
      <c r="L217" t="s">
        <v>76</v>
      </c>
      <c r="N217" t="s">
        <v>1011</v>
      </c>
      <c r="O217">
        <v>0</v>
      </c>
      <c r="P217">
        <v>0</v>
      </c>
      <c r="Q217">
        <v>4</v>
      </c>
      <c r="U217" t="s">
        <v>1</v>
      </c>
      <c r="V217" t="s">
        <v>1511</v>
      </c>
      <c r="Y217">
        <v>1</v>
      </c>
      <c r="AB217" t="s">
        <v>1013</v>
      </c>
      <c r="AD217" t="s">
        <v>964</v>
      </c>
    </row>
    <row r="218" spans="1:30" x14ac:dyDescent="0.15">
      <c r="A218">
        <v>254310</v>
      </c>
      <c r="B218" t="s">
        <v>1002</v>
      </c>
      <c r="C218" t="s">
        <v>1705</v>
      </c>
      <c r="D218" t="s">
        <v>1004</v>
      </c>
      <c r="E218" t="s">
        <v>960</v>
      </c>
      <c r="F218" t="s">
        <v>1320</v>
      </c>
      <c r="G218" t="s">
        <v>1752</v>
      </c>
      <c r="H218" t="s">
        <v>1753</v>
      </c>
      <c r="I218" t="s">
        <v>1043</v>
      </c>
      <c r="K218" t="s">
        <v>144</v>
      </c>
      <c r="L218" t="s">
        <v>77</v>
      </c>
      <c r="N218" t="s">
        <v>1011</v>
      </c>
      <c r="O218">
        <v>0</v>
      </c>
      <c r="P218">
        <v>0</v>
      </c>
      <c r="Q218">
        <v>3</v>
      </c>
      <c r="U218" t="s">
        <v>1</v>
      </c>
      <c r="V218" t="s">
        <v>1511</v>
      </c>
      <c r="Y218">
        <v>1</v>
      </c>
      <c r="AB218" t="s">
        <v>1013</v>
      </c>
      <c r="AD218" t="s">
        <v>1023</v>
      </c>
    </row>
    <row r="219" spans="1:30" x14ac:dyDescent="0.15">
      <c r="A219">
        <v>254311</v>
      </c>
      <c r="B219" t="s">
        <v>1002</v>
      </c>
      <c r="C219" t="s">
        <v>1705</v>
      </c>
      <c r="D219" t="s">
        <v>1004</v>
      </c>
      <c r="E219" t="s">
        <v>962</v>
      </c>
      <c r="F219" t="s">
        <v>1320</v>
      </c>
      <c r="G219" t="s">
        <v>1754</v>
      </c>
      <c r="H219" t="s">
        <v>1755</v>
      </c>
      <c r="I219" t="s">
        <v>1037</v>
      </c>
      <c r="K219" t="s">
        <v>144</v>
      </c>
      <c r="L219" t="s">
        <v>77</v>
      </c>
      <c r="N219" t="s">
        <v>1011</v>
      </c>
      <c r="O219">
        <v>0</v>
      </c>
      <c r="P219">
        <v>0</v>
      </c>
      <c r="Q219">
        <v>5</v>
      </c>
      <c r="U219" t="s">
        <v>1</v>
      </c>
      <c r="V219" t="s">
        <v>1511</v>
      </c>
      <c r="Y219">
        <v>1</v>
      </c>
      <c r="AB219" t="s">
        <v>1013</v>
      </c>
      <c r="AD219" t="s">
        <v>1023</v>
      </c>
    </row>
    <row r="220" spans="1:30" x14ac:dyDescent="0.15">
      <c r="A220">
        <v>254312</v>
      </c>
      <c r="B220" t="s">
        <v>1002</v>
      </c>
      <c r="C220" t="s">
        <v>1705</v>
      </c>
      <c r="D220" t="s">
        <v>1004</v>
      </c>
      <c r="E220" t="s">
        <v>939</v>
      </c>
      <c r="F220" t="s">
        <v>1320</v>
      </c>
      <c r="G220" t="s">
        <v>1756</v>
      </c>
      <c r="H220" t="s">
        <v>1755</v>
      </c>
      <c r="I220" t="s">
        <v>1037</v>
      </c>
      <c r="K220" t="s">
        <v>144</v>
      </c>
      <c r="L220" t="s">
        <v>77</v>
      </c>
      <c r="N220" t="s">
        <v>1011</v>
      </c>
      <c r="O220">
        <v>0</v>
      </c>
      <c r="P220">
        <v>0</v>
      </c>
      <c r="Q220">
        <v>5</v>
      </c>
      <c r="U220" t="s">
        <v>1</v>
      </c>
      <c r="V220" t="s">
        <v>1511</v>
      </c>
      <c r="Y220">
        <v>1</v>
      </c>
      <c r="AB220" t="s">
        <v>1013</v>
      </c>
      <c r="AD220" t="s">
        <v>1023</v>
      </c>
    </row>
    <row r="221" spans="1:30" x14ac:dyDescent="0.15">
      <c r="A221">
        <v>254347</v>
      </c>
      <c r="B221" t="s">
        <v>1002</v>
      </c>
      <c r="C221" t="s">
        <v>1757</v>
      </c>
      <c r="D221" t="s">
        <v>1004</v>
      </c>
      <c r="E221" t="s">
        <v>1758</v>
      </c>
      <c r="F221" t="s">
        <v>1320</v>
      </c>
      <c r="G221" t="s">
        <v>1759</v>
      </c>
      <c r="H221" t="s">
        <v>1760</v>
      </c>
      <c r="I221" t="s">
        <v>1293</v>
      </c>
      <c r="K221" t="s">
        <v>142</v>
      </c>
      <c r="L221" t="s">
        <v>77</v>
      </c>
      <c r="N221" t="s">
        <v>1011</v>
      </c>
      <c r="O221">
        <v>0</v>
      </c>
      <c r="P221">
        <v>0</v>
      </c>
      <c r="Q221">
        <v>6</v>
      </c>
      <c r="U221" t="s">
        <v>1</v>
      </c>
      <c r="V221" t="s">
        <v>1012</v>
      </c>
      <c r="Y221">
        <v>1</v>
      </c>
      <c r="AB221" t="s">
        <v>1013</v>
      </c>
      <c r="AD221" t="s">
        <v>964</v>
      </c>
    </row>
    <row r="222" spans="1:30" x14ac:dyDescent="0.15">
      <c r="A222">
        <v>254348</v>
      </c>
      <c r="B222" t="s">
        <v>1002</v>
      </c>
      <c r="C222" t="s">
        <v>1757</v>
      </c>
      <c r="D222" t="s">
        <v>1004</v>
      </c>
      <c r="E222" t="s">
        <v>1761</v>
      </c>
      <c r="F222" t="s">
        <v>1320</v>
      </c>
      <c r="G222" t="s">
        <v>1762</v>
      </c>
      <c r="H222" t="s">
        <v>1760</v>
      </c>
      <c r="I222" t="s">
        <v>1293</v>
      </c>
      <c r="K222" t="s">
        <v>142</v>
      </c>
      <c r="L222" t="s">
        <v>77</v>
      </c>
      <c r="N222" t="s">
        <v>1011</v>
      </c>
      <c r="O222">
        <v>0</v>
      </c>
      <c r="P222">
        <v>0</v>
      </c>
      <c r="Q222">
        <v>6</v>
      </c>
      <c r="U222" t="s">
        <v>1</v>
      </c>
      <c r="V222" t="s">
        <v>1012</v>
      </c>
      <c r="Y222">
        <v>1</v>
      </c>
      <c r="AB222" t="s">
        <v>1013</v>
      </c>
      <c r="AD222" t="s">
        <v>964</v>
      </c>
    </row>
    <row r="223" spans="1:30" x14ac:dyDescent="0.15">
      <c r="A223">
        <v>254349</v>
      </c>
      <c r="B223" t="s">
        <v>1002</v>
      </c>
      <c r="C223" t="s">
        <v>1757</v>
      </c>
      <c r="D223" t="s">
        <v>1004</v>
      </c>
      <c r="E223" t="s">
        <v>1763</v>
      </c>
      <c r="F223" t="s">
        <v>1320</v>
      </c>
      <c r="G223" t="s">
        <v>1764</v>
      </c>
      <c r="H223" t="s">
        <v>1760</v>
      </c>
      <c r="I223" t="s">
        <v>1293</v>
      </c>
      <c r="K223" t="s">
        <v>142</v>
      </c>
      <c r="L223" t="s">
        <v>77</v>
      </c>
      <c r="N223" t="s">
        <v>1011</v>
      </c>
      <c r="O223">
        <v>0</v>
      </c>
      <c r="P223">
        <v>0</v>
      </c>
      <c r="Q223">
        <v>6</v>
      </c>
      <c r="U223" t="s">
        <v>1</v>
      </c>
      <c r="V223" t="s">
        <v>1012</v>
      </c>
      <c r="Y223">
        <v>1</v>
      </c>
      <c r="AB223" t="s">
        <v>1013</v>
      </c>
      <c r="AD223" t="s">
        <v>964</v>
      </c>
    </row>
    <row r="224" spans="1:30" x14ac:dyDescent="0.15">
      <c r="A224">
        <v>254350</v>
      </c>
      <c r="B224" t="s">
        <v>1002</v>
      </c>
      <c r="C224" t="s">
        <v>1757</v>
      </c>
      <c r="D224" t="s">
        <v>1004</v>
      </c>
      <c r="E224" t="s">
        <v>1765</v>
      </c>
      <c r="F224" t="s">
        <v>1320</v>
      </c>
      <c r="G224" t="s">
        <v>1766</v>
      </c>
      <c r="H224" t="s">
        <v>1760</v>
      </c>
      <c r="I224" t="s">
        <v>1293</v>
      </c>
      <c r="K224" t="s">
        <v>142</v>
      </c>
      <c r="L224" t="s">
        <v>77</v>
      </c>
      <c r="N224" t="s">
        <v>1011</v>
      </c>
      <c r="O224">
        <v>0</v>
      </c>
      <c r="P224">
        <v>0</v>
      </c>
      <c r="Q224">
        <v>6</v>
      </c>
      <c r="U224" t="s">
        <v>1</v>
      </c>
      <c r="V224" t="s">
        <v>1012</v>
      </c>
      <c r="Y224">
        <v>1</v>
      </c>
      <c r="AB224" t="s">
        <v>1013</v>
      </c>
      <c r="AD224" t="s">
        <v>964</v>
      </c>
    </row>
    <row r="225" spans="1:30" x14ac:dyDescent="0.15">
      <c r="A225">
        <v>254351</v>
      </c>
      <c r="B225" t="s">
        <v>1002</v>
      </c>
      <c r="C225" t="s">
        <v>1757</v>
      </c>
      <c r="D225" t="s">
        <v>1004</v>
      </c>
      <c r="E225" t="s">
        <v>1767</v>
      </c>
      <c r="F225" t="s">
        <v>1320</v>
      </c>
      <c r="G225" t="s">
        <v>1768</v>
      </c>
      <c r="H225" t="s">
        <v>1760</v>
      </c>
      <c r="I225" t="s">
        <v>1293</v>
      </c>
      <c r="K225" t="s">
        <v>142</v>
      </c>
      <c r="L225" t="s">
        <v>77</v>
      </c>
      <c r="N225" t="s">
        <v>1011</v>
      </c>
      <c r="O225">
        <v>0</v>
      </c>
      <c r="P225">
        <v>0</v>
      </c>
      <c r="Q225">
        <v>6</v>
      </c>
      <c r="U225" t="s">
        <v>1</v>
      </c>
      <c r="V225" t="s">
        <v>1012</v>
      </c>
      <c r="Y225">
        <v>1</v>
      </c>
      <c r="AB225" t="s">
        <v>1013</v>
      </c>
      <c r="AD225" t="s">
        <v>964</v>
      </c>
    </row>
    <row r="226" spans="1:30" x14ac:dyDescent="0.15">
      <c r="A226">
        <v>254352</v>
      </c>
      <c r="B226" t="s">
        <v>1002</v>
      </c>
      <c r="C226" t="s">
        <v>1757</v>
      </c>
      <c r="D226" t="s">
        <v>1004</v>
      </c>
      <c r="E226" t="s">
        <v>1769</v>
      </c>
      <c r="F226" t="s">
        <v>1320</v>
      </c>
      <c r="G226" t="s">
        <v>1770</v>
      </c>
      <c r="H226" t="s">
        <v>1760</v>
      </c>
      <c r="I226" t="s">
        <v>1293</v>
      </c>
      <c r="K226" t="s">
        <v>142</v>
      </c>
      <c r="L226" t="s">
        <v>77</v>
      </c>
      <c r="N226" t="s">
        <v>1011</v>
      </c>
      <c r="O226">
        <v>0</v>
      </c>
      <c r="P226">
        <v>0</v>
      </c>
      <c r="Q226">
        <v>6</v>
      </c>
      <c r="U226" t="s">
        <v>1</v>
      </c>
      <c r="V226" t="s">
        <v>1012</v>
      </c>
      <c r="Y226">
        <v>1</v>
      </c>
      <c r="AB226" t="s">
        <v>1013</v>
      </c>
      <c r="AD226" t="s">
        <v>964</v>
      </c>
    </row>
    <row r="227" spans="1:30" x14ac:dyDescent="0.15">
      <c r="A227">
        <v>254353</v>
      </c>
      <c r="B227" t="s">
        <v>1002</v>
      </c>
      <c r="C227" t="s">
        <v>1757</v>
      </c>
      <c r="D227" t="s">
        <v>1004</v>
      </c>
      <c r="E227" t="s">
        <v>1771</v>
      </c>
      <c r="F227" t="s">
        <v>1320</v>
      </c>
      <c r="G227" t="s">
        <v>1772</v>
      </c>
      <c r="H227" t="s">
        <v>1760</v>
      </c>
      <c r="I227" t="s">
        <v>1293</v>
      </c>
      <c r="K227" t="s">
        <v>142</v>
      </c>
      <c r="L227" t="s">
        <v>77</v>
      </c>
      <c r="N227" t="s">
        <v>1011</v>
      </c>
      <c r="O227">
        <v>0</v>
      </c>
      <c r="P227">
        <v>0</v>
      </c>
      <c r="Q227">
        <v>6</v>
      </c>
      <c r="U227" t="s">
        <v>1</v>
      </c>
      <c r="V227" t="s">
        <v>1012</v>
      </c>
      <c r="Y227">
        <v>1</v>
      </c>
      <c r="AB227" t="s">
        <v>1013</v>
      </c>
      <c r="AD227" t="s">
        <v>964</v>
      </c>
    </row>
    <row r="228" spans="1:30" x14ac:dyDescent="0.15">
      <c r="A228">
        <v>254354</v>
      </c>
      <c r="B228" t="s">
        <v>1002</v>
      </c>
      <c r="C228" t="s">
        <v>1757</v>
      </c>
      <c r="D228" t="s">
        <v>1004</v>
      </c>
      <c r="E228" t="s">
        <v>1773</v>
      </c>
      <c r="F228" t="s">
        <v>1320</v>
      </c>
      <c r="G228" t="s">
        <v>1774</v>
      </c>
      <c r="H228" t="s">
        <v>1760</v>
      </c>
      <c r="I228" t="s">
        <v>1293</v>
      </c>
      <c r="K228" t="s">
        <v>142</v>
      </c>
      <c r="L228" t="s">
        <v>77</v>
      </c>
      <c r="N228" t="s">
        <v>1011</v>
      </c>
      <c r="O228">
        <v>0</v>
      </c>
      <c r="P228">
        <v>0</v>
      </c>
      <c r="Q228">
        <v>6</v>
      </c>
      <c r="U228" t="s">
        <v>1</v>
      </c>
      <c r="V228" t="s">
        <v>1012</v>
      </c>
      <c r="Y228">
        <v>1</v>
      </c>
      <c r="AB228" t="s">
        <v>1013</v>
      </c>
      <c r="AD228" t="s">
        <v>964</v>
      </c>
    </row>
    <row r="229" spans="1:30" x14ac:dyDescent="0.15">
      <c r="A229">
        <v>254355</v>
      </c>
      <c r="B229" t="s">
        <v>1002</v>
      </c>
      <c r="C229" t="s">
        <v>1757</v>
      </c>
      <c r="D229" t="s">
        <v>1004</v>
      </c>
      <c r="E229" t="s">
        <v>1775</v>
      </c>
      <c r="F229" t="s">
        <v>1320</v>
      </c>
      <c r="G229" t="s">
        <v>1776</v>
      </c>
      <c r="H229" t="s">
        <v>1760</v>
      </c>
      <c r="I229" t="s">
        <v>1293</v>
      </c>
      <c r="K229" t="s">
        <v>142</v>
      </c>
      <c r="L229" t="s">
        <v>77</v>
      </c>
      <c r="N229" t="s">
        <v>1011</v>
      </c>
      <c r="O229">
        <v>0</v>
      </c>
      <c r="P229">
        <v>0</v>
      </c>
      <c r="Q229">
        <v>6</v>
      </c>
      <c r="U229" t="s">
        <v>1</v>
      </c>
      <c r="V229" t="s">
        <v>1012</v>
      </c>
      <c r="Y229">
        <v>1</v>
      </c>
      <c r="AB229" t="s">
        <v>1013</v>
      </c>
      <c r="AD229" t="s">
        <v>964</v>
      </c>
    </row>
    <row r="230" spans="1:30" x14ac:dyDescent="0.15">
      <c r="A230">
        <v>254356</v>
      </c>
      <c r="B230" t="s">
        <v>1002</v>
      </c>
      <c r="C230" t="s">
        <v>1757</v>
      </c>
      <c r="D230" t="s">
        <v>1004</v>
      </c>
      <c r="E230" t="s">
        <v>1777</v>
      </c>
      <c r="F230" t="s">
        <v>1320</v>
      </c>
      <c r="G230" t="s">
        <v>1778</v>
      </c>
      <c r="H230" t="s">
        <v>1779</v>
      </c>
      <c r="I230" t="s">
        <v>1037</v>
      </c>
      <c r="K230" t="s">
        <v>142</v>
      </c>
      <c r="L230" t="s">
        <v>77</v>
      </c>
      <c r="N230" t="s">
        <v>1011</v>
      </c>
      <c r="O230">
        <v>0</v>
      </c>
      <c r="P230">
        <v>0</v>
      </c>
      <c r="Q230">
        <v>5</v>
      </c>
      <c r="U230" t="s">
        <v>1</v>
      </c>
      <c r="V230" t="s">
        <v>1012</v>
      </c>
      <c r="Y230">
        <v>1</v>
      </c>
      <c r="AB230" t="s">
        <v>1013</v>
      </c>
      <c r="AD230" t="s">
        <v>964</v>
      </c>
    </row>
    <row r="231" spans="1:30" x14ac:dyDescent="0.15">
      <c r="A231">
        <v>254357</v>
      </c>
      <c r="B231" t="s">
        <v>1002</v>
      </c>
      <c r="C231" t="s">
        <v>1757</v>
      </c>
      <c r="D231" t="s">
        <v>1004</v>
      </c>
      <c r="E231" t="s">
        <v>1780</v>
      </c>
      <c r="F231" t="s">
        <v>1320</v>
      </c>
      <c r="G231" t="s">
        <v>1781</v>
      </c>
      <c r="H231" t="s">
        <v>1779</v>
      </c>
      <c r="I231" t="s">
        <v>1037</v>
      </c>
      <c r="K231" t="s">
        <v>142</v>
      </c>
      <c r="L231" t="s">
        <v>77</v>
      </c>
      <c r="N231" t="s">
        <v>1011</v>
      </c>
      <c r="O231">
        <v>0</v>
      </c>
      <c r="P231">
        <v>0</v>
      </c>
      <c r="Q231">
        <v>5</v>
      </c>
      <c r="U231" t="s">
        <v>1</v>
      </c>
      <c r="V231" t="s">
        <v>1012</v>
      </c>
      <c r="Y231">
        <v>1</v>
      </c>
      <c r="AB231" t="s">
        <v>1013</v>
      </c>
      <c r="AD231" t="s">
        <v>964</v>
      </c>
    </row>
    <row r="232" spans="1:30" x14ac:dyDescent="0.15">
      <c r="A232">
        <v>254358</v>
      </c>
      <c r="B232" t="s">
        <v>1002</v>
      </c>
      <c r="C232" t="s">
        <v>1757</v>
      </c>
      <c r="D232" t="s">
        <v>1004</v>
      </c>
      <c r="E232" t="s">
        <v>1782</v>
      </c>
      <c r="F232" t="s">
        <v>1320</v>
      </c>
      <c r="G232" t="s">
        <v>1783</v>
      </c>
      <c r="H232" t="s">
        <v>1779</v>
      </c>
      <c r="I232" t="s">
        <v>1037</v>
      </c>
      <c r="K232" t="s">
        <v>142</v>
      </c>
      <c r="L232" t="s">
        <v>77</v>
      </c>
      <c r="N232" t="s">
        <v>1011</v>
      </c>
      <c r="O232">
        <v>0</v>
      </c>
      <c r="P232">
        <v>0</v>
      </c>
      <c r="Q232">
        <v>5</v>
      </c>
      <c r="U232" t="s">
        <v>1</v>
      </c>
      <c r="V232" t="s">
        <v>1012</v>
      </c>
      <c r="Y232">
        <v>1</v>
      </c>
      <c r="AB232" t="s">
        <v>1013</v>
      </c>
      <c r="AD232" t="s">
        <v>964</v>
      </c>
    </row>
    <row r="233" spans="1:30" x14ac:dyDescent="0.15">
      <c r="A233">
        <v>254359</v>
      </c>
      <c r="B233" t="s">
        <v>1002</v>
      </c>
      <c r="C233" t="s">
        <v>1757</v>
      </c>
      <c r="D233" t="s">
        <v>1004</v>
      </c>
      <c r="E233" t="s">
        <v>1784</v>
      </c>
      <c r="F233" t="s">
        <v>1320</v>
      </c>
      <c r="G233" t="s">
        <v>1785</v>
      </c>
      <c r="H233" t="s">
        <v>1779</v>
      </c>
      <c r="I233" t="s">
        <v>1037</v>
      </c>
      <c r="K233" t="s">
        <v>142</v>
      </c>
      <c r="L233" t="s">
        <v>77</v>
      </c>
      <c r="N233" t="s">
        <v>1011</v>
      </c>
      <c r="O233">
        <v>0</v>
      </c>
      <c r="P233">
        <v>0</v>
      </c>
      <c r="Q233">
        <v>5</v>
      </c>
      <c r="U233" t="s">
        <v>1</v>
      </c>
      <c r="V233" t="s">
        <v>1012</v>
      </c>
      <c r="Y233">
        <v>1</v>
      </c>
      <c r="AB233" t="s">
        <v>1013</v>
      </c>
      <c r="AD233" t="s">
        <v>964</v>
      </c>
    </row>
    <row r="234" spans="1:30" x14ac:dyDescent="0.15">
      <c r="A234">
        <v>254360</v>
      </c>
      <c r="B234" t="s">
        <v>1002</v>
      </c>
      <c r="C234" t="s">
        <v>1757</v>
      </c>
      <c r="D234" t="s">
        <v>1004</v>
      </c>
      <c r="E234" t="s">
        <v>1786</v>
      </c>
      <c r="F234" t="s">
        <v>1320</v>
      </c>
      <c r="G234" t="s">
        <v>1787</v>
      </c>
      <c r="H234" t="s">
        <v>1779</v>
      </c>
      <c r="I234" t="s">
        <v>1037</v>
      </c>
      <c r="K234" t="s">
        <v>142</v>
      </c>
      <c r="L234" t="s">
        <v>77</v>
      </c>
      <c r="N234" t="s">
        <v>1011</v>
      </c>
      <c r="O234">
        <v>0</v>
      </c>
      <c r="P234">
        <v>0</v>
      </c>
      <c r="Q234">
        <v>5</v>
      </c>
      <c r="U234" t="s">
        <v>1</v>
      </c>
      <c r="V234" t="s">
        <v>1012</v>
      </c>
      <c r="Y234">
        <v>1</v>
      </c>
      <c r="AB234" t="s">
        <v>1013</v>
      </c>
      <c r="AD234" t="s">
        <v>964</v>
      </c>
    </row>
    <row r="235" spans="1:30" x14ac:dyDescent="0.15">
      <c r="A235">
        <v>254361</v>
      </c>
      <c r="B235" t="s">
        <v>1002</v>
      </c>
      <c r="C235" t="s">
        <v>1757</v>
      </c>
      <c r="D235" t="s">
        <v>1004</v>
      </c>
      <c r="E235" t="s">
        <v>1788</v>
      </c>
      <c r="F235" t="s">
        <v>1320</v>
      </c>
      <c r="G235" t="s">
        <v>1789</v>
      </c>
      <c r="H235" t="s">
        <v>1779</v>
      </c>
      <c r="I235" t="s">
        <v>1037</v>
      </c>
      <c r="K235" t="s">
        <v>142</v>
      </c>
      <c r="L235" t="s">
        <v>77</v>
      </c>
      <c r="N235" t="s">
        <v>1011</v>
      </c>
      <c r="O235">
        <v>0</v>
      </c>
      <c r="P235">
        <v>0</v>
      </c>
      <c r="Q235">
        <v>5</v>
      </c>
      <c r="U235" t="s">
        <v>1</v>
      </c>
      <c r="V235" t="s">
        <v>1012</v>
      </c>
      <c r="Y235">
        <v>1</v>
      </c>
      <c r="AB235" t="s">
        <v>1013</v>
      </c>
      <c r="AD235" t="s">
        <v>964</v>
      </c>
    </row>
    <row r="236" spans="1:30" x14ac:dyDescent="0.15">
      <c r="A236">
        <v>254362</v>
      </c>
      <c r="B236" t="s">
        <v>1002</v>
      </c>
      <c r="C236" t="s">
        <v>1757</v>
      </c>
      <c r="D236" t="s">
        <v>1004</v>
      </c>
      <c r="E236" t="s">
        <v>1790</v>
      </c>
      <c r="F236" t="s">
        <v>1320</v>
      </c>
      <c r="G236" t="s">
        <v>1791</v>
      </c>
      <c r="H236" t="s">
        <v>1779</v>
      </c>
      <c r="I236" t="s">
        <v>1037</v>
      </c>
      <c r="K236" t="s">
        <v>142</v>
      </c>
      <c r="L236" t="s">
        <v>77</v>
      </c>
      <c r="N236" t="s">
        <v>1011</v>
      </c>
      <c r="O236">
        <v>0</v>
      </c>
      <c r="P236">
        <v>0</v>
      </c>
      <c r="Q236">
        <v>5</v>
      </c>
      <c r="U236" t="s">
        <v>1</v>
      </c>
      <c r="V236" t="s">
        <v>1012</v>
      </c>
      <c r="Y236">
        <v>1</v>
      </c>
      <c r="AB236" t="s">
        <v>1013</v>
      </c>
      <c r="AD236" t="s">
        <v>964</v>
      </c>
    </row>
    <row r="237" spans="1:30" x14ac:dyDescent="0.15">
      <c r="A237">
        <v>254363</v>
      </c>
      <c r="B237" t="s">
        <v>1002</v>
      </c>
      <c r="C237" t="s">
        <v>1757</v>
      </c>
      <c r="D237" t="s">
        <v>1004</v>
      </c>
      <c r="E237" t="s">
        <v>1792</v>
      </c>
      <c r="F237" t="s">
        <v>1320</v>
      </c>
      <c r="G237" t="s">
        <v>1793</v>
      </c>
      <c r="H237" t="s">
        <v>1779</v>
      </c>
      <c r="I237" t="s">
        <v>1037</v>
      </c>
      <c r="K237" t="s">
        <v>142</v>
      </c>
      <c r="L237" t="s">
        <v>77</v>
      </c>
      <c r="N237" t="s">
        <v>1011</v>
      </c>
      <c r="O237">
        <v>0</v>
      </c>
      <c r="P237">
        <v>0</v>
      </c>
      <c r="Q237">
        <v>5</v>
      </c>
      <c r="U237" t="s">
        <v>1</v>
      </c>
      <c r="V237" t="s">
        <v>1012</v>
      </c>
      <c r="Y237">
        <v>1</v>
      </c>
      <c r="AB237" t="s">
        <v>1013</v>
      </c>
      <c r="AD237" t="s">
        <v>964</v>
      </c>
    </row>
    <row r="238" spans="1:30" x14ac:dyDescent="0.15">
      <c r="A238">
        <v>254364</v>
      </c>
      <c r="B238" t="s">
        <v>1002</v>
      </c>
      <c r="C238" t="s">
        <v>1757</v>
      </c>
      <c r="D238" t="s">
        <v>1004</v>
      </c>
      <c r="E238" t="s">
        <v>1794</v>
      </c>
      <c r="F238" t="s">
        <v>1320</v>
      </c>
      <c r="G238" t="s">
        <v>1795</v>
      </c>
      <c r="H238" t="s">
        <v>1796</v>
      </c>
      <c r="I238" t="s">
        <v>1037</v>
      </c>
      <c r="K238" t="s">
        <v>1010</v>
      </c>
      <c r="L238" t="s">
        <v>1797</v>
      </c>
      <c r="N238" t="s">
        <v>1011</v>
      </c>
      <c r="O238">
        <v>0</v>
      </c>
      <c r="P238">
        <v>0</v>
      </c>
      <c r="Q238">
        <v>5</v>
      </c>
      <c r="U238" t="s">
        <v>1</v>
      </c>
      <c r="V238" t="s">
        <v>1012</v>
      </c>
      <c r="Y238">
        <v>1</v>
      </c>
      <c r="AB238" t="s">
        <v>1013</v>
      </c>
      <c r="AD238" t="s">
        <v>964</v>
      </c>
    </row>
    <row r="239" spans="1:30" x14ac:dyDescent="0.15">
      <c r="A239">
        <v>254365</v>
      </c>
      <c r="B239" t="s">
        <v>1002</v>
      </c>
      <c r="C239" t="s">
        <v>1757</v>
      </c>
      <c r="D239" t="s">
        <v>1004</v>
      </c>
      <c r="E239" t="s">
        <v>1798</v>
      </c>
      <c r="F239" t="s">
        <v>1320</v>
      </c>
      <c r="G239" t="s">
        <v>1799</v>
      </c>
      <c r="H239" t="s">
        <v>1800</v>
      </c>
      <c r="I239" t="s">
        <v>1009</v>
      </c>
      <c r="K239" t="s">
        <v>1220</v>
      </c>
      <c r="L239" t="s">
        <v>1797</v>
      </c>
      <c r="N239" t="s">
        <v>1011</v>
      </c>
      <c r="O239">
        <v>0</v>
      </c>
      <c r="P239">
        <v>0</v>
      </c>
      <c r="Q239">
        <v>4</v>
      </c>
      <c r="U239" t="s">
        <v>1</v>
      </c>
      <c r="V239" t="s">
        <v>1012</v>
      </c>
      <c r="Y239">
        <v>1</v>
      </c>
      <c r="AB239" t="s">
        <v>1013</v>
      </c>
      <c r="AD239" t="s">
        <v>964</v>
      </c>
    </row>
    <row r="240" spans="1:30" x14ac:dyDescent="0.15">
      <c r="A240">
        <v>254366</v>
      </c>
      <c r="B240" t="s">
        <v>1002</v>
      </c>
      <c r="C240" t="s">
        <v>1757</v>
      </c>
      <c r="D240" t="s">
        <v>1004</v>
      </c>
      <c r="E240" t="s">
        <v>1801</v>
      </c>
      <c r="F240" t="s">
        <v>1320</v>
      </c>
      <c r="G240" t="s">
        <v>1802</v>
      </c>
      <c r="H240" t="s">
        <v>1803</v>
      </c>
      <c r="I240" t="s">
        <v>1009</v>
      </c>
      <c r="K240" t="s">
        <v>1220</v>
      </c>
      <c r="L240" t="s">
        <v>1797</v>
      </c>
      <c r="N240" t="s">
        <v>1011</v>
      </c>
      <c r="O240">
        <v>0</v>
      </c>
      <c r="P240">
        <v>0</v>
      </c>
      <c r="Q240">
        <v>4</v>
      </c>
      <c r="U240" t="s">
        <v>1</v>
      </c>
      <c r="V240" t="s">
        <v>1012</v>
      </c>
      <c r="Y240">
        <v>1</v>
      </c>
      <c r="AB240" t="s">
        <v>1013</v>
      </c>
      <c r="AD240" t="s">
        <v>964</v>
      </c>
    </row>
    <row r="241" spans="1:30" x14ac:dyDescent="0.15">
      <c r="A241">
        <v>254367</v>
      </c>
      <c r="B241" t="s">
        <v>1002</v>
      </c>
      <c r="C241" t="s">
        <v>1757</v>
      </c>
      <c r="D241" t="s">
        <v>1004</v>
      </c>
      <c r="E241" t="s">
        <v>1804</v>
      </c>
      <c r="F241" t="s">
        <v>1320</v>
      </c>
      <c r="G241" t="s">
        <v>1805</v>
      </c>
      <c r="H241" t="s">
        <v>1806</v>
      </c>
      <c r="I241" t="s">
        <v>1037</v>
      </c>
      <c r="K241" t="s">
        <v>142</v>
      </c>
      <c r="L241" t="s">
        <v>76</v>
      </c>
      <c r="N241" t="s">
        <v>1011</v>
      </c>
      <c r="O241">
        <v>0</v>
      </c>
      <c r="P241">
        <v>0</v>
      </c>
      <c r="Q241">
        <v>5</v>
      </c>
      <c r="U241" t="s">
        <v>1</v>
      </c>
      <c r="V241" t="s">
        <v>1012</v>
      </c>
      <c r="Y241">
        <v>1</v>
      </c>
      <c r="AB241" t="s">
        <v>1013</v>
      </c>
      <c r="AD241" t="s">
        <v>964</v>
      </c>
    </row>
    <row r="242" spans="1:30" x14ac:dyDescent="0.15">
      <c r="A242">
        <v>254368</v>
      </c>
      <c r="B242" t="s">
        <v>1002</v>
      </c>
      <c r="C242" t="s">
        <v>1757</v>
      </c>
      <c r="D242" t="s">
        <v>1004</v>
      </c>
      <c r="E242" t="s">
        <v>1807</v>
      </c>
      <c r="F242" t="s">
        <v>1320</v>
      </c>
      <c r="G242" t="s">
        <v>1808</v>
      </c>
      <c r="H242" t="s">
        <v>1806</v>
      </c>
      <c r="I242" t="s">
        <v>1037</v>
      </c>
      <c r="K242" t="s">
        <v>142</v>
      </c>
      <c r="L242" t="s">
        <v>76</v>
      </c>
      <c r="N242" t="s">
        <v>1011</v>
      </c>
      <c r="O242">
        <v>0</v>
      </c>
      <c r="P242">
        <v>0</v>
      </c>
      <c r="Q242">
        <v>5</v>
      </c>
      <c r="U242" t="s">
        <v>1</v>
      </c>
      <c r="V242" t="s">
        <v>1012</v>
      </c>
      <c r="Y242">
        <v>1</v>
      </c>
      <c r="AB242" t="s">
        <v>1013</v>
      </c>
      <c r="AD242" t="s">
        <v>964</v>
      </c>
    </row>
    <row r="243" spans="1:30" x14ac:dyDescent="0.15">
      <c r="A243">
        <v>254369</v>
      </c>
      <c r="B243" t="s">
        <v>1002</v>
      </c>
      <c r="C243" t="s">
        <v>1757</v>
      </c>
      <c r="D243" t="s">
        <v>1004</v>
      </c>
      <c r="E243" t="s">
        <v>1809</v>
      </c>
      <c r="F243" t="s">
        <v>1320</v>
      </c>
      <c r="G243" t="s">
        <v>1810</v>
      </c>
      <c r="H243" t="s">
        <v>1806</v>
      </c>
      <c r="I243" t="s">
        <v>1037</v>
      </c>
      <c r="K243" t="s">
        <v>142</v>
      </c>
      <c r="L243" t="s">
        <v>76</v>
      </c>
      <c r="N243" t="s">
        <v>1011</v>
      </c>
      <c r="O243">
        <v>0</v>
      </c>
      <c r="P243">
        <v>0</v>
      </c>
      <c r="Q243">
        <v>5</v>
      </c>
      <c r="U243" t="s">
        <v>1</v>
      </c>
      <c r="V243" t="s">
        <v>1012</v>
      </c>
      <c r="Y243">
        <v>1</v>
      </c>
      <c r="AB243" t="s">
        <v>1013</v>
      </c>
      <c r="AD243" t="s">
        <v>964</v>
      </c>
    </row>
    <row r="244" spans="1:30" x14ac:dyDescent="0.15">
      <c r="A244">
        <v>254370</v>
      </c>
      <c r="B244" t="s">
        <v>1002</v>
      </c>
      <c r="C244" t="s">
        <v>1757</v>
      </c>
      <c r="D244" t="s">
        <v>1004</v>
      </c>
      <c r="E244" t="s">
        <v>1811</v>
      </c>
      <c r="F244" t="s">
        <v>1320</v>
      </c>
      <c r="G244" t="s">
        <v>1812</v>
      </c>
      <c r="H244" t="s">
        <v>1806</v>
      </c>
      <c r="I244" t="s">
        <v>1037</v>
      </c>
      <c r="K244" t="s">
        <v>142</v>
      </c>
      <c r="L244" t="s">
        <v>76</v>
      </c>
      <c r="N244" t="s">
        <v>1011</v>
      </c>
      <c r="O244">
        <v>0</v>
      </c>
      <c r="P244">
        <v>0</v>
      </c>
      <c r="Q244">
        <v>5</v>
      </c>
      <c r="U244" t="s">
        <v>1</v>
      </c>
      <c r="V244" t="s">
        <v>1012</v>
      </c>
      <c r="Y244">
        <v>1</v>
      </c>
      <c r="AB244" t="s">
        <v>1013</v>
      </c>
      <c r="AD244" t="s">
        <v>964</v>
      </c>
    </row>
    <row r="245" spans="1:30" x14ac:dyDescent="0.15">
      <c r="A245">
        <v>254371</v>
      </c>
      <c r="B245" t="s">
        <v>1002</v>
      </c>
      <c r="C245" t="s">
        <v>1757</v>
      </c>
      <c r="D245" t="s">
        <v>1004</v>
      </c>
      <c r="E245" t="s">
        <v>1813</v>
      </c>
      <c r="F245" t="s">
        <v>1320</v>
      </c>
      <c r="G245" t="s">
        <v>1814</v>
      </c>
      <c r="H245" t="s">
        <v>1815</v>
      </c>
      <c r="I245" t="s">
        <v>1293</v>
      </c>
      <c r="K245" t="s">
        <v>144</v>
      </c>
      <c r="L245" t="s">
        <v>77</v>
      </c>
      <c r="N245" t="s">
        <v>1011</v>
      </c>
      <c r="O245">
        <v>0</v>
      </c>
      <c r="P245">
        <v>0</v>
      </c>
      <c r="Q245">
        <v>6</v>
      </c>
      <c r="U245" t="s">
        <v>1</v>
      </c>
      <c r="V245" t="s">
        <v>1012</v>
      </c>
      <c r="Y245">
        <v>1</v>
      </c>
      <c r="AB245" t="s">
        <v>1013</v>
      </c>
      <c r="AD245" t="s">
        <v>964</v>
      </c>
    </row>
    <row r="246" spans="1:30" x14ac:dyDescent="0.15">
      <c r="A246">
        <v>254372</v>
      </c>
      <c r="B246" t="s">
        <v>1002</v>
      </c>
      <c r="C246" t="s">
        <v>1757</v>
      </c>
      <c r="D246" t="s">
        <v>1004</v>
      </c>
      <c r="E246" t="s">
        <v>1816</v>
      </c>
      <c r="F246" t="s">
        <v>1320</v>
      </c>
      <c r="G246" t="s">
        <v>1817</v>
      </c>
      <c r="H246" t="s">
        <v>1818</v>
      </c>
      <c r="I246" t="s">
        <v>1037</v>
      </c>
      <c r="K246" t="s">
        <v>144</v>
      </c>
      <c r="L246" t="s">
        <v>77</v>
      </c>
      <c r="N246" t="s">
        <v>1011</v>
      </c>
      <c r="O246">
        <v>0</v>
      </c>
      <c r="P246">
        <v>0</v>
      </c>
      <c r="Q246">
        <v>5</v>
      </c>
      <c r="U246" t="s">
        <v>1</v>
      </c>
      <c r="V246" t="s">
        <v>1012</v>
      </c>
      <c r="Y246">
        <v>1</v>
      </c>
      <c r="AB246" t="s">
        <v>1013</v>
      </c>
      <c r="AD246" t="s">
        <v>964</v>
      </c>
    </row>
    <row r="247" spans="1:30" x14ac:dyDescent="0.15">
      <c r="A247">
        <v>221965</v>
      </c>
      <c r="B247" t="s">
        <v>1002</v>
      </c>
      <c r="C247" t="s">
        <v>1819</v>
      </c>
      <c r="D247" t="s">
        <v>1820</v>
      </c>
      <c r="E247" t="s">
        <v>1821</v>
      </c>
      <c r="F247" t="s">
        <v>1822</v>
      </c>
      <c r="G247" t="s">
        <v>1823</v>
      </c>
      <c r="H247" t="s">
        <v>1824</v>
      </c>
      <c r="I247" t="s">
        <v>1049</v>
      </c>
      <c r="K247" t="s">
        <v>1010</v>
      </c>
      <c r="L247" t="s">
        <v>76</v>
      </c>
      <c r="N247" t="s">
        <v>1109</v>
      </c>
      <c r="O247">
        <v>5</v>
      </c>
      <c r="P247">
        <v>5</v>
      </c>
      <c r="Q247">
        <v>7</v>
      </c>
      <c r="R247" t="s">
        <v>1825</v>
      </c>
      <c r="S247" t="s">
        <v>1826</v>
      </c>
      <c r="T247" t="s">
        <v>1112</v>
      </c>
      <c r="U247" t="s">
        <v>1825</v>
      </c>
      <c r="V247" t="s">
        <v>1827</v>
      </c>
      <c r="W247" t="s">
        <v>1</v>
      </c>
      <c r="X247" t="s">
        <v>1828</v>
      </c>
      <c r="Y247">
        <v>3</v>
      </c>
      <c r="AB247" t="s">
        <v>1829</v>
      </c>
      <c r="AC247" t="s">
        <v>1116</v>
      </c>
      <c r="AD247" t="s">
        <v>1023</v>
      </c>
    </row>
    <row r="248" spans="1:30" x14ac:dyDescent="0.15">
      <c r="A248">
        <v>221966</v>
      </c>
      <c r="B248" t="s">
        <v>1002</v>
      </c>
      <c r="C248" t="s">
        <v>1819</v>
      </c>
      <c r="D248" t="s">
        <v>1830</v>
      </c>
      <c r="E248" t="s">
        <v>1831</v>
      </c>
      <c r="F248" t="s">
        <v>1822</v>
      </c>
      <c r="G248" t="s">
        <v>1832</v>
      </c>
      <c r="H248" t="s">
        <v>1833</v>
      </c>
      <c r="I248" t="s">
        <v>1293</v>
      </c>
      <c r="K248" t="s">
        <v>1010</v>
      </c>
      <c r="L248" t="s">
        <v>76</v>
      </c>
      <c r="N248" t="s">
        <v>1109</v>
      </c>
      <c r="O248">
        <v>6</v>
      </c>
      <c r="P248">
        <v>5</v>
      </c>
      <c r="Q248">
        <v>6</v>
      </c>
      <c r="R248" t="s">
        <v>1825</v>
      </c>
      <c r="S248" t="s">
        <v>1826</v>
      </c>
      <c r="T248" t="s">
        <v>1112</v>
      </c>
      <c r="U248" t="s">
        <v>1825</v>
      </c>
      <c r="V248" t="s">
        <v>1834</v>
      </c>
      <c r="W248" t="s">
        <v>1</v>
      </c>
      <c r="X248" t="s">
        <v>1828</v>
      </c>
      <c r="Y248">
        <v>2</v>
      </c>
      <c r="AB248" t="s">
        <v>1829</v>
      </c>
      <c r="AC248" t="s">
        <v>1116</v>
      </c>
      <c r="AD248" t="s">
        <v>1023</v>
      </c>
    </row>
    <row r="249" spans="1:30" x14ac:dyDescent="0.15">
      <c r="A249">
        <v>222446</v>
      </c>
      <c r="B249" t="s">
        <v>1002</v>
      </c>
      <c r="C249" t="s">
        <v>1819</v>
      </c>
      <c r="D249" t="s">
        <v>1835</v>
      </c>
      <c r="E249" t="s">
        <v>1836</v>
      </c>
      <c r="F249" t="s">
        <v>1822</v>
      </c>
      <c r="G249" t="s">
        <v>1837</v>
      </c>
      <c r="H249" t="s">
        <v>1838</v>
      </c>
      <c r="I249" t="s">
        <v>1043</v>
      </c>
      <c r="K249" t="s">
        <v>1010</v>
      </c>
      <c r="L249" t="s">
        <v>76</v>
      </c>
      <c r="N249" t="s">
        <v>1109</v>
      </c>
      <c r="O249">
        <v>1</v>
      </c>
      <c r="P249">
        <v>5</v>
      </c>
      <c r="Q249">
        <v>3</v>
      </c>
      <c r="R249" t="s">
        <v>1825</v>
      </c>
      <c r="S249" t="s">
        <v>1826</v>
      </c>
      <c r="T249" t="s">
        <v>1112</v>
      </c>
      <c r="U249" t="s">
        <v>1825</v>
      </c>
      <c r="V249" t="s">
        <v>1839</v>
      </c>
      <c r="W249" t="s">
        <v>1</v>
      </c>
      <c r="X249" t="s">
        <v>1828</v>
      </c>
      <c r="Y249">
        <v>1</v>
      </c>
      <c r="AB249" t="s">
        <v>1829</v>
      </c>
      <c r="AC249" t="s">
        <v>1116</v>
      </c>
      <c r="AD249" t="s">
        <v>1023</v>
      </c>
    </row>
    <row r="250" spans="1:30" x14ac:dyDescent="0.15">
      <c r="A250">
        <v>222455</v>
      </c>
      <c r="B250" t="s">
        <v>1002</v>
      </c>
      <c r="C250" t="s">
        <v>1819</v>
      </c>
      <c r="D250" t="s">
        <v>1840</v>
      </c>
      <c r="E250" t="s">
        <v>1841</v>
      </c>
      <c r="F250" t="s">
        <v>1822</v>
      </c>
      <c r="G250" t="s">
        <v>1842</v>
      </c>
      <c r="H250" t="s">
        <v>1843</v>
      </c>
      <c r="I250" t="s">
        <v>1043</v>
      </c>
      <c r="K250" t="s">
        <v>142</v>
      </c>
      <c r="L250" t="s">
        <v>76</v>
      </c>
      <c r="N250" t="s">
        <v>1109</v>
      </c>
      <c r="O250">
        <v>0</v>
      </c>
      <c r="P250">
        <v>3</v>
      </c>
      <c r="Q250">
        <v>3</v>
      </c>
      <c r="R250" t="s">
        <v>1310</v>
      </c>
      <c r="S250" t="s">
        <v>1844</v>
      </c>
      <c r="T250" t="s">
        <v>1120</v>
      </c>
      <c r="U250" t="s">
        <v>1825</v>
      </c>
      <c r="V250" t="s">
        <v>1845</v>
      </c>
      <c r="W250" t="s">
        <v>1</v>
      </c>
      <c r="X250" t="s">
        <v>1828</v>
      </c>
      <c r="Y250">
        <v>2</v>
      </c>
      <c r="AB250" t="s">
        <v>1829</v>
      </c>
      <c r="AC250" t="s">
        <v>1116</v>
      </c>
      <c r="AD250" t="s">
        <v>1023</v>
      </c>
    </row>
    <row r="251" spans="1:30" x14ac:dyDescent="0.15">
      <c r="A251">
        <v>254373</v>
      </c>
      <c r="B251" t="s">
        <v>1002</v>
      </c>
      <c r="C251" t="s">
        <v>1819</v>
      </c>
      <c r="D251" t="s">
        <v>1004</v>
      </c>
      <c r="E251" t="s">
        <v>1846</v>
      </c>
      <c r="F251" t="s">
        <v>1320</v>
      </c>
      <c r="G251" t="s">
        <v>1847</v>
      </c>
      <c r="H251" t="s">
        <v>1848</v>
      </c>
      <c r="I251" t="s">
        <v>1037</v>
      </c>
      <c r="K251" t="s">
        <v>142</v>
      </c>
      <c r="L251" t="s">
        <v>76</v>
      </c>
      <c r="N251" t="s">
        <v>1011</v>
      </c>
      <c r="O251">
        <v>0</v>
      </c>
      <c r="P251">
        <v>0</v>
      </c>
      <c r="Q251">
        <v>5</v>
      </c>
      <c r="U251" t="s">
        <v>1</v>
      </c>
      <c r="V251" t="s">
        <v>1012</v>
      </c>
      <c r="Y251">
        <v>1</v>
      </c>
      <c r="AB251" t="s">
        <v>1013</v>
      </c>
      <c r="AD251" t="s">
        <v>964</v>
      </c>
    </row>
    <row r="252" spans="1:30" x14ac:dyDescent="0.15">
      <c r="A252">
        <v>254374</v>
      </c>
      <c r="B252" t="s">
        <v>1002</v>
      </c>
      <c r="C252" t="s">
        <v>1819</v>
      </c>
      <c r="D252" t="s">
        <v>1004</v>
      </c>
      <c r="E252" t="s">
        <v>1849</v>
      </c>
      <c r="F252" t="s">
        <v>1320</v>
      </c>
      <c r="G252" t="s">
        <v>1850</v>
      </c>
      <c r="H252" t="s">
        <v>1848</v>
      </c>
      <c r="I252" t="s">
        <v>1037</v>
      </c>
      <c r="K252" t="s">
        <v>142</v>
      </c>
      <c r="L252" t="s">
        <v>76</v>
      </c>
      <c r="N252" t="s">
        <v>1011</v>
      </c>
      <c r="O252">
        <v>0</v>
      </c>
      <c r="P252">
        <v>0</v>
      </c>
      <c r="Q252">
        <v>5</v>
      </c>
      <c r="U252" t="s">
        <v>1</v>
      </c>
      <c r="V252" t="s">
        <v>1012</v>
      </c>
      <c r="Y252">
        <v>1</v>
      </c>
      <c r="AB252" t="s">
        <v>1013</v>
      </c>
      <c r="AD252" t="s">
        <v>964</v>
      </c>
    </row>
    <row r="253" spans="1:30" x14ac:dyDescent="0.15">
      <c r="A253">
        <v>254375</v>
      </c>
      <c r="B253" t="s">
        <v>1002</v>
      </c>
      <c r="C253" t="s">
        <v>1819</v>
      </c>
      <c r="D253" t="s">
        <v>1004</v>
      </c>
      <c r="E253" t="s">
        <v>1851</v>
      </c>
      <c r="F253" t="s">
        <v>1320</v>
      </c>
      <c r="G253" t="s">
        <v>1852</v>
      </c>
      <c r="H253" t="s">
        <v>1848</v>
      </c>
      <c r="I253" t="s">
        <v>1037</v>
      </c>
      <c r="K253" t="s">
        <v>142</v>
      </c>
      <c r="L253" t="s">
        <v>76</v>
      </c>
      <c r="N253" t="s">
        <v>1011</v>
      </c>
      <c r="O253">
        <v>0</v>
      </c>
      <c r="P253">
        <v>0</v>
      </c>
      <c r="Q253">
        <v>5</v>
      </c>
      <c r="U253" t="s">
        <v>1</v>
      </c>
      <c r="V253" t="s">
        <v>1012</v>
      </c>
      <c r="Y253">
        <v>1</v>
      </c>
      <c r="AB253" t="s">
        <v>1013</v>
      </c>
      <c r="AD253" t="s">
        <v>964</v>
      </c>
    </row>
    <row r="254" spans="1:30" x14ac:dyDescent="0.15">
      <c r="A254">
        <v>254376</v>
      </c>
      <c r="B254" t="s">
        <v>1002</v>
      </c>
      <c r="C254" t="s">
        <v>1819</v>
      </c>
      <c r="D254" t="s">
        <v>1004</v>
      </c>
      <c r="E254" t="s">
        <v>1853</v>
      </c>
      <c r="F254" t="s">
        <v>1320</v>
      </c>
      <c r="G254" t="s">
        <v>1854</v>
      </c>
      <c r="H254" t="s">
        <v>1848</v>
      </c>
      <c r="I254" t="s">
        <v>1037</v>
      </c>
      <c r="K254" t="s">
        <v>142</v>
      </c>
      <c r="L254" t="s">
        <v>76</v>
      </c>
      <c r="N254" t="s">
        <v>1011</v>
      </c>
      <c r="O254">
        <v>0</v>
      </c>
      <c r="P254">
        <v>0</v>
      </c>
      <c r="Q254">
        <v>5</v>
      </c>
      <c r="U254" t="s">
        <v>1</v>
      </c>
      <c r="V254" t="s">
        <v>1012</v>
      </c>
      <c r="Y254">
        <v>1</v>
      </c>
      <c r="AB254" t="s">
        <v>1013</v>
      </c>
      <c r="AD254" t="s">
        <v>964</v>
      </c>
    </row>
    <row r="255" spans="1:30" x14ac:dyDescent="0.15">
      <c r="A255">
        <v>254377</v>
      </c>
      <c r="B255" t="s">
        <v>1002</v>
      </c>
      <c r="C255" t="s">
        <v>1819</v>
      </c>
      <c r="D255" t="s">
        <v>1004</v>
      </c>
      <c r="E255" t="s">
        <v>1855</v>
      </c>
      <c r="F255" t="s">
        <v>1320</v>
      </c>
      <c r="G255" t="s">
        <v>1856</v>
      </c>
      <c r="H255" t="s">
        <v>1848</v>
      </c>
      <c r="I255" t="s">
        <v>1037</v>
      </c>
      <c r="K255" t="s">
        <v>142</v>
      </c>
      <c r="L255" t="s">
        <v>76</v>
      </c>
      <c r="N255" t="s">
        <v>1011</v>
      </c>
      <c r="O255">
        <v>0</v>
      </c>
      <c r="P255">
        <v>0</v>
      </c>
      <c r="Q255">
        <v>5</v>
      </c>
      <c r="U255" t="s">
        <v>1</v>
      </c>
      <c r="V255" t="s">
        <v>1012</v>
      </c>
      <c r="Y255">
        <v>1</v>
      </c>
      <c r="AB255" t="s">
        <v>1013</v>
      </c>
      <c r="AD255" t="s">
        <v>964</v>
      </c>
    </row>
    <row r="256" spans="1:30" x14ac:dyDescent="0.15">
      <c r="A256">
        <v>254378</v>
      </c>
      <c r="B256" t="s">
        <v>1002</v>
      </c>
      <c r="C256" t="s">
        <v>1819</v>
      </c>
      <c r="D256" t="s">
        <v>1004</v>
      </c>
      <c r="E256" t="s">
        <v>1857</v>
      </c>
      <c r="F256" t="s">
        <v>1320</v>
      </c>
      <c r="G256" t="s">
        <v>1858</v>
      </c>
      <c r="H256" t="s">
        <v>1848</v>
      </c>
      <c r="I256" t="s">
        <v>1037</v>
      </c>
      <c r="K256" t="s">
        <v>142</v>
      </c>
      <c r="L256" t="s">
        <v>76</v>
      </c>
      <c r="N256" t="s">
        <v>1011</v>
      </c>
      <c r="O256">
        <v>0</v>
      </c>
      <c r="P256">
        <v>0</v>
      </c>
      <c r="Q256">
        <v>5</v>
      </c>
      <c r="U256" t="s">
        <v>1</v>
      </c>
      <c r="V256" t="s">
        <v>1012</v>
      </c>
      <c r="Y256">
        <v>1</v>
      </c>
      <c r="AB256" t="s">
        <v>1013</v>
      </c>
      <c r="AD256" t="s">
        <v>964</v>
      </c>
    </row>
    <row r="257" spans="1:30" x14ac:dyDescent="0.15">
      <c r="A257">
        <v>254379</v>
      </c>
      <c r="B257" t="s">
        <v>1002</v>
      </c>
      <c r="C257" t="s">
        <v>1819</v>
      </c>
      <c r="D257" t="s">
        <v>1004</v>
      </c>
      <c r="E257" t="s">
        <v>1859</v>
      </c>
      <c r="F257" t="s">
        <v>1320</v>
      </c>
      <c r="G257" t="s">
        <v>1860</v>
      </c>
      <c r="H257" t="s">
        <v>1848</v>
      </c>
      <c r="I257" t="s">
        <v>1037</v>
      </c>
      <c r="K257" t="s">
        <v>142</v>
      </c>
      <c r="L257" t="s">
        <v>76</v>
      </c>
      <c r="N257" t="s">
        <v>1011</v>
      </c>
      <c r="O257">
        <v>0</v>
      </c>
      <c r="P257">
        <v>0</v>
      </c>
      <c r="Q257">
        <v>5</v>
      </c>
      <c r="U257" t="s">
        <v>1</v>
      </c>
      <c r="V257" t="s">
        <v>1012</v>
      </c>
      <c r="Y257">
        <v>1</v>
      </c>
      <c r="AB257" t="s">
        <v>1013</v>
      </c>
      <c r="AD257" t="s">
        <v>964</v>
      </c>
    </row>
    <row r="258" spans="1:30" x14ac:dyDescent="0.15">
      <c r="A258">
        <v>254380</v>
      </c>
      <c r="B258" t="s">
        <v>1002</v>
      </c>
      <c r="C258" t="s">
        <v>1819</v>
      </c>
      <c r="D258" t="s">
        <v>1004</v>
      </c>
      <c r="E258" t="s">
        <v>1861</v>
      </c>
      <c r="F258" t="s">
        <v>1320</v>
      </c>
      <c r="G258" t="s">
        <v>1862</v>
      </c>
      <c r="H258" t="s">
        <v>1848</v>
      </c>
      <c r="I258" t="s">
        <v>1037</v>
      </c>
      <c r="K258" t="s">
        <v>142</v>
      </c>
      <c r="L258" t="s">
        <v>76</v>
      </c>
      <c r="N258" t="s">
        <v>1011</v>
      </c>
      <c r="O258">
        <v>0</v>
      </c>
      <c r="P258">
        <v>0</v>
      </c>
      <c r="Q258">
        <v>5</v>
      </c>
      <c r="U258" t="s">
        <v>1</v>
      </c>
      <c r="V258" t="s">
        <v>1012</v>
      </c>
      <c r="Y258">
        <v>1</v>
      </c>
      <c r="AB258" t="s">
        <v>1013</v>
      </c>
      <c r="AD258" t="s">
        <v>964</v>
      </c>
    </row>
    <row r="259" spans="1:30" x14ac:dyDescent="0.15">
      <c r="A259">
        <v>254381</v>
      </c>
      <c r="B259" t="s">
        <v>1002</v>
      </c>
      <c r="C259" t="s">
        <v>1819</v>
      </c>
      <c r="D259" t="s">
        <v>1004</v>
      </c>
      <c r="E259" t="s">
        <v>1863</v>
      </c>
      <c r="F259" t="s">
        <v>1320</v>
      </c>
      <c r="G259" t="s">
        <v>1864</v>
      </c>
      <c r="H259" t="s">
        <v>1848</v>
      </c>
      <c r="I259" t="s">
        <v>1037</v>
      </c>
      <c r="K259" t="s">
        <v>142</v>
      </c>
      <c r="L259" t="s">
        <v>76</v>
      </c>
      <c r="N259" t="s">
        <v>1011</v>
      </c>
      <c r="O259">
        <v>0</v>
      </c>
      <c r="P259">
        <v>0</v>
      </c>
      <c r="Q259">
        <v>5</v>
      </c>
      <c r="U259" t="s">
        <v>1</v>
      </c>
      <c r="V259" t="s">
        <v>1012</v>
      </c>
      <c r="Y259">
        <v>1</v>
      </c>
      <c r="AB259" t="s">
        <v>1013</v>
      </c>
      <c r="AD259" t="s">
        <v>964</v>
      </c>
    </row>
    <row r="260" spans="1:30" x14ac:dyDescent="0.15">
      <c r="A260">
        <v>254382</v>
      </c>
      <c r="B260" t="s">
        <v>1002</v>
      </c>
      <c r="C260" t="s">
        <v>1819</v>
      </c>
      <c r="D260" t="s">
        <v>1004</v>
      </c>
      <c r="E260" t="s">
        <v>1865</v>
      </c>
      <c r="F260" t="s">
        <v>1320</v>
      </c>
      <c r="G260" t="s">
        <v>1866</v>
      </c>
      <c r="H260" t="s">
        <v>1848</v>
      </c>
      <c r="I260" t="s">
        <v>1037</v>
      </c>
      <c r="K260" t="s">
        <v>142</v>
      </c>
      <c r="L260" t="s">
        <v>76</v>
      </c>
      <c r="N260" t="s">
        <v>1011</v>
      </c>
      <c r="O260">
        <v>0</v>
      </c>
      <c r="P260">
        <v>0</v>
      </c>
      <c r="Q260">
        <v>5</v>
      </c>
      <c r="U260" t="s">
        <v>1</v>
      </c>
      <c r="V260" t="s">
        <v>1012</v>
      </c>
      <c r="Y260">
        <v>1</v>
      </c>
      <c r="AB260" t="s">
        <v>1013</v>
      </c>
      <c r="AD260" t="s">
        <v>964</v>
      </c>
    </row>
    <row r="261" spans="1:30" x14ac:dyDescent="0.15">
      <c r="A261">
        <v>254383</v>
      </c>
      <c r="B261" t="s">
        <v>1002</v>
      </c>
      <c r="C261" t="s">
        <v>1819</v>
      </c>
      <c r="D261" t="s">
        <v>1004</v>
      </c>
      <c r="E261" t="s">
        <v>1867</v>
      </c>
      <c r="F261" t="s">
        <v>1320</v>
      </c>
      <c r="G261" t="s">
        <v>1868</v>
      </c>
      <c r="H261" t="s">
        <v>1848</v>
      </c>
      <c r="I261" t="s">
        <v>1037</v>
      </c>
      <c r="K261" t="s">
        <v>142</v>
      </c>
      <c r="L261" t="s">
        <v>76</v>
      </c>
      <c r="N261" t="s">
        <v>1011</v>
      </c>
      <c r="O261">
        <v>0</v>
      </c>
      <c r="P261">
        <v>0</v>
      </c>
      <c r="Q261">
        <v>5</v>
      </c>
      <c r="U261" t="s">
        <v>1</v>
      </c>
      <c r="V261" t="s">
        <v>1012</v>
      </c>
      <c r="Y261">
        <v>1</v>
      </c>
      <c r="AB261" t="s">
        <v>1013</v>
      </c>
      <c r="AD261" t="s">
        <v>964</v>
      </c>
    </row>
    <row r="262" spans="1:30" x14ac:dyDescent="0.15">
      <c r="A262">
        <v>254384</v>
      </c>
      <c r="B262" t="s">
        <v>1002</v>
      </c>
      <c r="C262" t="s">
        <v>1819</v>
      </c>
      <c r="D262" t="s">
        <v>1004</v>
      </c>
      <c r="E262" t="s">
        <v>1869</v>
      </c>
      <c r="F262" t="s">
        <v>1320</v>
      </c>
      <c r="G262" t="s">
        <v>1870</v>
      </c>
      <c r="H262" t="s">
        <v>1848</v>
      </c>
      <c r="I262" t="s">
        <v>1037</v>
      </c>
      <c r="K262" t="s">
        <v>142</v>
      </c>
      <c r="L262" t="s">
        <v>76</v>
      </c>
      <c r="N262" t="s">
        <v>1011</v>
      </c>
      <c r="O262">
        <v>0</v>
      </c>
      <c r="P262">
        <v>0</v>
      </c>
      <c r="Q262">
        <v>5</v>
      </c>
      <c r="U262" t="s">
        <v>1</v>
      </c>
      <c r="V262" t="s">
        <v>1012</v>
      </c>
      <c r="Y262">
        <v>1</v>
      </c>
      <c r="AB262" t="s">
        <v>1013</v>
      </c>
      <c r="AD262" t="s">
        <v>964</v>
      </c>
    </row>
    <row r="263" spans="1:30" x14ac:dyDescent="0.15">
      <c r="A263">
        <v>254385</v>
      </c>
      <c r="B263" t="s">
        <v>1002</v>
      </c>
      <c r="C263" t="s">
        <v>1819</v>
      </c>
      <c r="D263" t="s">
        <v>1004</v>
      </c>
      <c r="E263" t="s">
        <v>1871</v>
      </c>
      <c r="F263" t="s">
        <v>1320</v>
      </c>
      <c r="G263" t="s">
        <v>1872</v>
      </c>
      <c r="H263" t="s">
        <v>1848</v>
      </c>
      <c r="I263" t="s">
        <v>1037</v>
      </c>
      <c r="K263" t="s">
        <v>142</v>
      </c>
      <c r="L263" t="s">
        <v>76</v>
      </c>
      <c r="N263" t="s">
        <v>1011</v>
      </c>
      <c r="O263">
        <v>0</v>
      </c>
      <c r="P263">
        <v>0</v>
      </c>
      <c r="Q263">
        <v>5</v>
      </c>
      <c r="U263" t="s">
        <v>1</v>
      </c>
      <c r="V263" t="s">
        <v>1012</v>
      </c>
      <c r="Y263">
        <v>1</v>
      </c>
      <c r="AB263" t="s">
        <v>1013</v>
      </c>
      <c r="AD263" t="s">
        <v>964</v>
      </c>
    </row>
    <row r="264" spans="1:30" x14ac:dyDescent="0.15">
      <c r="A264">
        <v>254386</v>
      </c>
      <c r="B264" t="s">
        <v>1002</v>
      </c>
      <c r="C264" t="s">
        <v>1819</v>
      </c>
      <c r="D264" t="s">
        <v>1004</v>
      </c>
      <c r="E264" t="s">
        <v>1873</v>
      </c>
      <c r="F264" t="s">
        <v>1320</v>
      </c>
      <c r="G264" t="s">
        <v>1874</v>
      </c>
      <c r="H264" t="s">
        <v>1848</v>
      </c>
      <c r="I264" t="s">
        <v>1037</v>
      </c>
      <c r="K264" t="s">
        <v>142</v>
      </c>
      <c r="L264" t="s">
        <v>76</v>
      </c>
      <c r="N264" t="s">
        <v>1011</v>
      </c>
      <c r="O264">
        <v>0</v>
      </c>
      <c r="P264">
        <v>0</v>
      </c>
      <c r="Q264">
        <v>5</v>
      </c>
      <c r="U264" t="s">
        <v>1</v>
      </c>
      <c r="V264" t="s">
        <v>1012</v>
      </c>
      <c r="Y264">
        <v>1</v>
      </c>
      <c r="AB264" t="s">
        <v>1013</v>
      </c>
      <c r="AD264" t="s">
        <v>964</v>
      </c>
    </row>
    <row r="265" spans="1:30" x14ac:dyDescent="0.15">
      <c r="A265">
        <v>254387</v>
      </c>
      <c r="B265" t="s">
        <v>1002</v>
      </c>
      <c r="C265" t="s">
        <v>1819</v>
      </c>
      <c r="D265" t="s">
        <v>1004</v>
      </c>
      <c r="E265" t="s">
        <v>1875</v>
      </c>
      <c r="F265" t="s">
        <v>1320</v>
      </c>
      <c r="G265" t="s">
        <v>1876</v>
      </c>
      <c r="H265" t="s">
        <v>1848</v>
      </c>
      <c r="I265" t="s">
        <v>1037</v>
      </c>
      <c r="K265" t="s">
        <v>142</v>
      </c>
      <c r="L265" t="s">
        <v>76</v>
      </c>
      <c r="N265" t="s">
        <v>1011</v>
      </c>
      <c r="O265">
        <v>0</v>
      </c>
      <c r="P265">
        <v>0</v>
      </c>
      <c r="Q265">
        <v>5</v>
      </c>
      <c r="U265" t="s">
        <v>1</v>
      </c>
      <c r="V265" t="s">
        <v>1012</v>
      </c>
      <c r="Y265">
        <v>1</v>
      </c>
      <c r="AB265" t="s">
        <v>1013</v>
      </c>
      <c r="AD265" t="s">
        <v>964</v>
      </c>
    </row>
    <row r="266" spans="1:30" x14ac:dyDescent="0.15">
      <c r="A266">
        <v>254388</v>
      </c>
      <c r="B266" t="s">
        <v>1002</v>
      </c>
      <c r="C266" t="s">
        <v>1819</v>
      </c>
      <c r="D266" t="s">
        <v>1004</v>
      </c>
      <c r="E266" t="s">
        <v>1877</v>
      </c>
      <c r="F266" t="s">
        <v>1320</v>
      </c>
      <c r="G266" t="s">
        <v>1878</v>
      </c>
      <c r="H266" t="s">
        <v>1848</v>
      </c>
      <c r="I266" t="s">
        <v>1037</v>
      </c>
      <c r="K266" t="s">
        <v>142</v>
      </c>
      <c r="L266" t="s">
        <v>76</v>
      </c>
      <c r="N266" t="s">
        <v>1011</v>
      </c>
      <c r="O266">
        <v>0</v>
      </c>
      <c r="P266">
        <v>0</v>
      </c>
      <c r="Q266">
        <v>5</v>
      </c>
      <c r="U266" t="s">
        <v>1</v>
      </c>
      <c r="V266" t="s">
        <v>1012</v>
      </c>
      <c r="Y266">
        <v>1</v>
      </c>
      <c r="AB266" t="s">
        <v>1013</v>
      </c>
      <c r="AD266" t="s">
        <v>964</v>
      </c>
    </row>
    <row r="267" spans="1:30" x14ac:dyDescent="0.15">
      <c r="A267">
        <v>254389</v>
      </c>
      <c r="B267" t="s">
        <v>1002</v>
      </c>
      <c r="C267" t="s">
        <v>1819</v>
      </c>
      <c r="D267" t="s">
        <v>1004</v>
      </c>
      <c r="E267" t="s">
        <v>1879</v>
      </c>
      <c r="F267" t="s">
        <v>1320</v>
      </c>
      <c r="G267" t="s">
        <v>1880</v>
      </c>
      <c r="H267" t="s">
        <v>1848</v>
      </c>
      <c r="I267" t="s">
        <v>1037</v>
      </c>
      <c r="K267" t="s">
        <v>142</v>
      </c>
      <c r="L267" t="s">
        <v>76</v>
      </c>
      <c r="N267" t="s">
        <v>1011</v>
      </c>
      <c r="O267">
        <v>0</v>
      </c>
      <c r="P267">
        <v>0</v>
      </c>
      <c r="Q267">
        <v>5</v>
      </c>
      <c r="U267" t="s">
        <v>1</v>
      </c>
      <c r="V267" t="s">
        <v>1012</v>
      </c>
      <c r="Y267">
        <v>1</v>
      </c>
      <c r="AB267" t="s">
        <v>1013</v>
      </c>
      <c r="AD267" t="s">
        <v>964</v>
      </c>
    </row>
    <row r="268" spans="1:30" x14ac:dyDescent="0.15">
      <c r="A268">
        <v>254390</v>
      </c>
      <c r="B268" t="s">
        <v>1002</v>
      </c>
      <c r="C268" t="s">
        <v>1819</v>
      </c>
      <c r="D268" t="s">
        <v>1004</v>
      </c>
      <c r="E268" t="s">
        <v>1881</v>
      </c>
      <c r="F268" t="s">
        <v>1320</v>
      </c>
      <c r="G268" t="s">
        <v>1882</v>
      </c>
      <c r="H268" t="s">
        <v>1883</v>
      </c>
      <c r="I268" t="s">
        <v>1009</v>
      </c>
      <c r="K268" t="s">
        <v>144</v>
      </c>
      <c r="L268" t="s">
        <v>77</v>
      </c>
      <c r="N268" t="s">
        <v>1011</v>
      </c>
      <c r="O268">
        <v>0</v>
      </c>
      <c r="P268">
        <v>0</v>
      </c>
      <c r="Q268">
        <v>4</v>
      </c>
      <c r="U268" t="s">
        <v>1</v>
      </c>
      <c r="V268" t="s">
        <v>1012</v>
      </c>
      <c r="Y268">
        <v>1</v>
      </c>
      <c r="AB268" t="s">
        <v>1013</v>
      </c>
      <c r="AD268" t="s">
        <v>1023</v>
      </c>
    </row>
    <row r="269" spans="1:30" x14ac:dyDescent="0.15">
      <c r="A269">
        <v>254391</v>
      </c>
      <c r="B269" t="s">
        <v>1002</v>
      </c>
      <c r="C269" t="s">
        <v>1819</v>
      </c>
      <c r="D269" t="s">
        <v>1004</v>
      </c>
      <c r="E269" t="s">
        <v>1884</v>
      </c>
      <c r="F269" t="s">
        <v>1320</v>
      </c>
      <c r="G269" t="s">
        <v>1885</v>
      </c>
      <c r="H269" t="s">
        <v>1886</v>
      </c>
      <c r="I269" t="s">
        <v>1009</v>
      </c>
      <c r="K269" t="s">
        <v>144</v>
      </c>
      <c r="L269" t="s">
        <v>76</v>
      </c>
      <c r="N269" t="s">
        <v>1011</v>
      </c>
      <c r="O269">
        <v>0</v>
      </c>
      <c r="P269">
        <v>0</v>
      </c>
      <c r="Q269">
        <v>4</v>
      </c>
      <c r="U269" t="s">
        <v>1</v>
      </c>
      <c r="V269" t="s">
        <v>1012</v>
      </c>
      <c r="Y269">
        <v>1</v>
      </c>
      <c r="AB269" t="s">
        <v>1013</v>
      </c>
      <c r="AD269" t="s">
        <v>964</v>
      </c>
    </row>
    <row r="270" spans="1:30" x14ac:dyDescent="0.15">
      <c r="A270">
        <v>254392</v>
      </c>
      <c r="B270" t="s">
        <v>1002</v>
      </c>
      <c r="C270" t="s">
        <v>1819</v>
      </c>
      <c r="D270" t="s">
        <v>1004</v>
      </c>
      <c r="E270" t="s">
        <v>1887</v>
      </c>
      <c r="F270" t="s">
        <v>1320</v>
      </c>
      <c r="G270" t="s">
        <v>1888</v>
      </c>
      <c r="H270" t="s">
        <v>1889</v>
      </c>
      <c r="I270" t="s">
        <v>1009</v>
      </c>
      <c r="K270" t="s">
        <v>144</v>
      </c>
      <c r="L270" t="s">
        <v>76</v>
      </c>
      <c r="N270" t="s">
        <v>1011</v>
      </c>
      <c r="O270">
        <v>0</v>
      </c>
      <c r="P270">
        <v>0</v>
      </c>
      <c r="Q270">
        <v>4</v>
      </c>
      <c r="U270" t="s">
        <v>1</v>
      </c>
      <c r="V270" t="s">
        <v>1012</v>
      </c>
      <c r="Y270">
        <v>1</v>
      </c>
      <c r="AB270" t="s">
        <v>1013</v>
      </c>
      <c r="AD270" t="s">
        <v>964</v>
      </c>
    </row>
    <row r="271" spans="1:30" x14ac:dyDescent="0.15">
      <c r="A271">
        <v>254393</v>
      </c>
      <c r="B271" t="s">
        <v>1002</v>
      </c>
      <c r="C271" t="s">
        <v>1819</v>
      </c>
      <c r="D271" t="s">
        <v>1004</v>
      </c>
      <c r="E271" t="s">
        <v>1890</v>
      </c>
      <c r="F271" t="s">
        <v>1320</v>
      </c>
      <c r="G271" t="s">
        <v>1891</v>
      </c>
      <c r="H271" t="s">
        <v>1892</v>
      </c>
      <c r="I271" t="s">
        <v>1009</v>
      </c>
      <c r="K271" t="s">
        <v>144</v>
      </c>
      <c r="L271" t="s">
        <v>76</v>
      </c>
      <c r="N271" t="s">
        <v>1011</v>
      </c>
      <c r="O271">
        <v>0</v>
      </c>
      <c r="P271">
        <v>0</v>
      </c>
      <c r="Q271">
        <v>4</v>
      </c>
      <c r="U271" t="s">
        <v>1</v>
      </c>
      <c r="V271" t="s">
        <v>1012</v>
      </c>
      <c r="Y271">
        <v>1</v>
      </c>
      <c r="AB271" t="s">
        <v>1013</v>
      </c>
      <c r="AD271" t="s">
        <v>964</v>
      </c>
    </row>
    <row r="272" spans="1:30" x14ac:dyDescent="0.15">
      <c r="A272">
        <v>254394</v>
      </c>
      <c r="B272" t="s">
        <v>1002</v>
      </c>
      <c r="C272" t="s">
        <v>1819</v>
      </c>
      <c r="D272" t="s">
        <v>1004</v>
      </c>
      <c r="E272" t="s">
        <v>1893</v>
      </c>
      <c r="F272" t="s">
        <v>1320</v>
      </c>
      <c r="G272" t="s">
        <v>1894</v>
      </c>
      <c r="H272" t="s">
        <v>1895</v>
      </c>
      <c r="I272" t="s">
        <v>1009</v>
      </c>
      <c r="K272" t="s">
        <v>144</v>
      </c>
      <c r="L272" t="s">
        <v>76</v>
      </c>
      <c r="N272" t="s">
        <v>1011</v>
      </c>
      <c r="O272">
        <v>0</v>
      </c>
      <c r="P272">
        <v>0</v>
      </c>
      <c r="Q272">
        <v>4</v>
      </c>
      <c r="U272" t="s">
        <v>1</v>
      </c>
      <c r="V272" t="s">
        <v>1012</v>
      </c>
      <c r="Y272">
        <v>1</v>
      </c>
      <c r="AB272" t="s">
        <v>1013</v>
      </c>
      <c r="AD272" t="s">
        <v>964</v>
      </c>
    </row>
    <row r="273" spans="1:30" x14ac:dyDescent="0.15">
      <c r="A273">
        <v>254395</v>
      </c>
      <c r="B273" t="s">
        <v>1002</v>
      </c>
      <c r="C273" t="s">
        <v>1819</v>
      </c>
      <c r="D273" t="s">
        <v>1004</v>
      </c>
      <c r="E273" t="s">
        <v>1896</v>
      </c>
      <c r="F273" t="s">
        <v>1320</v>
      </c>
      <c r="G273" t="s">
        <v>1897</v>
      </c>
      <c r="H273" t="s">
        <v>1898</v>
      </c>
      <c r="I273" t="s">
        <v>1009</v>
      </c>
      <c r="K273" t="s">
        <v>144</v>
      </c>
      <c r="L273" t="s">
        <v>76</v>
      </c>
      <c r="N273" t="s">
        <v>1011</v>
      </c>
      <c r="O273">
        <v>0</v>
      </c>
      <c r="P273">
        <v>0</v>
      </c>
      <c r="Q273">
        <v>4</v>
      </c>
      <c r="U273" t="s">
        <v>1</v>
      </c>
      <c r="V273" t="s">
        <v>1012</v>
      </c>
      <c r="Y273">
        <v>1</v>
      </c>
      <c r="AB273" t="s">
        <v>1013</v>
      </c>
      <c r="AD273" t="s">
        <v>964</v>
      </c>
    </row>
    <row r="274" spans="1:30" x14ac:dyDescent="0.15">
      <c r="A274">
        <v>254396</v>
      </c>
      <c r="B274" t="s">
        <v>1002</v>
      </c>
      <c r="C274" t="s">
        <v>1819</v>
      </c>
      <c r="D274" t="s">
        <v>1004</v>
      </c>
      <c r="E274" t="s">
        <v>1899</v>
      </c>
      <c r="F274" t="s">
        <v>1320</v>
      </c>
      <c r="G274" t="s">
        <v>1900</v>
      </c>
      <c r="H274" t="s">
        <v>1901</v>
      </c>
      <c r="I274" t="s">
        <v>1037</v>
      </c>
      <c r="K274" t="s">
        <v>144</v>
      </c>
      <c r="L274" t="s">
        <v>77</v>
      </c>
      <c r="N274" t="s">
        <v>1011</v>
      </c>
      <c r="O274">
        <v>0</v>
      </c>
      <c r="P274">
        <v>0</v>
      </c>
      <c r="Q274">
        <v>5</v>
      </c>
      <c r="U274" t="s">
        <v>1</v>
      </c>
      <c r="V274" t="s">
        <v>1012</v>
      </c>
      <c r="Y274">
        <v>1</v>
      </c>
      <c r="AB274" t="s">
        <v>1013</v>
      </c>
      <c r="AD274" t="s">
        <v>964</v>
      </c>
    </row>
  </sheetData>
  <phoneticPr fontId="1" type="noConversion"/>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Sheet14"/>
  <dimension ref="A1:G47"/>
  <sheetViews>
    <sheetView workbookViewId="0">
      <selection activeCell="E47" sqref="E47"/>
    </sheetView>
  </sheetViews>
  <sheetFormatPr defaultColWidth="9" defaultRowHeight="13.5" x14ac:dyDescent="0.15"/>
  <cols>
    <col min="1" max="1" width="16.625" customWidth="1"/>
    <col min="2" max="2" width="16.625" style="26" customWidth="1"/>
    <col min="3" max="3" width="27.5" style="26" customWidth="1"/>
    <col min="4" max="4" width="37" customWidth="1"/>
    <col min="5" max="5" width="51.5" customWidth="1"/>
    <col min="6" max="6" width="47.875" customWidth="1"/>
    <col min="7" max="7" width="72.5" customWidth="1"/>
    <col min="8" max="22" width="9" customWidth="1"/>
  </cols>
  <sheetData>
    <row r="1" spans="1:5" x14ac:dyDescent="0.15">
      <c r="A1" s="17" t="s">
        <v>78</v>
      </c>
      <c r="B1" s="18"/>
      <c r="C1" s="18"/>
    </row>
    <row r="2" spans="1:5" x14ac:dyDescent="0.15">
      <c r="A2" s="19" t="s">
        <v>79</v>
      </c>
      <c r="B2" s="20" t="s">
        <v>80</v>
      </c>
      <c r="C2" s="20" t="s">
        <v>81</v>
      </c>
    </row>
    <row r="3" spans="1:5" ht="14.1" customHeight="1" x14ac:dyDescent="0.15">
      <c r="A3" s="15" t="s">
        <v>82</v>
      </c>
      <c r="B3" s="46" t="s">
        <v>83</v>
      </c>
      <c r="C3" s="21" t="e">
        <f>C$9+C$10</f>
        <v>#DIV/0!</v>
      </c>
    </row>
    <row r="4" spans="1:5" ht="14.1" customHeight="1" x14ac:dyDescent="0.15">
      <c r="A4" s="15" t="s">
        <v>84</v>
      </c>
      <c r="B4" s="46" t="s">
        <v>85</v>
      </c>
      <c r="C4" s="21" t="e">
        <f>C$11+C$12</f>
        <v>#DIV/0!</v>
      </c>
    </row>
    <row r="5" spans="1:5" ht="14.1" customHeight="1" x14ac:dyDescent="0.15">
      <c r="A5" s="15" t="s">
        <v>86</v>
      </c>
      <c r="B5" s="46" t="s">
        <v>87</v>
      </c>
      <c r="C5" s="21" t="e">
        <f>C$9+C$10+C$11+C$12</f>
        <v>#DIV/0!</v>
      </c>
    </row>
    <row r="6" spans="1:5" ht="13.5" customHeight="1" x14ac:dyDescent="0.15">
      <c r="A6" s="19" t="s">
        <v>88</v>
      </c>
      <c r="B6" s="22" t="e">
        <f>E9/SUM(E9:E10)</f>
        <v>#DIV/0!</v>
      </c>
      <c r="C6" s="23"/>
    </row>
    <row r="7" spans="1:5" x14ac:dyDescent="0.15">
      <c r="A7" s="24" t="s">
        <v>89</v>
      </c>
      <c r="B7" s="24"/>
      <c r="C7" s="24"/>
      <c r="D7" s="24"/>
      <c r="E7" s="24"/>
    </row>
    <row r="8" spans="1:5" x14ac:dyDescent="0.15">
      <c r="A8" s="24" t="s">
        <v>79</v>
      </c>
      <c r="B8" s="24" t="s">
        <v>90</v>
      </c>
      <c r="C8" s="24" t="s">
        <v>91</v>
      </c>
      <c r="D8" s="24" t="s">
        <v>92</v>
      </c>
      <c r="E8" s="24" t="s">
        <v>90</v>
      </c>
    </row>
    <row r="9" spans="1:5" x14ac:dyDescent="0.15">
      <c r="A9" s="24" t="s">
        <v>69</v>
      </c>
      <c r="B9" s="24">
        <f>COUNTIF(用例全集!$I:$I,A9)</f>
        <v>0</v>
      </c>
      <c r="C9" s="25" t="e">
        <f t="shared" ref="C9:C15" si="0">B9/SUM(B$9:B$15)</f>
        <v>#DIV/0!</v>
      </c>
      <c r="D9" s="24" t="s">
        <v>93</v>
      </c>
      <c r="E9" s="24">
        <f>COUNTIF(用例全集!$T:$T,D9)</f>
        <v>0</v>
      </c>
    </row>
    <row r="10" spans="1:5" x14ac:dyDescent="0.15">
      <c r="A10" s="24" t="s">
        <v>70</v>
      </c>
      <c r="B10" s="24">
        <f>COUNTIF(用例全集!$I:$I,A10)</f>
        <v>0</v>
      </c>
      <c r="C10" s="25" t="e">
        <f t="shared" si="0"/>
        <v>#DIV/0!</v>
      </c>
      <c r="D10" s="24" t="s">
        <v>94</v>
      </c>
      <c r="E10" s="24">
        <f>COUNTIF(用例全集!$T:$T,D10)</f>
        <v>0</v>
      </c>
    </row>
    <row r="11" spans="1:5" ht="14.1" customHeight="1" x14ac:dyDescent="0.15">
      <c r="A11" s="24" t="s">
        <v>71</v>
      </c>
      <c r="B11" s="24">
        <f>COUNTIF(用例全集!$I:$I,A11)</f>
        <v>0</v>
      </c>
      <c r="C11" s="25" t="e">
        <f t="shared" si="0"/>
        <v>#DIV/0!</v>
      </c>
      <c r="D11" s="24"/>
      <c r="E11" s="24"/>
    </row>
    <row r="12" spans="1:5" ht="14.1" customHeight="1" x14ac:dyDescent="0.15">
      <c r="A12" s="24" t="s">
        <v>72</v>
      </c>
      <c r="B12" s="24">
        <f>COUNTIF(用例全集!$I:$I,A12)</f>
        <v>0</v>
      </c>
      <c r="C12" s="25" t="e">
        <f t="shared" si="0"/>
        <v>#DIV/0!</v>
      </c>
      <c r="D12" s="24"/>
      <c r="E12" s="24"/>
    </row>
    <row r="13" spans="1:5" ht="14.1" customHeight="1" x14ac:dyDescent="0.15">
      <c r="A13" s="24" t="s">
        <v>73</v>
      </c>
      <c r="B13" s="24">
        <f>COUNTIF(用例全集!$I:$I,A13)</f>
        <v>0</v>
      </c>
      <c r="C13" s="25" t="e">
        <f t="shared" si="0"/>
        <v>#DIV/0!</v>
      </c>
      <c r="D13" s="24"/>
      <c r="E13" s="24"/>
    </row>
    <row r="14" spans="1:5" ht="14.1" customHeight="1" x14ac:dyDescent="0.15">
      <c r="A14" s="24" t="s">
        <v>74</v>
      </c>
      <c r="B14" s="24">
        <f>COUNTIF(用例全集!$I:$I,A14)</f>
        <v>0</v>
      </c>
      <c r="C14" s="25" t="e">
        <f t="shared" si="0"/>
        <v>#DIV/0!</v>
      </c>
      <c r="D14" s="24"/>
      <c r="E14" s="24"/>
    </row>
    <row r="15" spans="1:5" ht="14.1" customHeight="1" x14ac:dyDescent="0.15">
      <c r="A15" s="24" t="s">
        <v>75</v>
      </c>
      <c r="B15" s="24">
        <f>COUNTIF(用例全集!$I:$I,A15)</f>
        <v>0</v>
      </c>
      <c r="C15" s="25" t="e">
        <f t="shared" si="0"/>
        <v>#DIV/0!</v>
      </c>
      <c r="D15" s="24"/>
      <c r="E15" s="24"/>
    </row>
    <row r="16" spans="1:5" x14ac:dyDescent="0.15">
      <c r="A16" s="24" t="s">
        <v>95</v>
      </c>
      <c r="B16" s="24">
        <f>SUM(B9:B15)</f>
        <v>0</v>
      </c>
      <c r="C16" s="25"/>
      <c r="D16" s="24"/>
      <c r="E16" s="24"/>
    </row>
    <row r="17" spans="1:7" ht="14.1" customHeight="1" x14ac:dyDescent="0.15">
      <c r="B17"/>
      <c r="C17"/>
    </row>
    <row r="18" spans="1:7" ht="14.1" customHeight="1" x14ac:dyDescent="0.15">
      <c r="C18" s="18"/>
    </row>
    <row r="19" spans="1:7" x14ac:dyDescent="0.15">
      <c r="A19" s="17" t="s">
        <v>96</v>
      </c>
      <c r="C19" s="18"/>
    </row>
    <row r="20" spans="1:7" x14ac:dyDescent="0.15">
      <c r="A20" s="26" t="s">
        <v>97</v>
      </c>
      <c r="B20" s="18" t="s">
        <v>98</v>
      </c>
      <c r="C20" s="18"/>
    </row>
    <row r="21" spans="1:7" ht="14.1" customHeight="1" x14ac:dyDescent="0.15">
      <c r="C21" s="18"/>
    </row>
    <row r="22" spans="1:7" x14ac:dyDescent="0.15">
      <c r="A22" s="27" t="s">
        <v>99</v>
      </c>
    </row>
    <row r="23" spans="1:7" x14ac:dyDescent="0.15">
      <c r="A23" s="57" t="s">
        <v>55</v>
      </c>
      <c r="B23" s="169" t="s">
        <v>100</v>
      </c>
      <c r="C23" s="169"/>
      <c r="D23" s="169"/>
      <c r="E23" s="169"/>
      <c r="F23" s="169"/>
      <c r="G23" s="169"/>
    </row>
    <row r="24" spans="1:7" x14ac:dyDescent="0.15">
      <c r="A24" s="170" t="s">
        <v>79</v>
      </c>
      <c r="B24" s="168" t="s">
        <v>101</v>
      </c>
      <c r="C24" s="168"/>
      <c r="D24" s="168"/>
      <c r="E24" s="168"/>
      <c r="F24" s="168"/>
      <c r="G24" s="168"/>
    </row>
    <row r="25" spans="1:7" x14ac:dyDescent="0.15">
      <c r="A25" s="151"/>
      <c r="B25" s="52" t="s">
        <v>79</v>
      </c>
      <c r="C25" s="52" t="s">
        <v>152</v>
      </c>
      <c r="D25" s="52" t="s">
        <v>153</v>
      </c>
      <c r="E25" s="58" t="s">
        <v>154</v>
      </c>
      <c r="F25" s="56" t="s">
        <v>155</v>
      </c>
      <c r="G25" s="52" t="s">
        <v>147</v>
      </c>
    </row>
    <row r="26" spans="1:7" ht="14.1" customHeight="1" x14ac:dyDescent="0.15">
      <c r="A26" s="151"/>
      <c r="B26" s="52" t="s">
        <v>140</v>
      </c>
      <c r="C26" s="52" t="s">
        <v>148</v>
      </c>
      <c r="D26" s="58" t="s">
        <v>156</v>
      </c>
      <c r="E26" s="58" t="s">
        <v>157</v>
      </c>
      <c r="F26" s="58" t="s">
        <v>158</v>
      </c>
      <c r="G26" s="58" t="s">
        <v>159</v>
      </c>
    </row>
    <row r="27" spans="1:7" x14ac:dyDescent="0.15">
      <c r="A27" s="151"/>
      <c r="B27" s="52" t="s">
        <v>146</v>
      </c>
      <c r="C27" s="52" t="s">
        <v>149</v>
      </c>
      <c r="D27" s="58" t="s">
        <v>160</v>
      </c>
      <c r="E27" s="58" t="s">
        <v>161</v>
      </c>
      <c r="F27" s="58" t="s">
        <v>162</v>
      </c>
      <c r="G27" s="58" t="s">
        <v>163</v>
      </c>
    </row>
    <row r="28" spans="1:7" x14ac:dyDescent="0.15">
      <c r="A28" s="151"/>
      <c r="B28" s="52" t="s">
        <v>142</v>
      </c>
      <c r="C28" s="52" t="s">
        <v>150</v>
      </c>
      <c r="D28" s="58" t="s">
        <v>164</v>
      </c>
      <c r="E28" s="58" t="s">
        <v>165</v>
      </c>
      <c r="F28" s="58" t="s">
        <v>166</v>
      </c>
      <c r="G28" s="58" t="s">
        <v>170</v>
      </c>
    </row>
    <row r="29" spans="1:7" x14ac:dyDescent="0.15">
      <c r="A29" s="151"/>
      <c r="B29" s="52" t="s">
        <v>144</v>
      </c>
      <c r="C29" s="52" t="s">
        <v>151</v>
      </c>
      <c r="D29" s="58" t="s">
        <v>167</v>
      </c>
      <c r="E29" s="58" t="s">
        <v>168</v>
      </c>
      <c r="F29" s="58" t="s">
        <v>169</v>
      </c>
      <c r="G29" s="58" t="s">
        <v>171</v>
      </c>
    </row>
    <row r="30" spans="1:7" hidden="1" x14ac:dyDescent="0.15">
      <c r="A30" s="151"/>
      <c r="B30" s="52" t="s">
        <v>73</v>
      </c>
      <c r="C30" s="52" t="s">
        <v>102</v>
      </c>
      <c r="D30" s="171" t="s">
        <v>103</v>
      </c>
      <c r="E30" s="151"/>
      <c r="F30" s="52"/>
      <c r="G30" s="39"/>
    </row>
    <row r="31" spans="1:7" hidden="1" x14ac:dyDescent="0.15">
      <c r="A31" s="151"/>
      <c r="B31" s="52" t="s">
        <v>74</v>
      </c>
      <c r="C31" s="52" t="s">
        <v>104</v>
      </c>
      <c r="D31" s="171" t="s">
        <v>105</v>
      </c>
      <c r="E31" s="151"/>
      <c r="F31" s="52"/>
      <c r="G31" s="39"/>
    </row>
    <row r="32" spans="1:7" hidden="1" x14ac:dyDescent="0.15">
      <c r="A32" s="151"/>
      <c r="B32" s="52" t="s">
        <v>75</v>
      </c>
      <c r="C32" s="52" t="s">
        <v>106</v>
      </c>
      <c r="D32" s="171" t="s">
        <v>107</v>
      </c>
      <c r="E32" s="151"/>
      <c r="F32" s="52"/>
      <c r="G32" s="39"/>
    </row>
    <row r="33" spans="1:7" x14ac:dyDescent="0.15">
      <c r="A33" s="59" t="s">
        <v>108</v>
      </c>
      <c r="B33" s="164" t="s">
        <v>109</v>
      </c>
      <c r="C33" s="165"/>
      <c r="D33" s="165"/>
      <c r="E33" s="165"/>
      <c r="F33" s="165"/>
      <c r="G33" s="166"/>
    </row>
    <row r="34" spans="1:7" x14ac:dyDescent="0.15">
      <c r="A34" s="59" t="s">
        <v>59</v>
      </c>
      <c r="B34" s="164" t="s">
        <v>110</v>
      </c>
      <c r="C34" s="165"/>
      <c r="D34" s="165"/>
      <c r="E34" s="165"/>
      <c r="F34" s="165"/>
      <c r="G34" s="166"/>
    </row>
    <row r="35" spans="1:7" x14ac:dyDescent="0.15">
      <c r="A35" s="59" t="s">
        <v>45</v>
      </c>
      <c r="B35" s="164" t="s">
        <v>110</v>
      </c>
      <c r="C35" s="165"/>
      <c r="D35" s="165"/>
      <c r="E35" s="165"/>
      <c r="F35" s="165"/>
      <c r="G35" s="166"/>
    </row>
    <row r="36" spans="1:7" x14ac:dyDescent="0.15">
      <c r="A36" s="59" t="s">
        <v>46</v>
      </c>
      <c r="B36" s="164" t="s">
        <v>111</v>
      </c>
      <c r="C36" s="165"/>
      <c r="D36" s="165"/>
      <c r="E36" s="165"/>
      <c r="F36" s="165"/>
      <c r="G36" s="166"/>
    </row>
    <row r="37" spans="1:7" x14ac:dyDescent="0.15">
      <c r="A37" s="59" t="s">
        <v>47</v>
      </c>
      <c r="B37" s="164" t="s">
        <v>112</v>
      </c>
      <c r="C37" s="165"/>
      <c r="D37" s="165"/>
      <c r="E37" s="165"/>
      <c r="F37" s="165"/>
      <c r="G37" s="166"/>
    </row>
    <row r="38" spans="1:7" x14ac:dyDescent="0.15">
      <c r="A38" s="59" t="s">
        <v>113</v>
      </c>
      <c r="B38" s="164" t="s">
        <v>114</v>
      </c>
      <c r="C38" s="165"/>
      <c r="D38" s="165"/>
      <c r="E38" s="165"/>
      <c r="F38" s="165"/>
      <c r="G38" s="166"/>
    </row>
    <row r="39" spans="1:7" x14ac:dyDescent="0.15">
      <c r="A39" s="59" t="s">
        <v>62</v>
      </c>
      <c r="B39" s="164" t="s">
        <v>115</v>
      </c>
      <c r="C39" s="165"/>
      <c r="D39" s="165"/>
      <c r="E39" s="165"/>
      <c r="F39" s="165"/>
      <c r="G39" s="166"/>
    </row>
    <row r="40" spans="1:7" x14ac:dyDescent="0.15">
      <c r="A40" s="59" t="s">
        <v>63</v>
      </c>
      <c r="B40" s="164" t="s">
        <v>116</v>
      </c>
      <c r="C40" s="165"/>
      <c r="D40" s="165"/>
      <c r="E40" s="165"/>
      <c r="F40" s="165"/>
      <c r="G40" s="166"/>
    </row>
    <row r="41" spans="1:7" x14ac:dyDescent="0.15">
      <c r="A41" s="59" t="s">
        <v>64</v>
      </c>
      <c r="B41" s="164" t="s">
        <v>117</v>
      </c>
      <c r="C41" s="165"/>
      <c r="D41" s="165"/>
      <c r="E41" s="165"/>
      <c r="F41" s="165"/>
      <c r="G41" s="166"/>
    </row>
    <row r="42" spans="1:7" ht="120" customHeight="1" x14ac:dyDescent="0.15">
      <c r="A42" s="59" t="s">
        <v>65</v>
      </c>
      <c r="B42" s="167" t="s">
        <v>175</v>
      </c>
      <c r="C42" s="165"/>
      <c r="D42" s="165"/>
      <c r="E42" s="165"/>
      <c r="F42" s="165"/>
      <c r="G42" s="166"/>
    </row>
    <row r="43" spans="1:7" x14ac:dyDescent="0.15">
      <c r="A43" s="59" t="s">
        <v>66</v>
      </c>
      <c r="B43" s="164" t="s">
        <v>118</v>
      </c>
      <c r="C43" s="165"/>
      <c r="D43" s="165"/>
      <c r="E43" s="165"/>
      <c r="F43" s="165"/>
      <c r="G43" s="166"/>
    </row>
    <row r="44" spans="1:7" x14ac:dyDescent="0.15">
      <c r="A44" s="59" t="s">
        <v>67</v>
      </c>
      <c r="B44" s="164" t="s">
        <v>119</v>
      </c>
      <c r="C44" s="165"/>
      <c r="D44" s="165"/>
      <c r="E44" s="165"/>
      <c r="F44" s="165"/>
      <c r="G44" s="166"/>
    </row>
    <row r="45" spans="1:7" ht="14.1" customHeight="1" x14ac:dyDescent="0.15">
      <c r="A45" s="59" t="s">
        <v>68</v>
      </c>
      <c r="B45" s="164" t="s">
        <v>120</v>
      </c>
      <c r="C45" s="165"/>
      <c r="D45" s="165"/>
      <c r="E45" s="165"/>
      <c r="F45" s="165"/>
      <c r="G45" s="166"/>
    </row>
    <row r="47" spans="1:7" ht="14.1" customHeight="1" x14ac:dyDescent="0.15">
      <c r="B47" s="28"/>
    </row>
  </sheetData>
  <mergeCells count="19">
    <mergeCell ref="B24:G24"/>
    <mergeCell ref="B23:G23"/>
    <mergeCell ref="B33:G33"/>
    <mergeCell ref="B34:G34"/>
    <mergeCell ref="A24:A32"/>
    <mergeCell ref="D30:E30"/>
    <mergeCell ref="D31:E31"/>
    <mergeCell ref="D32:E32"/>
    <mergeCell ref="B35:G35"/>
    <mergeCell ref="B36:G36"/>
    <mergeCell ref="B37:G37"/>
    <mergeCell ref="B38:G38"/>
    <mergeCell ref="B39:G39"/>
    <mergeCell ref="B45:G45"/>
    <mergeCell ref="B40:G40"/>
    <mergeCell ref="B41:G41"/>
    <mergeCell ref="B42:G42"/>
    <mergeCell ref="B43:G43"/>
    <mergeCell ref="B44:G44"/>
  </mergeCells>
  <phoneticPr fontId="1" type="noConversion"/>
  <pageMargins left="0.7" right="0.7" top="0.75" bottom="0.75" header="0.3" footer="0.3"/>
  <pageSetup paperSize="9" orientation="portrait" horizontalDpi="4294967295" verticalDpi="4294967295"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18</vt:i4>
      </vt:variant>
    </vt:vector>
  </HeadingPairs>
  <TitlesOfParts>
    <vt:vector size="18" baseType="lpstr">
      <vt:lpstr>首页</vt:lpstr>
      <vt:lpstr>测试点分析</vt:lpstr>
      <vt:lpstr>测试组网设计</vt:lpstr>
      <vt:lpstr>防火墙日志管理</vt:lpstr>
      <vt:lpstr>日志归并</vt:lpstr>
      <vt:lpstr>日志清理</vt:lpstr>
      <vt:lpstr>日志备份</vt:lpstr>
      <vt:lpstr>日志导入导出</vt:lpstr>
      <vt:lpstr>日志外发</vt:lpstr>
      <vt:lpstr>日志过滤</vt:lpstr>
      <vt:lpstr>日志格式</vt:lpstr>
      <vt:lpstr>调试日志管理</vt:lpstr>
      <vt:lpstr>信息收集</vt:lpstr>
      <vt:lpstr>DFX</vt:lpstr>
      <vt:lpstr>日志进程管理</vt:lpstr>
      <vt:lpstr>用例全集</vt:lpstr>
      <vt:lpstr>禅道导出</vt:lpstr>
      <vt:lpstr>附录1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Administrator</cp:lastModifiedBy>
  <dcterms:created xsi:type="dcterms:W3CDTF">2006-09-13T11:21:51Z</dcterms:created>
  <dcterms:modified xsi:type="dcterms:W3CDTF">2024-10-23T06:21:45Z</dcterms:modified>
</cp:coreProperties>
</file>